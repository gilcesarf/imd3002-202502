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cesarf/git/repositories/imd/imd3002-202502/Aula_MLP/"/>
    </mc:Choice>
  </mc:AlternateContent>
  <xr:revisionPtr revIDLastSave="0" documentId="13_ncr:1_{AC18CFD5-5FB4-6144-97A6-8BC51EBA1371}" xr6:coauthVersionLast="47" xr6:coauthVersionMax="47" xr10:uidLastSave="{00000000-0000-0000-0000-000000000000}"/>
  <bookViews>
    <workbookView xWindow="-33640" yWindow="5480" windowWidth="33900" windowHeight="16740" activeTab="2" xr2:uid="{6239B05F-4D5F-5E42-9BF4-F9AE25D52DC5}"/>
  </bookViews>
  <sheets>
    <sheet name="TabelaDinamica" sheetId="2" r:id="rId1"/>
    <sheet name="DadosCrus" sheetId="1" r:id="rId2"/>
    <sheet name="PDF" sheetId="4" r:id="rId3"/>
  </sheets>
  <definedNames>
    <definedName name="_xlnm._FilterDatabase" localSheetId="1" hidden="1">DadosCrus!$A$1:$G$241</definedName>
    <definedName name="_xlnm._FilterDatabase" localSheetId="2" hidden="1">PDF!$S$2:$U$22</definedName>
    <definedName name="_xlnm.Print_Area" localSheetId="2">PDF!$B$2:$O$42</definedName>
    <definedName name="_xlnm.Print_Area" localSheetId="0">TabelaDinamica!$A$3:$L$43</definedName>
    <definedName name="mlp_avaliacao_resultados" localSheetId="1">DadosCrus!$A$1:$G$241</definedName>
  </definedNames>
  <calcPr calcId="18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4" l="1"/>
  <c r="D24" i="4"/>
  <c r="D22" i="4"/>
  <c r="D20" i="4"/>
  <c r="D18" i="4"/>
  <c r="D16" i="4"/>
  <c r="D14" i="4"/>
  <c r="D12" i="4"/>
  <c r="D10" i="4"/>
  <c r="D8" i="4"/>
  <c r="D6" i="4"/>
  <c r="D4" i="4"/>
  <c r="C26" i="4"/>
  <c r="C24" i="4"/>
  <c r="C22" i="4"/>
  <c r="C20" i="4"/>
  <c r="C18" i="4"/>
  <c r="C16" i="4"/>
  <c r="C14" i="4"/>
  <c r="C12" i="4"/>
  <c r="C10" i="4"/>
  <c r="C8" i="4"/>
  <c r="C6" i="4"/>
  <c r="C4" i="4"/>
  <c r="L29" i="2"/>
  <c r="K29" i="2"/>
  <c r="J29" i="2"/>
  <c r="I29" i="2"/>
  <c r="H29" i="2"/>
  <c r="G29" i="2"/>
  <c r="F29" i="2"/>
  <c r="E29" i="2"/>
  <c r="D29" i="2"/>
  <c r="C29" i="2"/>
  <c r="D30" i="2"/>
  <c r="E30" i="2"/>
  <c r="F30" i="2"/>
  <c r="G30" i="2"/>
  <c r="H30" i="2"/>
  <c r="I30" i="2"/>
  <c r="J30" i="2"/>
  <c r="K30" i="2"/>
  <c r="L30" i="2"/>
  <c r="D31" i="2"/>
  <c r="E31" i="2"/>
  <c r="F31" i="2"/>
  <c r="G31" i="2"/>
  <c r="H31" i="2"/>
  <c r="I31" i="2"/>
  <c r="J31" i="2"/>
  <c r="K31" i="2"/>
  <c r="L31" i="2"/>
  <c r="C31" i="2"/>
  <c r="C3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698DA8-0115-2744-B2C6-763F009D0EC8}" name="mlp_avaliacao_resultados" type="6" refreshedVersion="8" background="1" saveData="1">
    <textPr codePage="10000" sourceFile="/Users/gilcesarf/git/repositories/imd/imd3002-202502/Aula_MLP/mlp_avaliacao_resultados.csv" tab="0" comma="1">
      <textFields count="7">
        <textField type="text"/>
        <textField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<sst xmlns="http://schemas.openxmlformats.org/spreadsheetml/2006/main" count="1142" uniqueCount="97">
  <si>
    <t>dataset</t>
  </si>
  <si>
    <t>config_rank</t>
  </si>
  <si>
    <t>params</t>
  </si>
  <si>
    <t>training_type</t>
  </si>
  <si>
    <t>f1_score</t>
  </si>
  <si>
    <t>f1_std</t>
  </si>
  <si>
    <t>shape</t>
  </si>
  <si>
    <t>hogfeat_128_16_4_9_pca</t>
  </si>
  <si>
    <t>{'activation': 'tanh', 'hidden_layer_sizes': (100, 50), 'learning_rate_init': 0.0001, 'max_iter': 2000, 'solver': 'sgd'}</t>
  </si>
  <si>
    <t>holdout</t>
  </si>
  <si>
    <t>(800, 104)</t>
  </si>
  <si>
    <t>crossvalidation</t>
  </si>
  <si>
    <t>{'activation': 'tanh', 'hidden_layer_sizes': 100, 'learning_rate_init': 0.01, 'max_iter': 1000, 'solver': 'sgd'}</t>
  </si>
  <si>
    <t>{'activation': 'tanh', 'hidden_layer_sizes': 100, 'learning_rate_init': 0.01, 'max_iter': 1500, 'solver': 'sgd'}</t>
  </si>
  <si>
    <t>{'activation': 'tanh', 'hidden_layer_sizes': 100, 'learning_rate_init': 0.01, 'max_iter': 2000, 'solver': 'sgd'}</t>
  </si>
  <si>
    <t>{'activation': 'tanh', 'hidden_layer_sizes': 100, 'learning_rate_init': 0.01, 'max_iter': 500, 'solver': 'sgd'}</t>
  </si>
  <si>
    <t>{'activation': 'tanh', 'hidden_layer_sizes': 100, 'learning_rate_init': 0.001, 'max_iter': 2000, 'solver': 'sgd'}</t>
  </si>
  <si>
    <t>{'activation': 'tanh', 'hidden_layer_sizes': 100, 'learning_rate_init': 0.001, 'max_iter': 1500, 'solver': 'sgd'}</t>
  </si>
  <si>
    <t>{'activation': 'tanh', 'hidden_layer_sizes': 100, 'learning_rate_init': 0.001, 'max_iter': 1000, 'solver': 'sgd'}</t>
  </si>
  <si>
    <t>{'activation': 'logistic', 'hidden_layer_sizes': 50, 'learning_rate_init': 0.0001, 'max_iter': 2000, 'solver': 'sgd'}</t>
  </si>
  <si>
    <t>{'activation': 'logistic', 'hidden_layer_sizes': (100, 50), 'learning_rate_init': 0.1, 'max_iter': 2000, 'solver': 'sgd'}</t>
  </si>
  <si>
    <t>hogfeat_256_64_2_18</t>
  </si>
  <si>
    <t>(800, 649)</t>
  </si>
  <si>
    <t>hogfeat_256_64_2_9</t>
  </si>
  <si>
    <t>(800, 325)</t>
  </si>
  <si>
    <t>hogfeat_128_16_4_9</t>
  </si>
  <si>
    <t>(800, 3601)</t>
  </si>
  <si>
    <t>hogfeat_256_32_2_9_pca</t>
  </si>
  <si>
    <t>(800, 94)</t>
  </si>
  <si>
    <t>hogfeat_128_16_2_9_pca</t>
  </si>
  <si>
    <t>(800, 118)</t>
  </si>
  <si>
    <t>hogfeat_128_32_2_9</t>
  </si>
  <si>
    <t>lbpfeat_256_6_48</t>
  </si>
  <si>
    <t>(800, 51)</t>
  </si>
  <si>
    <t>lbpfeat_256_12_96</t>
  </si>
  <si>
    <t>(800, 99)</t>
  </si>
  <si>
    <t>hogfeat_256_32_2_9</t>
  </si>
  <si>
    <t>(800, 1765)</t>
  </si>
  <si>
    <t>hogfeat_128_16_2_9</t>
  </si>
  <si>
    <t>lbpfeat_256_24_192</t>
  </si>
  <si>
    <t>(800, 195)</t>
  </si>
  <si>
    <t>Máx. de f1_score</t>
  </si>
  <si>
    <t>Hiperparametros</t>
  </si>
  <si>
    <t>Média</t>
  </si>
  <si>
    <t>Desvio Padrão</t>
  </si>
  <si>
    <t>Máximo</t>
  </si>
  <si>
    <t>Shape (linhas, colunas)</t>
  </si>
  <si>
    <t>Caracteristicas da extração</t>
  </si>
  <si>
    <t xml:space="preserve"> (800, 103)</t>
  </si>
  <si>
    <t>128/16/4/9/pca</t>
  </si>
  <si>
    <t xml:space="preserve"> (800, 648)</t>
  </si>
  <si>
    <t>256/64/2/18</t>
  </si>
  <si>
    <t xml:space="preserve"> (800, 324)</t>
  </si>
  <si>
    <t>256/64/2/9</t>
  </si>
  <si>
    <t xml:space="preserve"> (800, 3600)</t>
  </si>
  <si>
    <t>128/16/4/9</t>
  </si>
  <si>
    <t xml:space="preserve"> (800, 93)</t>
  </si>
  <si>
    <t>256/32/2/9/pca</t>
  </si>
  <si>
    <t xml:space="preserve"> (800, 117)</t>
  </si>
  <si>
    <t>128/16/2/9/pca</t>
  </si>
  <si>
    <t>128/32/2/9</t>
  </si>
  <si>
    <t xml:space="preserve"> (800, 50)</t>
  </si>
  <si>
    <t>256/6/48</t>
  </si>
  <si>
    <t xml:space="preserve"> (800, 98)</t>
  </si>
  <si>
    <t>256/12/96</t>
  </si>
  <si>
    <t xml:space="preserve"> (800, 1764)</t>
  </si>
  <si>
    <t>256/32/2/9</t>
  </si>
  <si>
    <t>128/16/2/9</t>
  </si>
  <si>
    <t xml:space="preserve"> (800, 194)</t>
  </si>
  <si>
    <t>256/24/192</t>
  </si>
  <si>
    <t>lbpfeat_256_3_24</t>
  </si>
  <si>
    <t xml:space="preserve"> (800, 26)</t>
  </si>
  <si>
    <t>256/3/24</t>
  </si>
  <si>
    <t>hogfeat_128_8_2_9</t>
  </si>
  <si>
    <t xml:space="preserve"> (800, 8100)</t>
  </si>
  <si>
    <t>128/8/2/9</t>
  </si>
  <si>
    <t>lbpfeat_256_1_8</t>
  </si>
  <si>
    <t xml:space="preserve"> (800, 10)</t>
  </si>
  <si>
    <t>256/1/8</t>
  </si>
  <si>
    <t>hogfeat_128_8_2_9_pca</t>
  </si>
  <si>
    <t xml:space="preserve"> (800, 287)</t>
  </si>
  <si>
    <t>128/8/2/9/pca</t>
  </si>
  <si>
    <t>hogfeat_256_4_2_9</t>
  </si>
  <si>
    <t xml:space="preserve"> (800, 142884)</t>
  </si>
  <si>
    <t>256/4/2/9</t>
  </si>
  <si>
    <t>hogfeat_256_8_2_9</t>
  </si>
  <si>
    <t xml:space="preserve"> (800, 34596)</t>
  </si>
  <si>
    <t>256/8/2/9</t>
  </si>
  <si>
    <t>hogfeat_256_8_2_9_pca</t>
  </si>
  <si>
    <t xml:space="preserve"> (800, 394)</t>
  </si>
  <si>
    <t>256/8/2/9/pca</t>
  </si>
  <si>
    <t>hogfeat_256_4_2_9_pca</t>
  </si>
  <si>
    <t xml:space="preserve"> (800, 507)</t>
  </si>
  <si>
    <t>256/4/2/9/pca</t>
  </si>
  <si>
    <t>Dataset</t>
  </si>
  <si>
    <t>Shape</t>
  </si>
  <si>
    <t>Carac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</si>
</sst>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0"/>
    <numFmt numFmtId="166" formatCode="_-* #,##0.0000_-;\-* #,##0.0000_-;_-* &quot;-&quot;??_-;_-@_-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9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9DC655"/>
        <bgColor rgb="FF000000"/>
      </patternFill>
    </fill>
    <fill>
      <patternFill patternType="solid">
        <fgColor rgb="FFF9E981"/>
        <bgColor rgb="FF000000"/>
      </patternFill>
    </fill>
    <fill>
      <patternFill patternType="solid">
        <fgColor rgb="FFB7D061"/>
        <bgColor rgb="FF000000"/>
      </patternFill>
    </fill>
    <fill>
      <patternFill patternType="solid">
        <fgColor rgb="FF83BC48"/>
        <bgColor rgb="FF000000"/>
      </patternFill>
    </fill>
    <fill>
      <patternFill patternType="solid">
        <fgColor rgb="FF5CAD35"/>
        <bgColor rgb="FF000000"/>
      </patternFill>
    </fill>
    <fill>
      <patternFill patternType="solid">
        <fgColor rgb="FFFF7128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FEA83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FFE982"/>
        <bgColor rgb="FF000000"/>
      </patternFill>
    </fill>
    <fill>
      <patternFill patternType="solid">
        <fgColor rgb="FF7BB944"/>
        <bgColor rgb="FF000000"/>
      </patternFill>
    </fill>
    <fill>
      <patternFill patternType="solid">
        <fgColor rgb="FF8BBF4C"/>
        <bgColor rgb="FF000000"/>
      </patternFill>
    </fill>
    <fill>
      <patternFill patternType="solid">
        <fgColor rgb="FFB1CD5F"/>
        <bgColor rgb="FF000000"/>
      </patternFill>
    </fill>
    <fill>
      <patternFill patternType="solid">
        <fgColor rgb="FFFFE37E"/>
        <bgColor rgb="FF000000"/>
      </patternFill>
    </fill>
    <fill>
      <patternFill patternType="solid">
        <fgColor rgb="FFE2E076"/>
        <bgColor rgb="FF000000"/>
      </patternFill>
    </fill>
    <fill>
      <patternFill patternType="solid">
        <fgColor rgb="FF9EC655"/>
        <bgColor rgb="FF000000"/>
      </patternFill>
    </fill>
    <fill>
      <patternFill patternType="solid">
        <fgColor rgb="FFC4D567"/>
        <bgColor rgb="FF000000"/>
      </patternFill>
    </fill>
    <fill>
      <patternFill patternType="solid">
        <fgColor rgb="FFFFE27D"/>
        <bgColor rgb="FF000000"/>
      </patternFill>
    </fill>
    <fill>
      <patternFill patternType="solid">
        <fgColor rgb="FFFFE47F"/>
        <bgColor rgb="FF000000"/>
      </patternFill>
    </fill>
    <fill>
      <patternFill patternType="solid">
        <fgColor rgb="FFFFE680"/>
        <bgColor rgb="FF000000"/>
      </patternFill>
    </fill>
    <fill>
      <patternFill patternType="solid">
        <fgColor rgb="FFFFE881"/>
        <bgColor rgb="FF000000"/>
      </patternFill>
    </fill>
    <fill>
      <patternFill patternType="solid">
        <fgColor rgb="FFEEE57C"/>
        <bgColor rgb="FF000000"/>
      </patternFill>
    </fill>
    <fill>
      <patternFill patternType="solid">
        <fgColor rgb="FFFFE781"/>
        <bgColor rgb="FF000000"/>
      </patternFill>
    </fill>
    <fill>
      <patternFill patternType="solid">
        <fgColor rgb="FFFFE882"/>
        <bgColor rgb="FF000000"/>
      </patternFill>
    </fill>
    <fill>
      <patternFill patternType="solid">
        <fgColor rgb="FFC5D568"/>
        <bgColor rgb="FF000000"/>
      </patternFill>
    </fill>
    <fill>
      <patternFill patternType="solid">
        <fgColor rgb="FF91C14F"/>
        <bgColor rgb="FF000000"/>
      </patternFill>
    </fill>
    <fill>
      <patternFill patternType="solid">
        <fgColor rgb="FF69B23B"/>
        <bgColor rgb="FF000000"/>
      </patternFill>
    </fill>
    <fill>
      <patternFill patternType="solid">
        <fgColor rgb="FFF8E981"/>
        <bgColor rgb="FF000000"/>
      </patternFill>
    </fill>
    <fill>
      <patternFill patternType="solid">
        <fgColor rgb="FFE9E37A"/>
        <bgColor rgb="FF000000"/>
      </patternFill>
    </fill>
    <fill>
      <patternFill patternType="solid">
        <fgColor rgb="FFD8DC71"/>
        <bgColor rgb="FF000000"/>
      </patternFill>
    </fill>
    <fill>
      <patternFill patternType="solid">
        <fgColor rgb="FFCBD76B"/>
        <bgColor rgb="FF000000"/>
      </patternFill>
    </fill>
    <fill>
      <patternFill patternType="solid">
        <fgColor rgb="FFBBD163"/>
        <bgColor rgb="FF000000"/>
      </patternFill>
    </fill>
    <fill>
      <patternFill patternType="solid">
        <fgColor rgb="FFB4CF60"/>
        <bgColor rgb="FF000000"/>
      </patternFill>
    </fill>
    <fill>
      <patternFill patternType="solid">
        <fgColor rgb="FF97C452"/>
        <bgColor rgb="FF000000"/>
      </patternFill>
    </fill>
    <fill>
      <patternFill patternType="solid">
        <fgColor rgb="FFFF8134"/>
        <bgColor rgb="FF000000"/>
      </patternFill>
    </fill>
    <fill>
      <patternFill patternType="solid">
        <fgColor rgb="FFEBE47B"/>
        <bgColor rgb="FF000000"/>
      </patternFill>
    </fill>
    <fill>
      <patternFill patternType="solid">
        <fgColor rgb="FFD1DA6E"/>
        <bgColor rgb="FF000000"/>
      </patternFill>
    </fill>
    <fill>
      <patternFill patternType="solid">
        <fgColor rgb="FFD5DB70"/>
        <bgColor rgb="FF000000"/>
      </patternFill>
    </fill>
    <fill>
      <patternFill patternType="solid">
        <fgColor rgb="FFF1E67D"/>
        <bgColor rgb="FF000000"/>
      </patternFill>
    </fill>
    <fill>
      <patternFill patternType="solid">
        <fgColor rgb="FFDADD72"/>
        <bgColor rgb="FF000000"/>
      </patternFill>
    </fill>
    <fill>
      <patternFill patternType="solid">
        <fgColor rgb="FFC1D466"/>
        <bgColor rgb="FF000000"/>
      </patternFill>
    </fill>
    <fill>
      <patternFill patternType="solid">
        <fgColor rgb="FFFF7B2F"/>
        <bgColor rgb="FF000000"/>
      </patternFill>
    </fill>
    <fill>
      <patternFill patternType="solid">
        <fgColor rgb="FFFFE57F"/>
        <bgColor rgb="FF000000"/>
      </patternFill>
    </fill>
    <fill>
      <patternFill patternType="solid">
        <fgColor rgb="FFFF762C"/>
        <bgColor rgb="FF000000"/>
      </patternFill>
    </fill>
    <fill>
      <patternFill patternType="solid">
        <fgColor rgb="FFFFAA53"/>
        <bgColor rgb="FF000000"/>
      </patternFill>
    </fill>
    <fill>
      <patternFill patternType="solid">
        <fgColor rgb="FFFFE47E"/>
        <bgColor rgb="FF000000"/>
      </patternFill>
    </fill>
    <fill>
      <patternFill patternType="solid">
        <fgColor rgb="FFE5E177"/>
        <bgColor rgb="FF000000"/>
      </patternFill>
    </fill>
    <fill>
      <patternFill patternType="solid">
        <fgColor rgb="FFF0E67D"/>
        <bgColor rgb="FF000000"/>
      </patternFill>
    </fill>
    <fill>
      <patternFill patternType="solid">
        <fgColor rgb="FFFF9946"/>
        <bgColor rgb="FF000000"/>
      </patternFill>
    </fill>
    <fill>
      <patternFill patternType="solid">
        <fgColor rgb="FFFF9F4A"/>
        <bgColor rgb="FF000000"/>
      </patternFill>
    </fill>
    <fill>
      <patternFill patternType="solid">
        <fgColor rgb="FFABCB5C"/>
        <bgColor rgb="FF000000"/>
      </patternFill>
    </fill>
    <fill>
      <patternFill patternType="solid">
        <fgColor rgb="FFB9D062"/>
        <bgColor rgb="FF000000"/>
      </patternFill>
    </fill>
    <fill>
      <patternFill patternType="solid">
        <fgColor rgb="FFD2DA6E"/>
        <bgColor rgb="FF000000"/>
      </patternFill>
    </fill>
    <fill>
      <patternFill patternType="solid">
        <fgColor rgb="FFE0DF75"/>
        <bgColor rgb="FF000000"/>
      </patternFill>
    </fill>
    <fill>
      <patternFill patternType="solid">
        <fgColor rgb="FF8FC04E"/>
        <bgColor rgb="FF000000"/>
      </patternFill>
    </fill>
    <fill>
      <patternFill patternType="solid">
        <fgColor rgb="FFCED86C"/>
        <bgColor rgb="FF000000"/>
      </patternFill>
    </fill>
    <fill>
      <patternFill patternType="solid">
        <fgColor rgb="FFBAD163"/>
        <bgColor rgb="FF000000"/>
      </patternFill>
    </fill>
    <fill>
      <patternFill patternType="solid">
        <fgColor rgb="FF96C351"/>
        <bgColor rgb="FF000000"/>
      </patternFill>
    </fill>
    <fill>
      <patternFill patternType="solid">
        <fgColor rgb="FFD4DB70"/>
        <bgColor rgb="FF000000"/>
      </patternFill>
    </fill>
    <fill>
      <patternFill patternType="solid">
        <fgColor rgb="FFECE47B"/>
        <bgColor rgb="FF000000"/>
      </patternFill>
    </fill>
    <fill>
      <patternFill patternType="solid">
        <fgColor rgb="FFDFDF75"/>
        <bgColor rgb="FF000000"/>
      </patternFill>
    </fill>
    <fill>
      <patternFill patternType="solid">
        <fgColor rgb="FFAACB5B"/>
        <bgColor rgb="FF000000"/>
      </patternFill>
    </fill>
    <fill>
      <patternFill patternType="solid">
        <fgColor rgb="FFDDDE74"/>
        <bgColor rgb="FF000000"/>
      </patternFill>
    </fill>
    <fill>
      <patternFill patternType="solid">
        <fgColor rgb="FFE4E177"/>
        <bgColor rgb="FF000000"/>
      </patternFill>
    </fill>
    <fill>
      <patternFill patternType="solid">
        <fgColor rgb="FFCDD86C"/>
        <bgColor rgb="FF000000"/>
      </patternFill>
    </fill>
    <fill>
      <patternFill patternType="solid">
        <fgColor rgb="FFA5C958"/>
        <bgColor rgb="FF000000"/>
      </patternFill>
    </fill>
    <fill>
      <patternFill patternType="solid">
        <fgColor rgb="FF6EB43E"/>
        <bgColor rgb="FF000000"/>
      </patternFill>
    </fill>
    <fill>
      <patternFill patternType="solid">
        <fgColor rgb="FFFFCD6E"/>
        <bgColor rgb="FF000000"/>
      </patternFill>
    </fill>
    <fill>
      <patternFill patternType="solid">
        <fgColor rgb="FFD1D96E"/>
        <bgColor rgb="FF000000"/>
      </patternFill>
    </fill>
    <fill>
      <patternFill patternType="solid">
        <fgColor rgb="FFDEDF74"/>
        <bgColor rgb="FF000000"/>
      </patternFill>
    </fill>
    <fill>
      <patternFill patternType="solid">
        <fgColor rgb="FFFAE982"/>
        <bgColor rgb="FF000000"/>
      </patternFill>
    </fill>
    <fill>
      <patternFill patternType="solid">
        <fgColor rgb="FFA9CA5B"/>
        <bgColor rgb="FF000000"/>
      </patternFill>
    </fill>
    <fill>
      <patternFill patternType="solid">
        <fgColor rgb="FF7CB944"/>
        <bgColor rgb="FF000000"/>
      </patternFill>
    </fill>
    <fill>
      <patternFill patternType="solid">
        <fgColor rgb="FF77B742"/>
        <bgColor rgb="FF000000"/>
      </patternFill>
    </fill>
    <fill>
      <patternFill patternType="solid">
        <fgColor rgb="FFFFC265"/>
        <bgColor rgb="FF000000"/>
      </patternFill>
    </fill>
    <fill>
      <patternFill patternType="solid">
        <fgColor rgb="FFFFA851"/>
        <bgColor rgb="FF000000"/>
      </patternFill>
    </fill>
    <fill>
      <patternFill patternType="solid">
        <fgColor rgb="FFE1E076"/>
        <bgColor rgb="FF000000"/>
      </patternFill>
    </fill>
    <fill>
      <patternFill patternType="solid">
        <fgColor rgb="FFC6D569"/>
        <bgColor rgb="FF000000"/>
      </patternFill>
    </fill>
    <fill>
      <patternFill patternType="solid">
        <fgColor rgb="FFFF9341"/>
        <bgColor rgb="FF000000"/>
      </patternFill>
    </fill>
    <fill>
      <patternFill patternType="solid">
        <fgColor rgb="FFFF9140"/>
        <bgColor rgb="FF000000"/>
      </patternFill>
    </fill>
    <fill>
      <patternFill patternType="solid">
        <fgColor rgb="FFFFD977"/>
        <bgColor rgb="FF000000"/>
      </patternFill>
    </fill>
    <fill>
      <patternFill patternType="solid">
        <fgColor rgb="FFFF7329"/>
        <bgColor rgb="FF000000"/>
      </patternFill>
    </fill>
    <fill>
      <patternFill patternType="solid">
        <fgColor rgb="FFFFD775"/>
        <bgColor rgb="FF000000"/>
      </patternFill>
    </fill>
    <fill>
      <patternFill patternType="solid">
        <fgColor rgb="FFFFD875"/>
        <bgColor rgb="FF000000"/>
      </patternFill>
    </fill>
    <fill>
      <patternFill patternType="solid">
        <fgColor rgb="FFFF7C30"/>
        <bgColor rgb="FF000000"/>
      </patternFill>
    </fill>
    <fill>
      <patternFill patternType="solid">
        <fgColor rgb="FFFF7B30"/>
        <bgColor rgb="FF000000"/>
      </patternFill>
    </fill>
    <fill>
      <patternFill patternType="solid">
        <fgColor rgb="FFFFDB78"/>
        <bgColor rgb="FF000000"/>
      </patternFill>
    </fill>
    <fill>
      <patternFill patternType="solid">
        <fgColor rgb="FFFFDA77"/>
        <bgColor rgb="FF000000"/>
      </patternFill>
    </fill>
    <fill>
      <patternFill patternType="solid">
        <fgColor rgb="FFFF7D31"/>
        <bgColor rgb="FF000000"/>
      </patternFill>
    </fill>
    <fill>
      <patternFill patternType="solid">
        <fgColor rgb="FFFF893A"/>
        <bgColor rgb="FF000000"/>
      </patternFill>
    </fill>
    <fill>
      <patternFill patternType="solid">
        <fgColor rgb="FFFFD271"/>
        <bgColor rgb="FF000000"/>
      </patternFill>
    </fill>
    <fill>
      <patternFill patternType="solid">
        <fgColor rgb="FFFFD372"/>
        <bgColor rgb="FF000000"/>
      </patternFill>
    </fill>
    <fill>
      <patternFill patternType="solid">
        <fgColor rgb="FFFFA34D"/>
        <bgColor rgb="FF000000"/>
      </patternFill>
    </fill>
    <fill>
      <patternFill patternType="solid">
        <fgColor rgb="FFFF782D"/>
        <bgColor rgb="FF000000"/>
      </patternFill>
    </fill>
    <fill>
      <patternFill patternType="solid">
        <fgColor rgb="FF61CBF3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4B3E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44B3E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6">
    <xf numFmtId="0" fontId="0" fillId="0" borderId="0" xfId="0"/>
    <xf numFmtId="49" fontId="0" fillId="0" borderId="0" xfId="0" applyNumberFormat="1"/>
    <xf numFmtId="0" fontId="0" fillId="0" borderId="3" xfId="0" applyBorder="1"/>
    <xf numFmtId="0" fontId="0" fillId="0" borderId="4" xfId="0" pivotButton="1" applyBorder="1"/>
    <xf numFmtId="0" fontId="0" fillId="0" borderId="7" xfId="0" applyBorder="1"/>
    <xf numFmtId="0" fontId="0" fillId="0" borderId="9" xfId="0" pivotButton="1" applyBorder="1"/>
    <xf numFmtId="0" fontId="0" fillId="0" borderId="4" xfId="0" applyBorder="1"/>
    <xf numFmtId="0" fontId="0" fillId="0" borderId="5" xfId="0" applyBorder="1"/>
    <xf numFmtId="0" fontId="0" fillId="0" borderId="14" xfId="0" applyBorder="1"/>
    <xf numFmtId="0" fontId="0" fillId="0" borderId="11" xfId="0" applyBorder="1"/>
    <xf numFmtId="0" fontId="0" fillId="0" borderId="10" xfId="0" applyBorder="1"/>
    <xf numFmtId="0" fontId="0" fillId="0" borderId="15" xfId="0" pivotButton="1" applyBorder="1"/>
    <xf numFmtId="0" fontId="0" fillId="0" borderId="16" xfId="0" pivotButton="1" applyBorder="1"/>
    <xf numFmtId="0" fontId="0" fillId="0" borderId="20" xfId="0" applyBorder="1"/>
    <xf numFmtId="0" fontId="0" fillId="0" borderId="28" xfId="0" applyFill="1" applyBorder="1"/>
    <xf numFmtId="0" fontId="0" fillId="0" borderId="29" xfId="0" applyBorder="1"/>
    <xf numFmtId="0" fontId="0" fillId="0" borderId="30" xfId="0" applyBorder="1"/>
    <xf numFmtId="166" fontId="0" fillId="2" borderId="2" xfId="1" applyNumberFormat="1" applyFont="1" applyFill="1" applyBorder="1"/>
    <xf numFmtId="166" fontId="0" fillId="2" borderId="1" xfId="1" applyNumberFormat="1" applyFont="1" applyFill="1" applyBorder="1"/>
    <xf numFmtId="166" fontId="0" fillId="2" borderId="6" xfId="1" applyNumberFormat="1" applyFont="1" applyFill="1" applyBorder="1"/>
    <xf numFmtId="166" fontId="0" fillId="2" borderId="12" xfId="1" applyNumberFormat="1" applyFont="1" applyFill="1" applyBorder="1"/>
    <xf numFmtId="166" fontId="0" fillId="2" borderId="13" xfId="1" applyNumberFormat="1" applyFont="1" applyFill="1" applyBorder="1"/>
    <xf numFmtId="166" fontId="0" fillId="2" borderId="8" xfId="1" applyNumberFormat="1" applyFont="1" applyFill="1" applyBorder="1"/>
    <xf numFmtId="0" fontId="2" fillId="0" borderId="0" xfId="0" applyFont="1" applyAlignment="1">
      <alignment horizontal="right"/>
    </xf>
    <xf numFmtId="49" fontId="2" fillId="0" borderId="0" xfId="0" applyNumberFormat="1" applyFont="1"/>
    <xf numFmtId="0" fontId="2" fillId="0" borderId="0" xfId="0" applyFont="1"/>
    <xf numFmtId="0" fontId="0" fillId="0" borderId="31" xfId="0" applyBorder="1"/>
    <xf numFmtId="0" fontId="0" fillId="0" borderId="32" xfId="0" applyBorder="1"/>
    <xf numFmtId="0" fontId="0" fillId="0" borderId="33" xfId="0" applyBorder="1"/>
    <xf numFmtId="166" fontId="0" fillId="2" borderId="18" xfId="1" applyNumberFormat="1" applyFont="1" applyFill="1" applyBorder="1"/>
    <xf numFmtId="166" fontId="0" fillId="2" borderId="19" xfId="1" applyNumberFormat="1" applyFont="1" applyFill="1" applyBorder="1"/>
    <xf numFmtId="166" fontId="0" fillId="2" borderId="17" xfId="1" applyNumberFormat="1" applyFont="1" applyFill="1" applyBorder="1"/>
    <xf numFmtId="164" fontId="0" fillId="0" borderId="4" xfId="0" applyNumberFormat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4" xfId="0" applyFont="1" applyFill="1" applyBorder="1"/>
    <xf numFmtId="0" fontId="3" fillId="3" borderId="11" xfId="0" applyFont="1" applyFill="1" applyBorder="1"/>
    <xf numFmtId="0" fontId="3" fillId="3" borderId="5" xfId="0" applyFont="1" applyFill="1" applyBorder="1"/>
    <xf numFmtId="0" fontId="3" fillId="3" borderId="16" xfId="0" applyFont="1" applyFill="1" applyBorder="1"/>
    <xf numFmtId="0" fontId="3" fillId="3" borderId="34" xfId="0" applyFont="1" applyFill="1" applyBorder="1"/>
    <xf numFmtId="0" fontId="3" fillId="3" borderId="35" xfId="0" applyFont="1" applyFill="1" applyBorder="1"/>
    <xf numFmtId="0" fontId="3" fillId="3" borderId="36" xfId="0" applyFont="1" applyFill="1" applyBorder="1"/>
    <xf numFmtId="164" fontId="4" fillId="4" borderId="4" xfId="0" applyNumberFormat="1" applyFont="1" applyFill="1" applyBorder="1"/>
    <xf numFmtId="164" fontId="4" fillId="5" borderId="11" xfId="0" applyNumberFormat="1" applyFont="1" applyFill="1" applyBorder="1"/>
    <xf numFmtId="164" fontId="4" fillId="6" borderId="11" xfId="0" applyNumberFormat="1" applyFont="1" applyFill="1" applyBorder="1"/>
    <xf numFmtId="164" fontId="4" fillId="7" borderId="11" xfId="0" applyNumberFormat="1" applyFont="1" applyFill="1" applyBorder="1"/>
    <xf numFmtId="164" fontId="4" fillId="8" borderId="11" xfId="0" applyNumberFormat="1" applyFont="1" applyFill="1" applyBorder="1"/>
    <xf numFmtId="164" fontId="4" fillId="9" borderId="11" xfId="0" applyNumberFormat="1" applyFont="1" applyFill="1" applyBorder="1"/>
    <xf numFmtId="164" fontId="4" fillId="10" borderId="5" xfId="0" applyNumberFormat="1" applyFont="1" applyFill="1" applyBorder="1"/>
    <xf numFmtId="164" fontId="4" fillId="11" borderId="7" xfId="0" applyNumberFormat="1" applyFont="1" applyFill="1" applyBorder="1"/>
    <xf numFmtId="164" fontId="4" fillId="12" borderId="13" xfId="0" applyNumberFormat="1" applyFont="1" applyFill="1" applyBorder="1"/>
    <xf numFmtId="164" fontId="4" fillId="13" borderId="13" xfId="0" applyNumberFormat="1" applyFont="1" applyFill="1" applyBorder="1"/>
    <xf numFmtId="164" fontId="4" fillId="14" borderId="13" xfId="0" applyNumberFormat="1" applyFont="1" applyFill="1" applyBorder="1"/>
    <xf numFmtId="164" fontId="4" fillId="10" borderId="13" xfId="0" applyNumberFormat="1" applyFont="1" applyFill="1" applyBorder="1"/>
    <xf numFmtId="164" fontId="4" fillId="15" borderId="13" xfId="0" applyNumberFormat="1" applyFont="1" applyFill="1" applyBorder="1"/>
    <xf numFmtId="164" fontId="4" fillId="9" borderId="13" xfId="0" applyNumberFormat="1" applyFont="1" applyFill="1" applyBorder="1"/>
    <xf numFmtId="164" fontId="4" fillId="16" borderId="8" xfId="0" applyNumberFormat="1" applyFont="1" applyFill="1" applyBorder="1"/>
    <xf numFmtId="164" fontId="4" fillId="17" borderId="4" xfId="0" applyNumberFormat="1" applyFont="1" applyFill="1" applyBorder="1"/>
    <xf numFmtId="164" fontId="4" fillId="18" borderId="11" xfId="0" applyNumberFormat="1" applyFont="1" applyFill="1" applyBorder="1"/>
    <xf numFmtId="164" fontId="4" fillId="19" borderId="11" xfId="0" applyNumberFormat="1" applyFont="1" applyFill="1" applyBorder="1"/>
    <xf numFmtId="164" fontId="4" fillId="20" borderId="11" xfId="0" applyNumberFormat="1" applyFont="1" applyFill="1" applyBorder="1"/>
    <xf numFmtId="164" fontId="4" fillId="21" borderId="5" xfId="0" applyNumberFormat="1" applyFont="1" applyFill="1" applyBorder="1"/>
    <xf numFmtId="164" fontId="4" fillId="22" borderId="7" xfId="0" applyNumberFormat="1" applyFont="1" applyFill="1" applyBorder="1"/>
    <xf numFmtId="164" fontId="4" fillId="23" borderId="13" xfId="0" applyNumberFormat="1" applyFont="1" applyFill="1" applyBorder="1"/>
    <xf numFmtId="164" fontId="4" fillId="24" borderId="13" xfId="0" applyNumberFormat="1" applyFont="1" applyFill="1" applyBorder="1"/>
    <xf numFmtId="164" fontId="4" fillId="25" borderId="13" xfId="0" applyNumberFormat="1" applyFont="1" applyFill="1" applyBorder="1"/>
    <xf numFmtId="164" fontId="4" fillId="26" borderId="8" xfId="0" applyNumberFormat="1" applyFont="1" applyFill="1" applyBorder="1"/>
    <xf numFmtId="164" fontId="4" fillId="6" borderId="4" xfId="0" applyNumberFormat="1" applyFont="1" applyFill="1" applyBorder="1"/>
    <xf numFmtId="164" fontId="4" fillId="13" borderId="11" xfId="0" applyNumberFormat="1" applyFont="1" applyFill="1" applyBorder="1"/>
    <xf numFmtId="164" fontId="4" fillId="27" borderId="11" xfId="0" applyNumberFormat="1" applyFont="1" applyFill="1" applyBorder="1"/>
    <xf numFmtId="164" fontId="4" fillId="28" borderId="11" xfId="0" applyNumberFormat="1" applyFont="1" applyFill="1" applyBorder="1"/>
    <xf numFmtId="164" fontId="4" fillId="29" borderId="11" xfId="0" applyNumberFormat="1" applyFont="1" applyFill="1" applyBorder="1"/>
    <xf numFmtId="164" fontId="4" fillId="30" borderId="11" xfId="0" applyNumberFormat="1" applyFont="1" applyFill="1" applyBorder="1"/>
    <xf numFmtId="164" fontId="4" fillId="31" borderId="5" xfId="0" applyNumberFormat="1" applyFont="1" applyFill="1" applyBorder="1"/>
    <xf numFmtId="164" fontId="4" fillId="32" borderId="7" xfId="0" applyNumberFormat="1" applyFont="1" applyFill="1" applyBorder="1"/>
    <xf numFmtId="164" fontId="4" fillId="33" borderId="13" xfId="0" applyNumberFormat="1" applyFont="1" applyFill="1" applyBorder="1"/>
    <xf numFmtId="164" fontId="4" fillId="34" borderId="13" xfId="0" applyNumberFormat="1" applyFont="1" applyFill="1" applyBorder="1"/>
    <xf numFmtId="164" fontId="4" fillId="35" borderId="13" xfId="0" applyNumberFormat="1" applyFont="1" applyFill="1" applyBorder="1"/>
    <xf numFmtId="164" fontId="4" fillId="36" borderId="13" xfId="0" applyNumberFormat="1" applyFont="1" applyFill="1" applyBorder="1"/>
    <xf numFmtId="164" fontId="4" fillId="37" borderId="13" xfId="0" applyNumberFormat="1" applyFont="1" applyFill="1" applyBorder="1"/>
    <xf numFmtId="164" fontId="4" fillId="38" borderId="13" xfId="0" applyNumberFormat="1" applyFont="1" applyFill="1" applyBorder="1"/>
    <xf numFmtId="164" fontId="4" fillId="33" borderId="8" xfId="0" applyNumberFormat="1" applyFont="1" applyFill="1" applyBorder="1"/>
    <xf numFmtId="164" fontId="4" fillId="39" borderId="4" xfId="0" applyNumberFormat="1" applyFont="1" applyFill="1" applyBorder="1"/>
    <xf numFmtId="164" fontId="4" fillId="11" borderId="11" xfId="0" applyNumberFormat="1" applyFont="1" applyFill="1" applyBorder="1"/>
    <xf numFmtId="164" fontId="4" fillId="40" borderId="11" xfId="0" applyNumberFormat="1" applyFont="1" applyFill="1" applyBorder="1"/>
    <xf numFmtId="164" fontId="4" fillId="11" borderId="5" xfId="0" applyNumberFormat="1" applyFont="1" applyFill="1" applyBorder="1"/>
    <xf numFmtId="164" fontId="4" fillId="27" borderId="7" xfId="0" applyNumberFormat="1" applyFont="1" applyFill="1" applyBorder="1"/>
    <xf numFmtId="164" fontId="4" fillId="41" borderId="13" xfId="0" applyNumberFormat="1" applyFont="1" applyFill="1" applyBorder="1"/>
    <xf numFmtId="164" fontId="4" fillId="42" borderId="13" xfId="0" applyNumberFormat="1" applyFont="1" applyFill="1" applyBorder="1"/>
    <xf numFmtId="164" fontId="4" fillId="43" borderId="13" xfId="0" applyNumberFormat="1" applyFont="1" applyFill="1" applyBorder="1"/>
    <xf numFmtId="164" fontId="4" fillId="44" borderId="8" xfId="0" applyNumberFormat="1" applyFont="1" applyFill="1" applyBorder="1"/>
    <xf numFmtId="164" fontId="4" fillId="45" borderId="4" xfId="0" applyNumberFormat="1" applyFont="1" applyFill="1" applyBorder="1"/>
    <xf numFmtId="164" fontId="4" fillId="46" borderId="11" xfId="0" applyNumberFormat="1" applyFont="1" applyFill="1" applyBorder="1"/>
    <xf numFmtId="164" fontId="4" fillId="31" borderId="11" xfId="0" applyNumberFormat="1" applyFont="1" applyFill="1" applyBorder="1"/>
    <xf numFmtId="164" fontId="4" fillId="47" borderId="11" xfId="0" applyNumberFormat="1" applyFont="1" applyFill="1" applyBorder="1"/>
    <xf numFmtId="164" fontId="4" fillId="9" borderId="5" xfId="0" applyNumberFormat="1" applyFont="1" applyFill="1" applyBorder="1"/>
    <xf numFmtId="164" fontId="4" fillId="48" borderId="7" xfId="0" applyNumberFormat="1" applyFont="1" applyFill="1" applyBorder="1"/>
    <xf numFmtId="164" fontId="4" fillId="49" borderId="13" xfId="0" applyNumberFormat="1" applyFont="1" applyFill="1" applyBorder="1"/>
    <xf numFmtId="164" fontId="4" fillId="50" borderId="13" xfId="0" applyNumberFormat="1" applyFont="1" applyFill="1" applyBorder="1"/>
    <xf numFmtId="164" fontId="4" fillId="51" borderId="13" xfId="0" applyNumberFormat="1" applyFont="1" applyFill="1" applyBorder="1"/>
    <xf numFmtId="164" fontId="4" fillId="52" borderId="13" xfId="0" applyNumberFormat="1" applyFont="1" applyFill="1" applyBorder="1"/>
    <xf numFmtId="164" fontId="4" fillId="53" borderId="8" xfId="0" applyNumberFormat="1" applyFont="1" applyFill="1" applyBorder="1"/>
    <xf numFmtId="164" fontId="4" fillId="54" borderId="4" xfId="0" applyNumberFormat="1" applyFont="1" applyFill="1" applyBorder="1"/>
    <xf numFmtId="164" fontId="4" fillId="55" borderId="11" xfId="0" applyNumberFormat="1" applyFont="1" applyFill="1" applyBorder="1"/>
    <xf numFmtId="164" fontId="4" fillId="56" borderId="11" xfId="0" applyNumberFormat="1" applyFont="1" applyFill="1" applyBorder="1"/>
    <xf numFmtId="164" fontId="4" fillId="57" borderId="11" xfId="0" applyNumberFormat="1" applyFont="1" applyFill="1" applyBorder="1"/>
    <xf numFmtId="164" fontId="4" fillId="20" borderId="5" xfId="0" applyNumberFormat="1" applyFont="1" applyFill="1" applyBorder="1"/>
    <xf numFmtId="164" fontId="4" fillId="58" borderId="7" xfId="0" applyNumberFormat="1" applyFont="1" applyFill="1" applyBorder="1"/>
    <xf numFmtId="164" fontId="4" fillId="40" borderId="13" xfId="0" applyNumberFormat="1" applyFont="1" applyFill="1" applyBorder="1"/>
    <xf numFmtId="164" fontId="4" fillId="59" borderId="13" xfId="0" applyNumberFormat="1" applyFont="1" applyFill="1" applyBorder="1"/>
    <xf numFmtId="164" fontId="4" fillId="60" borderId="13" xfId="0" applyNumberFormat="1" applyFont="1" applyFill="1" applyBorder="1"/>
    <xf numFmtId="164" fontId="4" fillId="61" borderId="13" xfId="0" applyNumberFormat="1" applyFont="1" applyFill="1" applyBorder="1"/>
    <xf numFmtId="164" fontId="4" fillId="62" borderId="8" xfId="0" applyNumberFormat="1" applyFont="1" applyFill="1" applyBorder="1"/>
    <xf numFmtId="164" fontId="4" fillId="13" borderId="4" xfId="0" applyNumberFormat="1" applyFont="1" applyFill="1" applyBorder="1"/>
    <xf numFmtId="164" fontId="4" fillId="63" borderId="11" xfId="0" applyNumberFormat="1" applyFont="1" applyFill="1" applyBorder="1"/>
    <xf numFmtId="164" fontId="4" fillId="64" borderId="11" xfId="0" applyNumberFormat="1" applyFont="1" applyFill="1" applyBorder="1"/>
    <xf numFmtId="164" fontId="4" fillId="65" borderId="11" xfId="0" applyNumberFormat="1" applyFont="1" applyFill="1" applyBorder="1"/>
    <xf numFmtId="164" fontId="4" fillId="66" borderId="7" xfId="0" applyNumberFormat="1" applyFont="1" applyFill="1" applyBorder="1"/>
    <xf numFmtId="164" fontId="4" fillId="67" borderId="13" xfId="0" applyNumberFormat="1" applyFont="1" applyFill="1" applyBorder="1"/>
    <xf numFmtId="164" fontId="4" fillId="68" borderId="13" xfId="0" applyNumberFormat="1" applyFont="1" applyFill="1" applyBorder="1"/>
    <xf numFmtId="164" fontId="4" fillId="69" borderId="13" xfId="0" applyNumberFormat="1" applyFont="1" applyFill="1" applyBorder="1"/>
    <xf numFmtId="164" fontId="4" fillId="70" borderId="8" xfId="0" applyNumberFormat="1" applyFont="1" applyFill="1" applyBorder="1"/>
    <xf numFmtId="164" fontId="4" fillId="71" borderId="4" xfId="0" applyNumberFormat="1" applyFont="1" applyFill="1" applyBorder="1"/>
    <xf numFmtId="164" fontId="4" fillId="72" borderId="11" xfId="0" applyNumberFormat="1" applyFont="1" applyFill="1" applyBorder="1"/>
    <xf numFmtId="164" fontId="4" fillId="73" borderId="11" xfId="0" applyNumberFormat="1" applyFont="1" applyFill="1" applyBorder="1"/>
    <xf numFmtId="164" fontId="4" fillId="7" borderId="5" xfId="0" applyNumberFormat="1" applyFont="1" applyFill="1" applyBorder="1"/>
    <xf numFmtId="164" fontId="4" fillId="74" borderId="7" xfId="0" applyNumberFormat="1" applyFont="1" applyFill="1" applyBorder="1"/>
    <xf numFmtId="164" fontId="4" fillId="75" borderId="13" xfId="0" applyNumberFormat="1" applyFont="1" applyFill="1" applyBorder="1"/>
    <xf numFmtId="164" fontId="4" fillId="19" borderId="13" xfId="0" applyNumberFormat="1" applyFont="1" applyFill="1" applyBorder="1"/>
    <xf numFmtId="164" fontId="4" fillId="76" borderId="13" xfId="0" applyNumberFormat="1" applyFont="1" applyFill="1" applyBorder="1"/>
    <xf numFmtId="164" fontId="4" fillId="77" borderId="13" xfId="0" applyNumberFormat="1" applyFont="1" applyFill="1" applyBorder="1"/>
    <xf numFmtId="164" fontId="4" fillId="78" borderId="8" xfId="0" applyNumberFormat="1" applyFont="1" applyFill="1" applyBorder="1"/>
    <xf numFmtId="164" fontId="4" fillId="79" borderId="7" xfId="0" applyNumberFormat="1" applyFont="1" applyFill="1" applyBorder="1"/>
    <xf numFmtId="164" fontId="4" fillId="80" borderId="13" xfId="0" applyNumberFormat="1" applyFont="1" applyFill="1" applyBorder="1"/>
    <xf numFmtId="164" fontId="4" fillId="81" borderId="13" xfId="0" applyNumberFormat="1" applyFont="1" applyFill="1" applyBorder="1"/>
    <xf numFmtId="164" fontId="4" fillId="53" borderId="13" xfId="0" applyNumberFormat="1" applyFont="1" applyFill="1" applyBorder="1"/>
    <xf numFmtId="164" fontId="4" fillId="82" borderId="8" xfId="0" applyNumberFormat="1" applyFont="1" applyFill="1" applyBorder="1"/>
    <xf numFmtId="164" fontId="4" fillId="83" borderId="4" xfId="0" applyNumberFormat="1" applyFont="1" applyFill="1" applyBorder="1"/>
    <xf numFmtId="164" fontId="4" fillId="84" borderId="11" xfId="0" applyNumberFormat="1" applyFont="1" applyFill="1" applyBorder="1"/>
    <xf numFmtId="164" fontId="4" fillId="85" borderId="11" xfId="0" applyNumberFormat="1" applyFont="1" applyFill="1" applyBorder="1"/>
    <xf numFmtId="164" fontId="4" fillId="83" borderId="11" xfId="0" applyNumberFormat="1" applyFont="1" applyFill="1" applyBorder="1"/>
    <xf numFmtId="164" fontId="4" fillId="38" borderId="7" xfId="0" applyNumberFormat="1" applyFont="1" applyFill="1" applyBorder="1"/>
    <xf numFmtId="164" fontId="4" fillId="86" borderId="13" xfId="0" applyNumberFormat="1" applyFont="1" applyFill="1" applyBorder="1"/>
    <xf numFmtId="164" fontId="4" fillId="87" borderId="13" xfId="0" applyNumberFormat="1" applyFont="1" applyFill="1" applyBorder="1"/>
    <xf numFmtId="164" fontId="4" fillId="88" borderId="13" xfId="0" applyNumberFormat="1" applyFont="1" applyFill="1" applyBorder="1"/>
    <xf numFmtId="164" fontId="4" fillId="89" borderId="8" xfId="0" applyNumberFormat="1" applyFont="1" applyFill="1" applyBorder="1"/>
    <xf numFmtId="164" fontId="4" fillId="90" borderId="11" xfId="0" applyNumberFormat="1" applyFont="1" applyFill="1" applyBorder="1"/>
    <xf numFmtId="164" fontId="4" fillId="91" borderId="11" xfId="0" applyNumberFormat="1" applyFont="1" applyFill="1" applyBorder="1"/>
    <xf numFmtId="164" fontId="4" fillId="84" borderId="13" xfId="0" applyNumberFormat="1" applyFont="1" applyFill="1" applyBorder="1"/>
    <xf numFmtId="164" fontId="4" fillId="92" borderId="13" xfId="0" applyNumberFormat="1" applyFont="1" applyFill="1" applyBorder="1"/>
    <xf numFmtId="164" fontId="4" fillId="93" borderId="8" xfId="0" applyNumberFormat="1" applyFont="1" applyFill="1" applyBorder="1"/>
    <xf numFmtId="164" fontId="4" fillId="9" borderId="4" xfId="0" applyNumberFormat="1" applyFont="1" applyFill="1" applyBorder="1"/>
    <xf numFmtId="164" fontId="4" fillId="94" borderId="11" xfId="0" applyNumberFormat="1" applyFont="1" applyFill="1" applyBorder="1"/>
    <xf numFmtId="0" fontId="4" fillId="0" borderId="0" xfId="0" applyFont="1"/>
    <xf numFmtId="164" fontId="4" fillId="95" borderId="13" xfId="0" applyNumberFormat="1" applyFont="1" applyFill="1" applyBorder="1"/>
    <xf numFmtId="164" fontId="4" fillId="96" borderId="13" xfId="0" applyNumberFormat="1" applyFont="1" applyFill="1" applyBorder="1"/>
    <xf numFmtId="164" fontId="4" fillId="97" borderId="8" xfId="0" applyNumberFormat="1" applyFont="1" applyFill="1" applyBorder="1"/>
    <xf numFmtId="166" fontId="4" fillId="98" borderId="18" xfId="0" applyNumberFormat="1" applyFont="1" applyFill="1" applyBorder="1"/>
    <xf numFmtId="166" fontId="4" fillId="98" borderId="37" xfId="0" applyNumberFormat="1" applyFont="1" applyFill="1" applyBorder="1"/>
    <xf numFmtId="0" fontId="4" fillId="0" borderId="38" xfId="0" applyFont="1" applyBorder="1"/>
    <xf numFmtId="0" fontId="0" fillId="0" borderId="39" xfId="0" applyBorder="1"/>
    <xf numFmtId="0" fontId="4" fillId="0" borderId="39" xfId="0" applyFont="1" applyBorder="1"/>
    <xf numFmtId="166" fontId="4" fillId="98" borderId="40" xfId="0" applyNumberFormat="1" applyFont="1" applyFill="1" applyBorder="1"/>
    <xf numFmtId="166" fontId="4" fillId="98" borderId="27" xfId="0" applyNumberFormat="1" applyFont="1" applyFill="1" applyBorder="1"/>
    <xf numFmtId="0" fontId="5" fillId="0" borderId="0" xfId="0" applyFont="1" applyAlignment="1">
      <alignment horizontal="right"/>
    </xf>
    <xf numFmtId="49" fontId="5" fillId="0" borderId="0" xfId="0" applyNumberFormat="1" applyFont="1"/>
    <xf numFmtId="0" fontId="5" fillId="0" borderId="0" xfId="0" applyFont="1"/>
    <xf numFmtId="49" fontId="5" fillId="0" borderId="0" xfId="0" applyNumberFormat="1" applyFont="1" applyAlignment="1">
      <alignment horizontal="left"/>
    </xf>
    <xf numFmtId="0" fontId="3" fillId="3" borderId="22" xfId="0" applyFont="1" applyFill="1" applyBorder="1"/>
    <xf numFmtId="0" fontId="3" fillId="0" borderId="26" xfId="0" applyFont="1" applyBorder="1"/>
    <xf numFmtId="0" fontId="4" fillId="0" borderId="41" xfId="0" applyFont="1" applyBorder="1"/>
    <xf numFmtId="0" fontId="4" fillId="0" borderId="27" xfId="0" applyFont="1" applyBorder="1"/>
    <xf numFmtId="0" fontId="0" fillId="0" borderId="42" xfId="0" applyBorder="1"/>
    <xf numFmtId="0" fontId="0" fillId="0" borderId="43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4" fillId="0" borderId="5" xfId="0" applyFont="1" applyBorder="1"/>
    <xf numFmtId="0" fontId="4" fillId="0" borderId="44" xfId="0" applyFont="1" applyBorder="1"/>
    <xf numFmtId="0" fontId="4" fillId="0" borderId="17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5" xfId="0" applyFont="1" applyBorder="1"/>
    <xf numFmtId="0" fontId="3" fillId="0" borderId="27" xfId="0" applyFont="1" applyBorder="1"/>
  </cellXfs>
  <cellStyles count="2">
    <cellStyle name="Normal" xfId="0" builtinId="0"/>
    <cellStyle name="Vírgula" xfId="1" builtinId="3"/>
  </cellStyles>
  <dxfs count="74"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 César Faria" refreshedDate="45948.667932638891" createdVersion="8" refreshedVersion="8" minRefreshableVersion="3" recordCount="240" xr:uid="{BFFF196F-DFD0-3A42-9D05-6890CCA01DB9}">
  <cacheSource type="worksheet">
    <worksheetSource ref="A1:G241" sheet="DadosCrus"/>
  </cacheSource>
  <cacheFields count="7">
    <cacheField name="dataset" numFmtId="49">
      <sharedItems count="12">
        <s v="hogfeat_128_16_4_9_pca"/>
        <s v="hogfeat_256_64_2_18"/>
        <s v="hogfeat_256_64_2_9"/>
        <s v="hogfeat_128_16_4_9"/>
        <s v="hogfeat_256_32_2_9_pca"/>
        <s v="hogfeat_128_16_2_9_pca"/>
        <s v="hogfeat_128_32_2_9"/>
        <s v="lbpfeat_256_6_48"/>
        <s v="lbpfeat_256_12_96"/>
        <s v="hogfeat_256_32_2_9"/>
        <s v="hogfeat_128_16_2_9"/>
        <s v="lbpfeat_256_24_192"/>
      </sharedItems>
    </cacheField>
    <cacheField name="config_rank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params" numFmtId="49">
      <sharedItems count="10">
        <s v="{'activation': 'tanh', 'hidden_layer_sizes': (100, 50), 'learning_rate_init': 0.0001, 'max_iter': 2000, 'solver': 'sgd'}"/>
        <s v="{'activation': 'tanh', 'hidden_layer_sizes': 100, 'learning_rate_init': 0.01, 'max_iter': 1000, 'solver': 'sgd'}"/>
        <s v="{'activation': 'tanh', 'hidden_layer_sizes': 100, 'learning_rate_init': 0.01, 'max_iter': 1500, 'solver': 'sgd'}"/>
        <s v="{'activation': 'tanh', 'hidden_layer_sizes': 100, 'learning_rate_init': 0.01, 'max_iter': 2000, 'solver': 'sgd'}"/>
        <s v="{'activation': 'tanh', 'hidden_layer_sizes': 100, 'learning_rate_init': 0.01, 'max_iter': 500, 'solver': 'sgd'}"/>
        <s v="{'activation': 'tanh', 'hidden_layer_sizes': 100, 'learning_rate_init': 0.001, 'max_iter': 2000, 'solver': 'sgd'}"/>
        <s v="{'activation': 'tanh', 'hidden_layer_sizes': 100, 'learning_rate_init': 0.001, 'max_iter': 1500, 'solver': 'sgd'}"/>
        <s v="{'activation': 'tanh', 'hidden_layer_sizes': 100, 'learning_rate_init': 0.001, 'max_iter': 1000, 'solver': 'sgd'}"/>
        <s v="{'activation': 'logistic', 'hidden_layer_sizes': 50, 'learning_rate_init': 0.0001, 'max_iter': 2000, 'solver': 'sgd'}"/>
        <s v="{'activation': 'logistic', 'hidden_layer_sizes': (100, 50), 'learning_rate_init': 0.1, 'max_iter': 2000, 'solver': 'sgd'}"/>
      </sharedItems>
    </cacheField>
    <cacheField name="training_type" numFmtId="0">
      <sharedItems count="2">
        <s v="holdout"/>
        <s v="crossvalidation"/>
      </sharedItems>
    </cacheField>
    <cacheField name="f1_score" numFmtId="0">
      <sharedItems containsSemiMixedTypes="0" containsString="0" containsNumber="1" minValue="0.27061657032755299" maxValue="0.81306015129544496"/>
    </cacheField>
    <cacheField name="f1_std" numFmtId="0">
      <sharedItems containsSemiMixedTypes="0" containsString="0" containsNumber="1" minValue="0" maxValue="0.22563091472841099"/>
    </cacheField>
    <cacheField name="sha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x v="0"/>
    <x v="0"/>
    <n v="0.76320952497423"/>
    <n v="0"/>
    <s v="(800, 104)"/>
  </r>
  <r>
    <x v="0"/>
    <x v="0"/>
    <x v="0"/>
    <x v="1"/>
    <n v="0.74615773782807604"/>
    <n v="3.9768423925731801E-2"/>
    <s v="(800, 104)"/>
  </r>
  <r>
    <x v="0"/>
    <x v="1"/>
    <x v="1"/>
    <x v="0"/>
    <n v="0.75479889431235603"/>
    <n v="0"/>
    <s v="(800, 104)"/>
  </r>
  <r>
    <x v="0"/>
    <x v="1"/>
    <x v="1"/>
    <x v="1"/>
    <n v="0.77015867689314699"/>
    <n v="2.5076077879810199E-2"/>
    <s v="(800, 104)"/>
  </r>
  <r>
    <x v="0"/>
    <x v="2"/>
    <x v="2"/>
    <x v="0"/>
    <n v="0.75479889431235603"/>
    <n v="0"/>
    <s v="(800, 104)"/>
  </r>
  <r>
    <x v="0"/>
    <x v="2"/>
    <x v="2"/>
    <x v="1"/>
    <n v="0.77015867689314699"/>
    <n v="2.5076077879810199E-2"/>
    <s v="(800, 104)"/>
  </r>
  <r>
    <x v="0"/>
    <x v="3"/>
    <x v="3"/>
    <x v="0"/>
    <n v="0.75479889431235603"/>
    <n v="0"/>
    <s v="(800, 104)"/>
  </r>
  <r>
    <x v="0"/>
    <x v="3"/>
    <x v="3"/>
    <x v="1"/>
    <n v="0.77015867689314699"/>
    <n v="2.5076077879810199E-2"/>
    <s v="(800, 104)"/>
  </r>
  <r>
    <x v="0"/>
    <x v="4"/>
    <x v="4"/>
    <x v="0"/>
    <n v="0.75479889431235603"/>
    <n v="0"/>
    <s v="(800, 104)"/>
  </r>
  <r>
    <x v="0"/>
    <x v="4"/>
    <x v="4"/>
    <x v="1"/>
    <n v="0.77015867689314699"/>
    <n v="2.5076077879810199E-2"/>
    <s v="(800, 104)"/>
  </r>
  <r>
    <x v="0"/>
    <x v="5"/>
    <x v="5"/>
    <x v="0"/>
    <n v="0.746662653475481"/>
    <n v="0"/>
    <s v="(800, 104)"/>
  </r>
  <r>
    <x v="0"/>
    <x v="5"/>
    <x v="5"/>
    <x v="1"/>
    <n v="0.76127890438601997"/>
    <n v="3.0002202910360699E-2"/>
    <s v="(800, 104)"/>
  </r>
  <r>
    <x v="0"/>
    <x v="6"/>
    <x v="6"/>
    <x v="0"/>
    <n v="0.746662653475481"/>
    <n v="0"/>
    <s v="(800, 104)"/>
  </r>
  <r>
    <x v="0"/>
    <x v="6"/>
    <x v="6"/>
    <x v="1"/>
    <n v="0.76127890438601997"/>
    <n v="3.0002202910360699E-2"/>
    <s v="(800, 104)"/>
  </r>
  <r>
    <x v="0"/>
    <x v="7"/>
    <x v="7"/>
    <x v="0"/>
    <n v="0.746662653475481"/>
    <n v="0"/>
    <s v="(800, 104)"/>
  </r>
  <r>
    <x v="0"/>
    <x v="7"/>
    <x v="7"/>
    <x v="1"/>
    <n v="0.76127890438601997"/>
    <n v="3.0002202910360699E-2"/>
    <s v="(800, 104)"/>
  </r>
  <r>
    <x v="0"/>
    <x v="8"/>
    <x v="8"/>
    <x v="0"/>
    <n v="0.77151796269443296"/>
    <n v="0"/>
    <s v="(800, 104)"/>
  </r>
  <r>
    <x v="0"/>
    <x v="8"/>
    <x v="8"/>
    <x v="1"/>
    <n v="0.76857851341778605"/>
    <n v="3.5385389842760302E-2"/>
    <s v="(800, 104)"/>
  </r>
  <r>
    <x v="0"/>
    <x v="9"/>
    <x v="9"/>
    <x v="0"/>
    <n v="0.75479889431235603"/>
    <n v="0"/>
    <s v="(800, 104)"/>
  </r>
  <r>
    <x v="0"/>
    <x v="9"/>
    <x v="9"/>
    <x v="1"/>
    <n v="0.77644713428352197"/>
    <n v="2.9260096139159301E-2"/>
    <s v="(800, 104)"/>
  </r>
  <r>
    <x v="1"/>
    <x v="0"/>
    <x v="0"/>
    <x v="0"/>
    <n v="0.64064005912786404"/>
    <n v="0"/>
    <s v="(800, 649)"/>
  </r>
  <r>
    <x v="1"/>
    <x v="0"/>
    <x v="0"/>
    <x v="1"/>
    <n v="0.75839019746190595"/>
    <n v="2.31342339283316E-2"/>
    <s v="(800, 649)"/>
  </r>
  <r>
    <x v="1"/>
    <x v="1"/>
    <x v="1"/>
    <x v="0"/>
    <n v="0.77161220043572898"/>
    <n v="0"/>
    <s v="(800, 649)"/>
  </r>
  <r>
    <x v="1"/>
    <x v="1"/>
    <x v="1"/>
    <x v="1"/>
    <n v="0.78408283506058096"/>
    <n v="3.23575627903155E-2"/>
    <s v="(800, 649)"/>
  </r>
  <r>
    <x v="1"/>
    <x v="2"/>
    <x v="2"/>
    <x v="0"/>
    <n v="0.76744639376218304"/>
    <n v="0"/>
    <s v="(800, 649)"/>
  </r>
  <r>
    <x v="1"/>
    <x v="2"/>
    <x v="2"/>
    <x v="1"/>
    <n v="0.78767692727691996"/>
    <n v="3.0874685133170501E-2"/>
    <s v="(800, 649)"/>
  </r>
  <r>
    <x v="1"/>
    <x v="3"/>
    <x v="3"/>
    <x v="0"/>
    <n v="0.76744639376218304"/>
    <n v="0"/>
    <s v="(800, 649)"/>
  </r>
  <r>
    <x v="1"/>
    <x v="3"/>
    <x v="3"/>
    <x v="1"/>
    <n v="0.78767692727691996"/>
    <n v="3.0874685133170501E-2"/>
    <s v="(800, 649)"/>
  </r>
  <r>
    <x v="1"/>
    <x v="4"/>
    <x v="4"/>
    <x v="0"/>
    <n v="0.78777972795085505"/>
    <n v="0"/>
    <s v="(800, 649)"/>
  </r>
  <r>
    <x v="1"/>
    <x v="4"/>
    <x v="4"/>
    <x v="1"/>
    <n v="0.79871060924869897"/>
    <n v="3.5638904004743399E-2"/>
    <s v="(800, 649)"/>
  </r>
  <r>
    <x v="1"/>
    <x v="5"/>
    <x v="5"/>
    <x v="0"/>
    <n v="0.77129511193659295"/>
    <n v="0"/>
    <s v="(800, 649)"/>
  </r>
  <r>
    <x v="1"/>
    <x v="5"/>
    <x v="5"/>
    <x v="1"/>
    <n v="0.79883184190099099"/>
    <n v="2.6852462202724098E-2"/>
    <s v="(800, 649)"/>
  </r>
  <r>
    <x v="1"/>
    <x v="6"/>
    <x v="6"/>
    <x v="0"/>
    <n v="0.77129511193659295"/>
    <n v="0"/>
    <s v="(800, 649)"/>
  </r>
  <r>
    <x v="1"/>
    <x v="6"/>
    <x v="6"/>
    <x v="1"/>
    <n v="0.79883184190099099"/>
    <n v="2.6852462202724098E-2"/>
    <s v="(800, 649)"/>
  </r>
  <r>
    <x v="1"/>
    <x v="7"/>
    <x v="7"/>
    <x v="0"/>
    <n v="0.77142269808778996"/>
    <n v="0"/>
    <s v="(800, 649)"/>
  </r>
  <r>
    <x v="1"/>
    <x v="7"/>
    <x v="7"/>
    <x v="1"/>
    <n v="0.80005652875503697"/>
    <n v="2.65626789108541E-2"/>
    <s v="(800, 649)"/>
  </r>
  <r>
    <x v="1"/>
    <x v="8"/>
    <x v="8"/>
    <x v="0"/>
    <n v="0.27061657032755299"/>
    <n v="0"/>
    <s v="(800, 649)"/>
  </r>
  <r>
    <x v="1"/>
    <x v="8"/>
    <x v="8"/>
    <x v="1"/>
    <n v="0.33618402657964802"/>
    <n v="7.5233901387711799E-2"/>
    <s v="(800, 649)"/>
  </r>
  <r>
    <x v="1"/>
    <x v="9"/>
    <x v="9"/>
    <x v="0"/>
    <n v="0.79644327585504004"/>
    <n v="0"/>
    <s v="(800, 649)"/>
  </r>
  <r>
    <x v="1"/>
    <x v="9"/>
    <x v="9"/>
    <x v="1"/>
    <n v="0.59389894889632999"/>
    <n v="0.177863191796895"/>
    <s v="(800, 649)"/>
  </r>
  <r>
    <x v="2"/>
    <x v="0"/>
    <x v="0"/>
    <x v="0"/>
    <n v="0.31267507002801098"/>
    <n v="0"/>
    <s v="(800, 325)"/>
  </r>
  <r>
    <x v="2"/>
    <x v="0"/>
    <x v="0"/>
    <x v="1"/>
    <n v="0.48994230141654499"/>
    <n v="8.2413133661180499E-2"/>
    <s v="(800, 325)"/>
  </r>
  <r>
    <x v="2"/>
    <x v="1"/>
    <x v="1"/>
    <x v="0"/>
    <n v="0.76731934731934703"/>
    <n v="0"/>
    <s v="(800, 325)"/>
  </r>
  <r>
    <x v="2"/>
    <x v="1"/>
    <x v="1"/>
    <x v="1"/>
    <n v="0.77023558876480203"/>
    <n v="3.8524770631668703E-2"/>
    <s v="(800, 325)"/>
  </r>
  <r>
    <x v="2"/>
    <x v="2"/>
    <x v="2"/>
    <x v="0"/>
    <n v="0.76731934731934703"/>
    <n v="0"/>
    <s v="(800, 325)"/>
  </r>
  <r>
    <x v="2"/>
    <x v="2"/>
    <x v="2"/>
    <x v="1"/>
    <n v="0.76642397868813195"/>
    <n v="3.5889075097213098E-2"/>
    <s v="(800, 325)"/>
  </r>
  <r>
    <x v="2"/>
    <x v="3"/>
    <x v="3"/>
    <x v="0"/>
    <n v="0.76731934731934703"/>
    <n v="0"/>
    <s v="(800, 325)"/>
  </r>
  <r>
    <x v="2"/>
    <x v="3"/>
    <x v="3"/>
    <x v="1"/>
    <n v="0.76642397868813195"/>
    <n v="3.5889075097213098E-2"/>
    <s v="(800, 325)"/>
  </r>
  <r>
    <x v="2"/>
    <x v="4"/>
    <x v="4"/>
    <x v="0"/>
    <n v="0.75889184583420799"/>
    <n v="0"/>
    <s v="(800, 325)"/>
  </r>
  <r>
    <x v="2"/>
    <x v="4"/>
    <x v="4"/>
    <x v="1"/>
    <n v="0.77498641687786696"/>
    <n v="4.8951006141966603E-2"/>
    <s v="(800, 325)"/>
  </r>
  <r>
    <x v="2"/>
    <x v="5"/>
    <x v="5"/>
    <x v="0"/>
    <n v="0.75479889431235603"/>
    <n v="0"/>
    <s v="(800, 325)"/>
  </r>
  <r>
    <x v="2"/>
    <x v="5"/>
    <x v="5"/>
    <x v="1"/>
    <n v="0.77884768942750304"/>
    <n v="2.9711083469231798E-2"/>
    <s v="(800, 325)"/>
  </r>
  <r>
    <x v="2"/>
    <x v="6"/>
    <x v="6"/>
    <x v="0"/>
    <n v="0.75479889431235603"/>
    <n v="0"/>
    <s v="(800, 325)"/>
  </r>
  <r>
    <x v="2"/>
    <x v="6"/>
    <x v="6"/>
    <x v="1"/>
    <n v="0.77884768942750304"/>
    <n v="2.9711083469231798E-2"/>
    <s v="(800, 325)"/>
  </r>
  <r>
    <x v="2"/>
    <x v="7"/>
    <x v="7"/>
    <x v="0"/>
    <n v="0.74659264953382598"/>
    <n v="0"/>
    <s v="(800, 325)"/>
  </r>
  <r>
    <x v="2"/>
    <x v="7"/>
    <x v="7"/>
    <x v="1"/>
    <n v="0.77884768942750304"/>
    <n v="2.9711083469231798E-2"/>
    <s v="(800, 325)"/>
  </r>
  <r>
    <x v="2"/>
    <x v="8"/>
    <x v="8"/>
    <x v="0"/>
    <n v="0.29350443398946502"/>
    <n v="0"/>
    <s v="(800, 325)"/>
  </r>
  <r>
    <x v="2"/>
    <x v="8"/>
    <x v="8"/>
    <x v="1"/>
    <n v="0.45424308447900402"/>
    <n v="8.9823612476585102E-2"/>
    <s v="(800, 325)"/>
  </r>
  <r>
    <x v="2"/>
    <x v="9"/>
    <x v="9"/>
    <x v="0"/>
    <n v="0.27061657032755299"/>
    <n v="0"/>
    <s v="(800, 325)"/>
  </r>
  <r>
    <x v="2"/>
    <x v="9"/>
    <x v="9"/>
    <x v="1"/>
    <n v="0.40650656950309699"/>
    <n v="0.201056369582368"/>
    <s v="(800, 325)"/>
  </r>
  <r>
    <x v="3"/>
    <x v="0"/>
    <x v="0"/>
    <x v="0"/>
    <n v="0.779885117463189"/>
    <n v="0"/>
    <s v="(800, 3601)"/>
  </r>
  <r>
    <x v="3"/>
    <x v="0"/>
    <x v="0"/>
    <x v="1"/>
    <n v="0.76382319136752197"/>
    <n v="2.6863135943944402E-2"/>
    <s v="(800, 3601)"/>
  </r>
  <r>
    <x v="3"/>
    <x v="1"/>
    <x v="1"/>
    <x v="0"/>
    <n v="0.75078566939031999"/>
    <n v="0"/>
    <s v="(800, 3601)"/>
  </r>
  <r>
    <x v="3"/>
    <x v="1"/>
    <x v="1"/>
    <x v="1"/>
    <n v="0.76938960056735395"/>
    <n v="1.7903984389945098E-2"/>
    <s v="(800, 3601)"/>
  </r>
  <r>
    <x v="3"/>
    <x v="2"/>
    <x v="2"/>
    <x v="0"/>
    <n v="0.75078566939031999"/>
    <n v="0"/>
    <s v="(800, 3601)"/>
  </r>
  <r>
    <x v="3"/>
    <x v="2"/>
    <x v="2"/>
    <x v="1"/>
    <n v="0.76938960056735395"/>
    <n v="1.7903984389945098E-2"/>
    <s v="(800, 3601)"/>
  </r>
  <r>
    <x v="3"/>
    <x v="3"/>
    <x v="3"/>
    <x v="0"/>
    <n v="0.75078566939031999"/>
    <n v="0"/>
    <s v="(800, 3601)"/>
  </r>
  <r>
    <x v="3"/>
    <x v="3"/>
    <x v="3"/>
    <x v="1"/>
    <n v="0.76938960056735395"/>
    <n v="1.7903984389945098E-2"/>
    <s v="(800, 3601)"/>
  </r>
  <r>
    <x v="3"/>
    <x v="4"/>
    <x v="4"/>
    <x v="0"/>
    <n v="0.746662653475481"/>
    <n v="0"/>
    <s v="(800, 3601)"/>
  </r>
  <r>
    <x v="3"/>
    <x v="4"/>
    <x v="4"/>
    <x v="1"/>
    <n v="0.77326533520611795"/>
    <n v="2.2877273293131099E-2"/>
    <s v="(800, 3601)"/>
  </r>
  <r>
    <x v="3"/>
    <x v="5"/>
    <x v="5"/>
    <x v="0"/>
    <n v="0.775378787878787"/>
    <n v="0"/>
    <s v="(800, 3601)"/>
  </r>
  <r>
    <x v="3"/>
    <x v="5"/>
    <x v="5"/>
    <x v="1"/>
    <n v="0.77843577975401002"/>
    <n v="1.21602605787663E-2"/>
    <s v="(800, 3601)"/>
  </r>
  <r>
    <x v="3"/>
    <x v="6"/>
    <x v="6"/>
    <x v="0"/>
    <n v="0.79201739618406197"/>
    <n v="0"/>
    <s v="(800, 3601)"/>
  </r>
  <r>
    <x v="3"/>
    <x v="6"/>
    <x v="6"/>
    <x v="1"/>
    <n v="0.780657450143595"/>
    <n v="2.3587653890516001E-2"/>
    <s v="(800, 3601)"/>
  </r>
  <r>
    <x v="3"/>
    <x v="7"/>
    <x v="7"/>
    <x v="0"/>
    <n v="0.804751713575243"/>
    <n v="0"/>
    <s v="(800, 3601)"/>
  </r>
  <r>
    <x v="3"/>
    <x v="7"/>
    <x v="7"/>
    <x v="1"/>
    <n v="0.78981525402121999"/>
    <n v="2.6880146542379701E-2"/>
    <s v="(800, 3601)"/>
  </r>
  <r>
    <x v="3"/>
    <x v="8"/>
    <x v="8"/>
    <x v="0"/>
    <n v="0.27061657032755299"/>
    <n v="0"/>
    <s v="(800, 3601)"/>
  </r>
  <r>
    <x v="3"/>
    <x v="8"/>
    <x v="8"/>
    <x v="1"/>
    <n v="0.33618402657964802"/>
    <n v="7.5233901387711799E-2"/>
    <s v="(800, 3601)"/>
  </r>
  <r>
    <x v="3"/>
    <x v="9"/>
    <x v="9"/>
    <x v="0"/>
    <n v="0.75909281374397597"/>
    <n v="0"/>
    <s v="(800, 3601)"/>
  </r>
  <r>
    <x v="3"/>
    <x v="9"/>
    <x v="9"/>
    <x v="1"/>
    <n v="0.76931658830197802"/>
    <n v="3.1544492495142698E-2"/>
    <s v="(800, 3601)"/>
  </r>
  <r>
    <x v="4"/>
    <x v="0"/>
    <x v="0"/>
    <x v="0"/>
    <n v="0.75022837467500503"/>
    <n v="0"/>
    <s v="(800, 94)"/>
  </r>
  <r>
    <x v="4"/>
    <x v="0"/>
    <x v="0"/>
    <x v="1"/>
    <n v="0.76756598888070304"/>
    <n v="3.5998469362211599E-2"/>
    <s v="(800, 94)"/>
  </r>
  <r>
    <x v="4"/>
    <x v="1"/>
    <x v="1"/>
    <x v="0"/>
    <n v="0.76297857055246898"/>
    <n v="0"/>
    <s v="(800, 94)"/>
  </r>
  <r>
    <x v="4"/>
    <x v="1"/>
    <x v="1"/>
    <x v="1"/>
    <n v="0.76538974654002201"/>
    <n v="2.92582536898503E-2"/>
    <s v="(800, 94)"/>
  </r>
  <r>
    <x v="4"/>
    <x v="2"/>
    <x v="2"/>
    <x v="0"/>
    <n v="0.76297857055246898"/>
    <n v="0"/>
    <s v="(800, 94)"/>
  </r>
  <r>
    <x v="4"/>
    <x v="2"/>
    <x v="2"/>
    <x v="1"/>
    <n v="0.76538974654002201"/>
    <n v="2.92582536898503E-2"/>
    <s v="(800, 94)"/>
  </r>
  <r>
    <x v="4"/>
    <x v="3"/>
    <x v="3"/>
    <x v="0"/>
    <n v="0.76297857055246898"/>
    <n v="0"/>
    <s v="(800, 94)"/>
  </r>
  <r>
    <x v="4"/>
    <x v="3"/>
    <x v="3"/>
    <x v="1"/>
    <n v="0.76538974654002201"/>
    <n v="2.92582536898503E-2"/>
    <s v="(800, 94)"/>
  </r>
  <r>
    <x v="4"/>
    <x v="4"/>
    <x v="4"/>
    <x v="0"/>
    <n v="0.76297857055246898"/>
    <n v="0"/>
    <s v="(800, 94)"/>
  </r>
  <r>
    <x v="4"/>
    <x v="4"/>
    <x v="4"/>
    <x v="1"/>
    <n v="0.76538974654002201"/>
    <n v="2.92582536898503E-2"/>
    <s v="(800, 94)"/>
  </r>
  <r>
    <x v="4"/>
    <x v="5"/>
    <x v="5"/>
    <x v="0"/>
    <n v="0.76705948372614996"/>
    <n v="0"/>
    <s v="(800, 94)"/>
  </r>
  <r>
    <x v="4"/>
    <x v="5"/>
    <x v="5"/>
    <x v="1"/>
    <n v="0.77275302836271198"/>
    <n v="3.1016167340550502E-2"/>
    <s v="(800, 94)"/>
  </r>
  <r>
    <x v="4"/>
    <x v="6"/>
    <x v="6"/>
    <x v="0"/>
    <n v="0.76705948372614996"/>
    <n v="0"/>
    <s v="(800, 94)"/>
  </r>
  <r>
    <x v="4"/>
    <x v="6"/>
    <x v="6"/>
    <x v="1"/>
    <n v="0.77275302836271198"/>
    <n v="3.1016167340550502E-2"/>
    <s v="(800, 94)"/>
  </r>
  <r>
    <x v="4"/>
    <x v="7"/>
    <x v="7"/>
    <x v="0"/>
    <n v="0.76705948372614996"/>
    <n v="0"/>
    <s v="(800, 94)"/>
  </r>
  <r>
    <x v="4"/>
    <x v="7"/>
    <x v="7"/>
    <x v="1"/>
    <n v="0.77275302836271198"/>
    <n v="3.1016167340550502E-2"/>
    <s v="(800, 94)"/>
  </r>
  <r>
    <x v="4"/>
    <x v="8"/>
    <x v="8"/>
    <x v="0"/>
    <n v="0.78401424680494403"/>
    <n v="0"/>
    <s v="(800, 94)"/>
  </r>
  <r>
    <x v="4"/>
    <x v="8"/>
    <x v="8"/>
    <x v="1"/>
    <n v="0.785590660557825"/>
    <n v="3.54592383125623E-2"/>
    <s v="(800, 94)"/>
  </r>
  <r>
    <x v="4"/>
    <x v="9"/>
    <x v="9"/>
    <x v="0"/>
    <n v="0.77570710245128804"/>
    <n v="0"/>
    <s v="(800, 94)"/>
  </r>
  <r>
    <x v="4"/>
    <x v="9"/>
    <x v="9"/>
    <x v="1"/>
    <n v="0.80297312641442697"/>
    <n v="3.1813044833976997E-2"/>
    <s v="(800, 94)"/>
  </r>
  <r>
    <x v="5"/>
    <x v="0"/>
    <x v="0"/>
    <x v="0"/>
    <n v="0.725860869565217"/>
    <n v="0"/>
    <s v="(800, 118)"/>
  </r>
  <r>
    <x v="5"/>
    <x v="0"/>
    <x v="0"/>
    <x v="1"/>
    <n v="0.73228199794754401"/>
    <n v="3.0758730570539398E-2"/>
    <s v="(800, 118)"/>
  </r>
  <r>
    <x v="5"/>
    <x v="1"/>
    <x v="1"/>
    <x v="0"/>
    <n v="0.766138763197586"/>
    <n v="0"/>
    <s v="(800, 118)"/>
  </r>
  <r>
    <x v="5"/>
    <x v="1"/>
    <x v="1"/>
    <x v="1"/>
    <n v="0.74040528521756899"/>
    <n v="3.9198267399625099E-2"/>
    <s v="(800, 118)"/>
  </r>
  <r>
    <x v="5"/>
    <x v="2"/>
    <x v="2"/>
    <x v="0"/>
    <n v="0.766138763197586"/>
    <n v="0"/>
    <s v="(800, 118)"/>
  </r>
  <r>
    <x v="5"/>
    <x v="2"/>
    <x v="2"/>
    <x v="1"/>
    <n v="0.74040528521756899"/>
    <n v="3.9198267399625099E-2"/>
    <s v="(800, 118)"/>
  </r>
  <r>
    <x v="5"/>
    <x v="3"/>
    <x v="3"/>
    <x v="0"/>
    <n v="0.766138763197586"/>
    <n v="0"/>
    <s v="(800, 118)"/>
  </r>
  <r>
    <x v="5"/>
    <x v="3"/>
    <x v="3"/>
    <x v="1"/>
    <n v="0.74040528521756899"/>
    <n v="3.9198267399625099E-2"/>
    <s v="(800, 118)"/>
  </r>
  <r>
    <x v="5"/>
    <x v="4"/>
    <x v="4"/>
    <x v="0"/>
    <n v="0.766138763197586"/>
    <n v="0"/>
    <s v="(800, 118)"/>
  </r>
  <r>
    <x v="5"/>
    <x v="4"/>
    <x v="4"/>
    <x v="1"/>
    <n v="0.74040528521756899"/>
    <n v="3.9198267399625099E-2"/>
    <s v="(800, 118)"/>
  </r>
  <r>
    <x v="5"/>
    <x v="5"/>
    <x v="5"/>
    <x v="0"/>
    <n v="0.78760088621617297"/>
    <n v="0"/>
    <s v="(800, 118)"/>
  </r>
  <r>
    <x v="5"/>
    <x v="5"/>
    <x v="5"/>
    <x v="1"/>
    <n v="0.74542368441004403"/>
    <n v="4.2972989457534402E-2"/>
    <s v="(800, 118)"/>
  </r>
  <r>
    <x v="5"/>
    <x v="6"/>
    <x v="6"/>
    <x v="0"/>
    <n v="0.78760088621617297"/>
    <n v="0"/>
    <s v="(800, 118)"/>
  </r>
  <r>
    <x v="5"/>
    <x v="6"/>
    <x v="6"/>
    <x v="1"/>
    <n v="0.74542368441004403"/>
    <n v="4.2972989457534402E-2"/>
    <s v="(800, 118)"/>
  </r>
  <r>
    <x v="5"/>
    <x v="7"/>
    <x v="7"/>
    <x v="0"/>
    <n v="0.78760088621617297"/>
    <n v="0"/>
    <s v="(800, 118)"/>
  </r>
  <r>
    <x v="5"/>
    <x v="7"/>
    <x v="7"/>
    <x v="1"/>
    <n v="0.74542368441004403"/>
    <n v="4.2972989457534402E-2"/>
    <s v="(800, 118)"/>
  </r>
  <r>
    <x v="5"/>
    <x v="8"/>
    <x v="8"/>
    <x v="0"/>
    <n v="0.77570710245128804"/>
    <n v="0"/>
    <s v="(800, 118)"/>
  </r>
  <r>
    <x v="5"/>
    <x v="8"/>
    <x v="8"/>
    <x v="1"/>
    <n v="0.76220242797623705"/>
    <n v="3.56545482418269E-2"/>
    <s v="(800, 118)"/>
  </r>
  <r>
    <x v="5"/>
    <x v="9"/>
    <x v="9"/>
    <x v="0"/>
    <n v="0.72174156358554098"/>
    <n v="0"/>
    <s v="(800, 118)"/>
  </r>
  <r>
    <x v="5"/>
    <x v="9"/>
    <x v="9"/>
    <x v="1"/>
    <n v="0.74119263265973101"/>
    <n v="3.4389233417044099E-2"/>
    <s v="(800, 118)"/>
  </r>
  <r>
    <x v="6"/>
    <x v="0"/>
    <x v="0"/>
    <x v="0"/>
    <n v="0.31267507002801098"/>
    <n v="0"/>
    <s v="(800, 325)"/>
  </r>
  <r>
    <x v="6"/>
    <x v="0"/>
    <x v="0"/>
    <x v="1"/>
    <n v="0.49791259724513798"/>
    <n v="7.7051434928757198E-2"/>
    <s v="(800, 325)"/>
  </r>
  <r>
    <x v="6"/>
    <x v="1"/>
    <x v="1"/>
    <x v="0"/>
    <n v="0.73407925407925401"/>
    <n v="0"/>
    <s v="(800, 325)"/>
  </r>
  <r>
    <x v="6"/>
    <x v="1"/>
    <x v="1"/>
    <x v="1"/>
    <n v="0.72950228534188899"/>
    <n v="3.4844990731574002E-2"/>
    <s v="(800, 325)"/>
  </r>
  <r>
    <x v="6"/>
    <x v="2"/>
    <x v="2"/>
    <x v="0"/>
    <n v="0.73407925407925401"/>
    <n v="0"/>
    <s v="(800, 325)"/>
  </r>
  <r>
    <x v="6"/>
    <x v="2"/>
    <x v="2"/>
    <x v="1"/>
    <n v="0.72991791155152497"/>
    <n v="3.63001115570133E-2"/>
    <s v="(800, 325)"/>
  </r>
  <r>
    <x v="6"/>
    <x v="3"/>
    <x v="3"/>
    <x v="0"/>
    <n v="0.73407925407925401"/>
    <n v="0"/>
    <s v="(800, 325)"/>
  </r>
  <r>
    <x v="6"/>
    <x v="3"/>
    <x v="3"/>
    <x v="1"/>
    <n v="0.72991791155152497"/>
    <n v="3.63001115570133E-2"/>
    <s v="(800, 325)"/>
  </r>
  <r>
    <x v="6"/>
    <x v="4"/>
    <x v="4"/>
    <x v="0"/>
    <n v="0.75083542188805297"/>
    <n v="0"/>
    <s v="(800, 325)"/>
  </r>
  <r>
    <x v="6"/>
    <x v="4"/>
    <x v="4"/>
    <x v="1"/>
    <n v="0.73739841072256596"/>
    <n v="3.1022373740170799E-2"/>
    <s v="(800, 325)"/>
  </r>
  <r>
    <x v="6"/>
    <x v="5"/>
    <x v="5"/>
    <x v="0"/>
    <n v="0.75496879598448197"/>
    <n v="0"/>
    <s v="(800, 325)"/>
  </r>
  <r>
    <x v="6"/>
    <x v="5"/>
    <x v="5"/>
    <x v="1"/>
    <n v="0.76526628222179505"/>
    <n v="3.9891398102291697E-2"/>
    <s v="(800, 325)"/>
  </r>
  <r>
    <x v="6"/>
    <x v="6"/>
    <x v="6"/>
    <x v="0"/>
    <n v="0.75496879598448197"/>
    <n v="0"/>
    <s v="(800, 325)"/>
  </r>
  <r>
    <x v="6"/>
    <x v="6"/>
    <x v="6"/>
    <x v="1"/>
    <n v="0.76526628222179505"/>
    <n v="3.9891398102291697E-2"/>
    <s v="(800, 325)"/>
  </r>
  <r>
    <x v="6"/>
    <x v="7"/>
    <x v="7"/>
    <x v="0"/>
    <n v="0.75914248511904703"/>
    <n v="0"/>
    <s v="(800, 325)"/>
  </r>
  <r>
    <x v="6"/>
    <x v="7"/>
    <x v="7"/>
    <x v="1"/>
    <n v="0.76150787413301102"/>
    <n v="3.7349502634619697E-2"/>
    <s v="(800, 325)"/>
  </r>
  <r>
    <x v="6"/>
    <x v="8"/>
    <x v="8"/>
    <x v="0"/>
    <n v="0.29184937382055198"/>
    <n v="0"/>
    <s v="(800, 325)"/>
  </r>
  <r>
    <x v="6"/>
    <x v="8"/>
    <x v="8"/>
    <x v="1"/>
    <n v="0.43169149372091797"/>
    <n v="8.2237766962424796E-2"/>
    <s v="(800, 325)"/>
  </r>
  <r>
    <x v="6"/>
    <x v="9"/>
    <x v="9"/>
    <x v="0"/>
    <n v="0.27061657032755299"/>
    <n v="0"/>
    <s v="(800, 325)"/>
  </r>
  <r>
    <x v="6"/>
    <x v="9"/>
    <x v="9"/>
    <x v="1"/>
    <n v="0.455202071204799"/>
    <n v="0.22563091472841099"/>
    <s v="(800, 325)"/>
  </r>
  <r>
    <x v="7"/>
    <x v="0"/>
    <x v="0"/>
    <x v="0"/>
    <n v="0.27061657032755299"/>
    <n v="0"/>
    <s v="(800, 51)"/>
  </r>
  <r>
    <x v="7"/>
    <x v="0"/>
    <x v="0"/>
    <x v="1"/>
    <n v="0.33618402657964802"/>
    <n v="7.5233901387711799E-2"/>
    <s v="(800, 51)"/>
  </r>
  <r>
    <x v="7"/>
    <x v="1"/>
    <x v="1"/>
    <x v="0"/>
    <n v="0.65797740583836795"/>
    <n v="0"/>
    <s v="(800, 51)"/>
  </r>
  <r>
    <x v="7"/>
    <x v="1"/>
    <x v="1"/>
    <x v="1"/>
    <n v="0.66330815498517703"/>
    <n v="3.5409226068261399E-2"/>
    <s v="(800, 51)"/>
  </r>
  <r>
    <x v="7"/>
    <x v="2"/>
    <x v="2"/>
    <x v="0"/>
    <n v="0.65797740583836795"/>
    <n v="0"/>
    <s v="(800, 51)"/>
  </r>
  <r>
    <x v="7"/>
    <x v="2"/>
    <x v="2"/>
    <x v="1"/>
    <n v="0.66330815498517703"/>
    <n v="3.5409226068261399E-2"/>
    <s v="(800, 51)"/>
  </r>
  <r>
    <x v="7"/>
    <x v="3"/>
    <x v="3"/>
    <x v="0"/>
    <n v="0.65797740583836795"/>
    <n v="0"/>
    <s v="(800, 51)"/>
  </r>
  <r>
    <x v="7"/>
    <x v="3"/>
    <x v="3"/>
    <x v="1"/>
    <n v="0.66330815498517703"/>
    <n v="3.5409226068261399E-2"/>
    <s v="(800, 51)"/>
  </r>
  <r>
    <x v="7"/>
    <x v="4"/>
    <x v="4"/>
    <x v="0"/>
    <n v="0.65797740583836795"/>
    <n v="0"/>
    <s v="(800, 51)"/>
  </r>
  <r>
    <x v="7"/>
    <x v="4"/>
    <x v="4"/>
    <x v="1"/>
    <n v="0.66335618113389805"/>
    <n v="3.81033583446726E-2"/>
    <s v="(800, 51)"/>
  </r>
  <r>
    <x v="7"/>
    <x v="5"/>
    <x v="5"/>
    <x v="0"/>
    <n v="0.27061657032755299"/>
    <n v="0"/>
    <s v="(800, 51)"/>
  </r>
  <r>
    <x v="7"/>
    <x v="5"/>
    <x v="5"/>
    <x v="1"/>
    <n v="0.469869727624806"/>
    <n v="0.186429649952568"/>
    <s v="(800, 51)"/>
  </r>
  <r>
    <x v="7"/>
    <x v="6"/>
    <x v="6"/>
    <x v="0"/>
    <n v="0.27061657032755299"/>
    <n v="0"/>
    <s v="(800, 51)"/>
  </r>
  <r>
    <x v="7"/>
    <x v="6"/>
    <x v="6"/>
    <x v="1"/>
    <n v="0.469869727624806"/>
    <n v="0.186429649952568"/>
    <s v="(800, 51)"/>
  </r>
  <r>
    <x v="7"/>
    <x v="7"/>
    <x v="7"/>
    <x v="0"/>
    <n v="0.27061657032755299"/>
    <n v="0"/>
    <s v="(800, 51)"/>
  </r>
  <r>
    <x v="7"/>
    <x v="7"/>
    <x v="7"/>
    <x v="1"/>
    <n v="0.469869727624806"/>
    <n v="0.186429649952568"/>
    <s v="(800, 51)"/>
  </r>
  <r>
    <x v="7"/>
    <x v="8"/>
    <x v="8"/>
    <x v="0"/>
    <n v="0.27061657032755299"/>
    <n v="0"/>
    <s v="(800, 51)"/>
  </r>
  <r>
    <x v="7"/>
    <x v="8"/>
    <x v="8"/>
    <x v="1"/>
    <n v="0.33618402657964802"/>
    <n v="7.5233901387711799E-2"/>
    <s v="(800, 51)"/>
  </r>
  <r>
    <x v="7"/>
    <x v="9"/>
    <x v="9"/>
    <x v="0"/>
    <n v="0.27061657032755299"/>
    <n v="0"/>
    <s v="(800, 51)"/>
  </r>
  <r>
    <x v="7"/>
    <x v="9"/>
    <x v="9"/>
    <x v="1"/>
    <n v="0.30022970486657402"/>
    <n v="6.3660691750285894E-2"/>
    <s v="(800, 51)"/>
  </r>
  <r>
    <x v="8"/>
    <x v="0"/>
    <x v="0"/>
    <x v="0"/>
    <n v="0.40008912655971401"/>
    <n v="0"/>
    <s v="(800, 99)"/>
  </r>
  <r>
    <x v="8"/>
    <x v="0"/>
    <x v="0"/>
    <x v="1"/>
    <n v="0.33610923796712"/>
    <n v="7.6863067730611495E-2"/>
    <s v="(800, 99)"/>
  </r>
  <r>
    <x v="8"/>
    <x v="1"/>
    <x v="1"/>
    <x v="0"/>
    <n v="0.68842904083867895"/>
    <n v="0"/>
    <s v="(800, 99)"/>
  </r>
  <r>
    <x v="8"/>
    <x v="1"/>
    <x v="1"/>
    <x v="1"/>
    <n v="0.67855969935471205"/>
    <n v="5.0305071525792402E-2"/>
    <s v="(800, 99)"/>
  </r>
  <r>
    <x v="8"/>
    <x v="2"/>
    <x v="2"/>
    <x v="0"/>
    <n v="0.68842904083867895"/>
    <n v="0"/>
    <s v="(800, 99)"/>
  </r>
  <r>
    <x v="8"/>
    <x v="2"/>
    <x v="2"/>
    <x v="1"/>
    <n v="0.67855969935471205"/>
    <n v="5.0305071525792402E-2"/>
    <s v="(800, 99)"/>
  </r>
  <r>
    <x v="8"/>
    <x v="3"/>
    <x v="3"/>
    <x v="0"/>
    <n v="0.68842904083867895"/>
    <n v="0"/>
    <s v="(800, 99)"/>
  </r>
  <r>
    <x v="8"/>
    <x v="3"/>
    <x v="3"/>
    <x v="1"/>
    <n v="0.67855969935471205"/>
    <n v="5.0305071525792402E-2"/>
    <s v="(800, 99)"/>
  </r>
  <r>
    <x v="8"/>
    <x v="4"/>
    <x v="4"/>
    <x v="0"/>
    <n v="0.68842904083867895"/>
    <n v="0"/>
    <s v="(800, 99)"/>
  </r>
  <r>
    <x v="8"/>
    <x v="4"/>
    <x v="4"/>
    <x v="1"/>
    <n v="0.68114495475595904"/>
    <n v="4.9710112655513401E-2"/>
    <s v="(800, 99)"/>
  </r>
  <r>
    <x v="8"/>
    <x v="5"/>
    <x v="5"/>
    <x v="0"/>
    <n v="0.27927662258365299"/>
    <n v="0"/>
    <s v="(800, 99)"/>
  </r>
  <r>
    <x v="8"/>
    <x v="5"/>
    <x v="5"/>
    <x v="1"/>
    <n v="0.31507486650740202"/>
    <n v="6.2895736106692093E-2"/>
    <s v="(800, 99)"/>
  </r>
  <r>
    <x v="8"/>
    <x v="6"/>
    <x v="6"/>
    <x v="0"/>
    <n v="0.27927662258365299"/>
    <n v="0"/>
    <s v="(800, 99)"/>
  </r>
  <r>
    <x v="8"/>
    <x v="6"/>
    <x v="6"/>
    <x v="1"/>
    <n v="0.31507486650740202"/>
    <n v="6.2895736106692093E-2"/>
    <s v="(800, 99)"/>
  </r>
  <r>
    <x v="8"/>
    <x v="7"/>
    <x v="7"/>
    <x v="0"/>
    <n v="0.27927662258365299"/>
    <n v="0"/>
    <s v="(800, 99)"/>
  </r>
  <r>
    <x v="8"/>
    <x v="7"/>
    <x v="7"/>
    <x v="1"/>
    <n v="0.31507486650740202"/>
    <n v="6.2895736106692093E-2"/>
    <s v="(800, 99)"/>
  </r>
  <r>
    <x v="8"/>
    <x v="8"/>
    <x v="8"/>
    <x v="0"/>
    <n v="0.40008912655971401"/>
    <n v="0"/>
    <s v="(800, 99)"/>
  </r>
  <r>
    <x v="8"/>
    <x v="8"/>
    <x v="8"/>
    <x v="1"/>
    <n v="0.33610923796712"/>
    <n v="7.6863067730611495E-2"/>
    <s v="(800, 99)"/>
  </r>
  <r>
    <x v="8"/>
    <x v="9"/>
    <x v="9"/>
    <x v="0"/>
    <n v="0.27061657032755299"/>
    <n v="0"/>
    <s v="(800, 99)"/>
  </r>
  <r>
    <x v="8"/>
    <x v="9"/>
    <x v="9"/>
    <x v="1"/>
    <n v="0.313976015490946"/>
    <n v="7.2430839299061398E-2"/>
    <s v="(800, 99)"/>
  </r>
  <r>
    <x v="9"/>
    <x v="0"/>
    <x v="0"/>
    <x v="0"/>
    <n v="0.78353125805167101"/>
    <n v="0"/>
    <s v="(800, 1765)"/>
  </r>
  <r>
    <x v="9"/>
    <x v="0"/>
    <x v="0"/>
    <x v="1"/>
    <n v="0.79262826093482996"/>
    <n v="4.4120334612033602E-2"/>
    <s v="(800, 1765)"/>
  </r>
  <r>
    <x v="9"/>
    <x v="1"/>
    <x v="1"/>
    <x v="0"/>
    <n v="0.77927150920504196"/>
    <n v="0"/>
    <s v="(800, 1765)"/>
  </r>
  <r>
    <x v="9"/>
    <x v="1"/>
    <x v="1"/>
    <x v="1"/>
    <n v="0.77142799795994499"/>
    <n v="2.7053699893359099E-2"/>
    <s v="(800, 1765)"/>
  </r>
  <r>
    <x v="9"/>
    <x v="2"/>
    <x v="2"/>
    <x v="0"/>
    <n v="0.77927150920504196"/>
    <n v="0"/>
    <s v="(800, 1765)"/>
  </r>
  <r>
    <x v="9"/>
    <x v="2"/>
    <x v="2"/>
    <x v="1"/>
    <n v="0.77142799795994499"/>
    <n v="2.7053699893359099E-2"/>
    <s v="(800, 1765)"/>
  </r>
  <r>
    <x v="9"/>
    <x v="3"/>
    <x v="3"/>
    <x v="0"/>
    <n v="0.77927150920504196"/>
    <n v="0"/>
    <s v="(800, 1765)"/>
  </r>
  <r>
    <x v="9"/>
    <x v="3"/>
    <x v="3"/>
    <x v="1"/>
    <n v="0.77142799795994499"/>
    <n v="2.7053699893359099E-2"/>
    <s v="(800, 1765)"/>
  </r>
  <r>
    <x v="9"/>
    <x v="4"/>
    <x v="4"/>
    <x v="0"/>
    <n v="0.78777972795085505"/>
    <n v="0"/>
    <s v="(800, 1765)"/>
  </r>
  <r>
    <x v="9"/>
    <x v="4"/>
    <x v="4"/>
    <x v="1"/>
    <n v="0.77140620320439401"/>
    <n v="2.3801311003751598E-2"/>
    <s v="(800, 1765)"/>
  </r>
  <r>
    <x v="9"/>
    <x v="5"/>
    <x v="5"/>
    <x v="0"/>
    <n v="0.77129511193659295"/>
    <n v="0"/>
    <s v="(800, 1765)"/>
  </r>
  <r>
    <x v="9"/>
    <x v="5"/>
    <x v="5"/>
    <x v="1"/>
    <n v="0.77247584870181496"/>
    <n v="2.9793545616509699E-2"/>
    <s v="(800, 1765)"/>
  </r>
  <r>
    <x v="9"/>
    <x v="6"/>
    <x v="6"/>
    <x v="0"/>
    <n v="0.76666666666666605"/>
    <n v="0"/>
    <s v="(800, 1765)"/>
  </r>
  <r>
    <x v="9"/>
    <x v="6"/>
    <x v="6"/>
    <x v="1"/>
    <n v="0.77895301934396799"/>
    <n v="3.5441890168052E-2"/>
    <s v="(800, 1765)"/>
  </r>
  <r>
    <x v="9"/>
    <x v="7"/>
    <x v="7"/>
    <x v="0"/>
    <n v="0.76666666666666605"/>
    <n v="0"/>
    <s v="(800, 1765)"/>
  </r>
  <r>
    <x v="9"/>
    <x v="7"/>
    <x v="7"/>
    <x v="1"/>
    <n v="0.790415394439129"/>
    <n v="3.88890061874421E-2"/>
    <s v="(800, 1765)"/>
  </r>
  <r>
    <x v="9"/>
    <x v="8"/>
    <x v="8"/>
    <x v="0"/>
    <n v="0.27061657032755299"/>
    <n v="0"/>
    <s v="(800, 1765)"/>
  </r>
  <r>
    <x v="9"/>
    <x v="8"/>
    <x v="8"/>
    <x v="1"/>
    <n v="0.33618402657964802"/>
    <n v="7.5233901387711799E-2"/>
    <s v="(800, 1765)"/>
  </r>
  <r>
    <x v="9"/>
    <x v="9"/>
    <x v="9"/>
    <x v="0"/>
    <n v="0.77570434782608699"/>
    <n v="0"/>
    <s v="(800, 1765)"/>
  </r>
  <r>
    <x v="9"/>
    <x v="9"/>
    <x v="9"/>
    <x v="1"/>
    <n v="0.77043646611307803"/>
    <n v="3.9004018338110499E-2"/>
    <s v="(800, 1765)"/>
  </r>
  <r>
    <x v="10"/>
    <x v="0"/>
    <x v="0"/>
    <x v="0"/>
    <n v="0.78792819470484099"/>
    <n v="0"/>
    <s v="(800, 1765)"/>
  </r>
  <r>
    <x v="10"/>
    <x v="0"/>
    <x v="0"/>
    <x v="1"/>
    <n v="0.77635255037881601"/>
    <n v="3.4339583416044303E-2"/>
    <s v="(800, 1765)"/>
  </r>
  <r>
    <x v="10"/>
    <x v="1"/>
    <x v="1"/>
    <x v="0"/>
    <n v="0.75889184583420799"/>
    <n v="0"/>
    <s v="(800, 1765)"/>
  </r>
  <r>
    <x v="10"/>
    <x v="1"/>
    <x v="1"/>
    <x v="1"/>
    <n v="0.77679940524711699"/>
    <n v="2.89052181865368E-2"/>
    <s v="(800, 1765)"/>
  </r>
  <r>
    <x v="10"/>
    <x v="2"/>
    <x v="2"/>
    <x v="0"/>
    <n v="0.75889184583420799"/>
    <n v="0"/>
    <s v="(800, 1765)"/>
  </r>
  <r>
    <x v="10"/>
    <x v="2"/>
    <x v="2"/>
    <x v="1"/>
    <n v="0.77679940524711699"/>
    <n v="2.89052181865368E-2"/>
    <s v="(800, 1765)"/>
  </r>
  <r>
    <x v="10"/>
    <x v="3"/>
    <x v="3"/>
    <x v="0"/>
    <n v="0.75889184583420799"/>
    <n v="0"/>
    <s v="(800, 1765)"/>
  </r>
  <r>
    <x v="10"/>
    <x v="3"/>
    <x v="3"/>
    <x v="1"/>
    <n v="0.77679940524711699"/>
    <n v="2.89052181865368E-2"/>
    <s v="(800, 1765)"/>
  </r>
  <r>
    <x v="10"/>
    <x v="4"/>
    <x v="4"/>
    <x v="0"/>
    <n v="0.75889184583420799"/>
    <n v="0"/>
    <s v="(800, 1765)"/>
  </r>
  <r>
    <x v="10"/>
    <x v="4"/>
    <x v="4"/>
    <x v="1"/>
    <n v="0.77195491345477596"/>
    <n v="2.9941042475696102E-2"/>
    <s v="(800, 1765)"/>
  </r>
  <r>
    <x v="10"/>
    <x v="5"/>
    <x v="5"/>
    <x v="0"/>
    <n v="0.77973459997550598"/>
    <n v="0"/>
    <s v="(800, 1765)"/>
  </r>
  <r>
    <x v="10"/>
    <x v="5"/>
    <x v="5"/>
    <x v="1"/>
    <n v="0.78472395882516"/>
    <n v="3.1464588287205497E-2"/>
    <s v="(800, 1765)"/>
  </r>
  <r>
    <x v="10"/>
    <x v="6"/>
    <x v="6"/>
    <x v="0"/>
    <n v="0.79635840375094002"/>
    <n v="0"/>
    <s v="(800, 1765)"/>
  </r>
  <r>
    <x v="10"/>
    <x v="6"/>
    <x v="6"/>
    <x v="1"/>
    <n v="0.78738779874859099"/>
    <n v="2.6999468073415502E-2"/>
    <s v="(800, 1765)"/>
  </r>
  <r>
    <x v="10"/>
    <x v="7"/>
    <x v="7"/>
    <x v="0"/>
    <n v="0.80877629152368202"/>
    <n v="0"/>
    <s v="(800, 1765)"/>
  </r>
  <r>
    <x v="10"/>
    <x v="7"/>
    <x v="7"/>
    <x v="1"/>
    <n v="0.78376630462136998"/>
    <n v="3.10613001644004E-2"/>
    <s v="(800, 1765)"/>
  </r>
  <r>
    <x v="10"/>
    <x v="8"/>
    <x v="8"/>
    <x v="0"/>
    <n v="0.27061657032755299"/>
    <n v="0"/>
    <s v="(800, 1765)"/>
  </r>
  <r>
    <x v="10"/>
    <x v="8"/>
    <x v="8"/>
    <x v="1"/>
    <n v="0.33618402657964802"/>
    <n v="7.5233901387711799E-2"/>
    <s v="(800, 1765)"/>
  </r>
  <r>
    <x v="10"/>
    <x v="9"/>
    <x v="9"/>
    <x v="0"/>
    <n v="0.81306015129544496"/>
    <n v="0"/>
    <s v="(800, 1765)"/>
  </r>
  <r>
    <x v="10"/>
    <x v="9"/>
    <x v="9"/>
    <x v="1"/>
    <n v="0.78147297110113001"/>
    <n v="3.1036407652017602E-2"/>
    <s v="(800, 1765)"/>
  </r>
  <r>
    <x v="11"/>
    <x v="0"/>
    <x v="0"/>
    <x v="0"/>
    <n v="0.40008912655971401"/>
    <n v="0"/>
    <s v="(800, 195)"/>
  </r>
  <r>
    <x v="11"/>
    <x v="0"/>
    <x v="0"/>
    <x v="1"/>
    <n v="0.33610923796712"/>
    <n v="7.6863067730611495E-2"/>
    <s v="(800, 195)"/>
  </r>
  <r>
    <x v="11"/>
    <x v="1"/>
    <x v="1"/>
    <x v="0"/>
    <n v="0.696737599749648"/>
    <n v="0"/>
    <s v="(800, 195)"/>
  </r>
  <r>
    <x v="11"/>
    <x v="1"/>
    <x v="1"/>
    <x v="1"/>
    <n v="0.68832932173308403"/>
    <n v="4.6619932475685202E-2"/>
    <s v="(800, 195)"/>
  </r>
  <r>
    <x v="11"/>
    <x v="2"/>
    <x v="2"/>
    <x v="0"/>
    <n v="0.696737599749648"/>
    <n v="0"/>
    <s v="(800, 195)"/>
  </r>
  <r>
    <x v="11"/>
    <x v="2"/>
    <x v="2"/>
    <x v="1"/>
    <n v="0.68832932173308403"/>
    <n v="4.6619932475685202E-2"/>
    <s v="(800, 195)"/>
  </r>
  <r>
    <x v="11"/>
    <x v="3"/>
    <x v="3"/>
    <x v="0"/>
    <n v="0.696737599749648"/>
    <n v="0"/>
    <s v="(800, 195)"/>
  </r>
  <r>
    <x v="11"/>
    <x v="3"/>
    <x v="3"/>
    <x v="1"/>
    <n v="0.68832932173308403"/>
    <n v="4.6619932475685202E-2"/>
    <s v="(800, 195)"/>
  </r>
  <r>
    <x v="11"/>
    <x v="4"/>
    <x v="4"/>
    <x v="0"/>
    <n v="0.69252410085279903"/>
    <n v="0"/>
    <s v="(800, 195)"/>
  </r>
  <r>
    <x v="11"/>
    <x v="4"/>
    <x v="4"/>
    <x v="1"/>
    <n v="0.68820876886231197"/>
    <n v="4.7694676571908498E-2"/>
    <s v="(800, 195)"/>
  </r>
  <r>
    <x v="11"/>
    <x v="5"/>
    <x v="5"/>
    <x v="0"/>
    <n v="0.27061657032755299"/>
    <n v="0"/>
    <s v="(800, 195)"/>
  </r>
  <r>
    <x v="11"/>
    <x v="5"/>
    <x v="5"/>
    <x v="1"/>
    <n v="0.32096954280197398"/>
    <n v="0.108902146306491"/>
    <s v="(800, 195)"/>
  </r>
  <r>
    <x v="11"/>
    <x v="6"/>
    <x v="6"/>
    <x v="0"/>
    <n v="0.27061657032755299"/>
    <n v="0"/>
    <s v="(800, 195)"/>
  </r>
  <r>
    <x v="11"/>
    <x v="6"/>
    <x v="6"/>
    <x v="1"/>
    <n v="0.32096954280197398"/>
    <n v="0.108902146306491"/>
    <s v="(800, 195)"/>
  </r>
  <r>
    <x v="11"/>
    <x v="7"/>
    <x v="7"/>
    <x v="0"/>
    <n v="0.27061657032755299"/>
    <n v="0"/>
    <s v="(800, 195)"/>
  </r>
  <r>
    <x v="11"/>
    <x v="7"/>
    <x v="7"/>
    <x v="1"/>
    <n v="0.32096954280197398"/>
    <n v="0.108902146306491"/>
    <s v="(800, 195)"/>
  </r>
  <r>
    <x v="11"/>
    <x v="8"/>
    <x v="8"/>
    <x v="0"/>
    <n v="0.40008912655971401"/>
    <n v="0"/>
    <s v="(800, 195)"/>
  </r>
  <r>
    <x v="11"/>
    <x v="8"/>
    <x v="8"/>
    <x v="1"/>
    <n v="0.33610923796712"/>
    <n v="7.6863067730611495E-2"/>
    <s v="(800, 195)"/>
  </r>
  <r>
    <x v="11"/>
    <x v="9"/>
    <x v="9"/>
    <x v="0"/>
    <n v="0.27061657032755299"/>
    <n v="0"/>
    <s v="(800, 195)"/>
  </r>
  <r>
    <x v="11"/>
    <x v="9"/>
    <x v="9"/>
    <x v="1"/>
    <n v="0.36652315852367301"/>
    <n v="7.2686813178068702E-2"/>
    <s v="(800, 195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DAED7-F198-7244-B189-C4A12FFB118D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L28" firstHeaderRow="1" firstDataRow="2" firstDataCol="2"/>
  <pivotFields count="7">
    <pivotField axis="axisRow" compact="0" outline="0" showAll="0" defaultSubtotal="0">
      <items count="12">
        <item x="10"/>
        <item x="5"/>
        <item x="3"/>
        <item x="0"/>
        <item x="6"/>
        <item x="9"/>
        <item x="4"/>
        <item x="1"/>
        <item x="2"/>
        <item x="8"/>
        <item x="11"/>
        <item x="7"/>
      </items>
    </pivotField>
    <pivotField axis="axisCol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outline="0" showAll="0" defaultSubtotal="0">
      <items count="10">
        <item x="9"/>
        <item x="8"/>
        <item x="0"/>
        <item x="7"/>
        <item x="6"/>
        <item x="5"/>
        <item x="1"/>
        <item x="2"/>
        <item x="3"/>
        <item x="4"/>
      </items>
    </pivotField>
    <pivotField axis="axisRow" compact="0" outline="0" showAll="0" sortType="descending" defaultSubtotal="0">
      <items count="2">
        <item x="0"/>
        <item x="1"/>
      </items>
    </pivotField>
    <pivotField dataField="1"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3"/>
  </rowFields>
  <rowItems count="24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>
      <x v="7"/>
      <x/>
    </i>
    <i r="1">
      <x v="1"/>
    </i>
    <i>
      <x v="8"/>
      <x/>
    </i>
    <i r="1">
      <x v="1"/>
    </i>
    <i>
      <x v="9"/>
      <x/>
    </i>
    <i r="1">
      <x v="1"/>
    </i>
    <i>
      <x v="10"/>
      <x/>
    </i>
    <i r="1">
      <x v="1"/>
    </i>
    <i>
      <x v="11"/>
      <x/>
    </i>
    <i r="1">
      <x v="1"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Máx. de f1_score" fld="4" subtotal="max" baseField="0" baseItem="0" numFmtId="164"/>
  </dataFields>
  <formats count="74">
    <format dxfId="73">
      <pivotArea type="all" dataOnly="0" outline="0" fieldPosition="0"/>
    </format>
    <format dxfId="72">
      <pivotArea type="origin" dataOnly="0" labelOnly="1" outline="0" fieldPosition="0"/>
    </format>
    <format dxfId="71">
      <pivotArea field="1" type="button" dataOnly="0" labelOnly="1" outline="0" axis="axisCol" fieldPosition="0"/>
    </format>
    <format dxfId="70">
      <pivotArea type="topRight" dataOnly="0" labelOnly="1" outline="0" fieldPosition="0"/>
    </format>
    <format dxfId="69">
      <pivotArea dataOnly="0" labelOnly="1" outline="0" fieldPosition="0">
        <references count="1">
          <reference field="1" count="0"/>
        </references>
      </pivotArea>
    </format>
    <format dxfId="68">
      <pivotArea field="0" type="button" dataOnly="0" labelOnly="1" outline="0" axis="axisRow" fieldPosition="0"/>
    </format>
    <format dxfId="67">
      <pivotArea field="3" type="button" dataOnly="0" labelOnly="1" outline="0" axis="axisRow" fieldPosition="1"/>
    </format>
    <format dxfId="66">
      <pivotArea dataOnly="0" labelOnly="1" outline="0" fieldPosition="0">
        <references count="1">
          <reference field="0" count="0"/>
        </references>
      </pivotArea>
    </format>
    <format dxfId="65">
      <pivotArea dataOnly="0" labelOnly="1" outline="0" fieldPosition="0">
        <references count="2">
          <reference field="0" count="1" selected="0">
            <x v="0"/>
          </reference>
          <reference field="3" count="0"/>
        </references>
      </pivotArea>
    </format>
    <format dxfId="64">
      <pivotArea dataOnly="0" labelOnly="1" outline="0" fieldPosition="0">
        <references count="2">
          <reference field="0" count="1" selected="0">
            <x v="1"/>
          </reference>
          <reference field="3" count="0"/>
        </references>
      </pivotArea>
    </format>
    <format dxfId="63">
      <pivotArea dataOnly="0" labelOnly="1" outline="0" fieldPosition="0">
        <references count="2">
          <reference field="0" count="1" selected="0">
            <x v="2"/>
          </reference>
          <reference field="3" count="0"/>
        </references>
      </pivotArea>
    </format>
    <format dxfId="62">
      <pivotArea dataOnly="0" labelOnly="1" outline="0" fieldPosition="0">
        <references count="2">
          <reference field="0" count="1" selected="0">
            <x v="3"/>
          </reference>
          <reference field="3" count="0"/>
        </references>
      </pivotArea>
    </format>
    <format dxfId="61">
      <pivotArea dataOnly="0" labelOnly="1" outline="0" fieldPosition="0">
        <references count="2">
          <reference field="0" count="1" selected="0">
            <x v="4"/>
          </reference>
          <reference field="3" count="0"/>
        </references>
      </pivotArea>
    </format>
    <format dxfId="60">
      <pivotArea dataOnly="0" labelOnly="1" outline="0" fieldPosition="0">
        <references count="2">
          <reference field="0" count="1" selected="0">
            <x v="5"/>
          </reference>
          <reference field="3" count="0"/>
        </references>
      </pivotArea>
    </format>
    <format dxfId="59">
      <pivotArea dataOnly="0" labelOnly="1" outline="0" fieldPosition="0">
        <references count="2">
          <reference field="0" count="1" selected="0">
            <x v="6"/>
          </reference>
          <reference field="3" count="0"/>
        </references>
      </pivotArea>
    </format>
    <format dxfId="58">
      <pivotArea dataOnly="0" labelOnly="1" outline="0" fieldPosition="0">
        <references count="2">
          <reference field="0" count="1" selected="0">
            <x v="7"/>
          </reference>
          <reference field="3" count="0"/>
        </references>
      </pivotArea>
    </format>
    <format dxfId="57">
      <pivotArea dataOnly="0" labelOnly="1" outline="0" fieldPosition="0">
        <references count="2">
          <reference field="0" count="1" selected="0">
            <x v="8"/>
          </reference>
          <reference field="3" count="0"/>
        </references>
      </pivotArea>
    </format>
    <format dxfId="56">
      <pivotArea dataOnly="0" labelOnly="1" outline="0" fieldPosition="0">
        <references count="2">
          <reference field="0" count="1" selected="0">
            <x v="9"/>
          </reference>
          <reference field="3" count="0"/>
        </references>
      </pivotArea>
    </format>
    <format dxfId="55">
      <pivotArea dataOnly="0" labelOnly="1" outline="0" fieldPosition="0">
        <references count="2">
          <reference field="0" count="1" selected="0">
            <x v="10"/>
          </reference>
          <reference field="3" count="0"/>
        </references>
      </pivotArea>
    </format>
    <format dxfId="54">
      <pivotArea dataOnly="0" labelOnly="1" outline="0" fieldPosition="0">
        <references count="2">
          <reference field="0" count="1" selected="0">
            <x v="11"/>
          </reference>
          <reference field="3" count="0"/>
        </references>
      </pivotArea>
    </format>
    <format dxfId="53">
      <pivotArea dataOnly="0" labelOnly="1" outline="0" fieldPosition="0">
        <references count="1">
          <reference field="0" count="0"/>
        </references>
      </pivotArea>
    </format>
    <format dxfId="52">
      <pivotArea dataOnly="0" labelOnly="1" outline="0" fieldPosition="0">
        <references count="2">
          <reference field="0" count="1" selected="0">
            <x v="0"/>
          </reference>
          <reference field="3" count="0"/>
        </references>
      </pivotArea>
    </format>
    <format dxfId="51">
      <pivotArea dataOnly="0" labelOnly="1" outline="0" fieldPosition="0">
        <references count="2">
          <reference field="0" count="1" selected="0">
            <x v="1"/>
          </reference>
          <reference field="3" count="0"/>
        </references>
      </pivotArea>
    </format>
    <format dxfId="50">
      <pivotArea dataOnly="0" labelOnly="1" outline="0" fieldPosition="0">
        <references count="2">
          <reference field="0" count="1" selected="0">
            <x v="2"/>
          </reference>
          <reference field="3" count="0"/>
        </references>
      </pivotArea>
    </format>
    <format dxfId="49">
      <pivotArea dataOnly="0" labelOnly="1" outline="0" fieldPosition="0">
        <references count="2">
          <reference field="0" count="1" selected="0">
            <x v="3"/>
          </reference>
          <reference field="3" count="0"/>
        </references>
      </pivotArea>
    </format>
    <format dxfId="48">
      <pivotArea dataOnly="0" labelOnly="1" outline="0" fieldPosition="0">
        <references count="2">
          <reference field="0" count="1" selected="0">
            <x v="4"/>
          </reference>
          <reference field="3" count="0"/>
        </references>
      </pivotArea>
    </format>
    <format dxfId="47">
      <pivotArea dataOnly="0" labelOnly="1" outline="0" fieldPosition="0">
        <references count="2">
          <reference field="0" count="1" selected="0">
            <x v="5"/>
          </reference>
          <reference field="3" count="0"/>
        </references>
      </pivotArea>
    </format>
    <format dxfId="46">
      <pivotArea dataOnly="0" labelOnly="1" outline="0" fieldPosition="0">
        <references count="2">
          <reference field="0" count="1" selected="0">
            <x v="6"/>
          </reference>
          <reference field="3" count="0"/>
        </references>
      </pivotArea>
    </format>
    <format dxfId="45">
      <pivotArea dataOnly="0" labelOnly="1" outline="0" fieldPosition="0">
        <references count="2">
          <reference field="0" count="1" selected="0">
            <x v="7"/>
          </reference>
          <reference field="3" count="0"/>
        </references>
      </pivotArea>
    </format>
    <format dxfId="44">
      <pivotArea dataOnly="0" labelOnly="1" outline="0" fieldPosition="0">
        <references count="2">
          <reference field="0" count="1" selected="0">
            <x v="8"/>
          </reference>
          <reference field="3" count="0"/>
        </references>
      </pivotArea>
    </format>
    <format dxfId="43">
      <pivotArea dataOnly="0" labelOnly="1" outline="0" fieldPosition="0">
        <references count="2">
          <reference field="0" count="1" selected="0">
            <x v="9"/>
          </reference>
          <reference field="3" count="0"/>
        </references>
      </pivotArea>
    </format>
    <format dxfId="42">
      <pivotArea dataOnly="0" labelOnly="1" outline="0" fieldPosition="0">
        <references count="2">
          <reference field="0" count="1" selected="0">
            <x v="10"/>
          </reference>
          <reference field="3" count="0"/>
        </references>
      </pivotArea>
    </format>
    <format dxfId="41">
      <pivotArea dataOnly="0" labelOnly="1" outline="0" fieldPosition="0">
        <references count="2">
          <reference field="0" count="1" selected="0">
            <x v="11"/>
          </reference>
          <reference field="3" count="0"/>
        </references>
      </pivotArea>
    </format>
    <format dxfId="40">
      <pivotArea field="1" type="button" dataOnly="0" labelOnly="1" outline="0" axis="axisCol" fieldPosition="0"/>
    </format>
    <format dxfId="39">
      <pivotArea type="topRight" dataOnly="0" labelOnly="1" outline="0" fieldPosition="0"/>
    </format>
    <format dxfId="38">
      <pivotArea dataOnly="0" labelOnly="1" outline="0" fieldPosition="0">
        <references count="1">
          <reference field="1" count="0"/>
        </references>
      </pivotArea>
    </format>
    <format dxfId="37">
      <pivotArea type="origin" dataOnly="0" labelOnly="1" outline="0" fieldPosition="0"/>
    </format>
    <format dxfId="36">
      <pivotArea field="0" type="button" dataOnly="0" labelOnly="1" outline="0" axis="axisRow" fieldPosition="0"/>
    </format>
    <format dxfId="35">
      <pivotArea field="3" type="button" dataOnly="0" labelOnly="1" outline="0" axis="axisRow" fieldPosition="1"/>
    </format>
    <format dxfId="34">
      <pivotArea dataOnly="0" labelOnly="1" outline="0" fieldPosition="0">
        <references count="1">
          <reference field="0" count="1">
            <x v="0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0"/>
          </reference>
          <reference field="3" count="0"/>
        </references>
      </pivotArea>
    </format>
    <format dxfId="32">
      <pivotArea dataOnly="0" labelOnly="1" outline="0" fieldPosition="0">
        <references count="1">
          <reference field="0" count="1">
            <x v="1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1"/>
          </reference>
          <reference field="3" count="0"/>
        </references>
      </pivotArea>
    </format>
    <format dxfId="30">
      <pivotArea dataOnly="0" labelOnly="1" outline="0" fieldPosition="0">
        <references count="1">
          <reference field="0" count="1">
            <x v="2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2"/>
          </reference>
          <reference field="3" count="0"/>
        </references>
      </pivotArea>
    </format>
    <format dxfId="28">
      <pivotArea dataOnly="0" labelOnly="1" outline="0" fieldPosition="0">
        <references count="1">
          <reference field="0" count="1">
            <x v="3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3"/>
          </reference>
          <reference field="3" count="0"/>
        </references>
      </pivotArea>
    </format>
    <format dxfId="26">
      <pivotArea dataOnly="0" labelOnly="1" outline="0" fieldPosition="0">
        <references count="1">
          <reference field="0" count="1">
            <x v="4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4"/>
          </reference>
          <reference field="3" count="0"/>
        </references>
      </pivotArea>
    </format>
    <format dxfId="24">
      <pivotArea dataOnly="0" labelOnly="1" outline="0" fieldPosition="0">
        <references count="1">
          <reference field="0" count="1">
            <x v="5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5"/>
          </reference>
          <reference field="3" count="0"/>
        </references>
      </pivotArea>
    </format>
    <format dxfId="22">
      <pivotArea dataOnly="0" labelOnly="1" outline="0" fieldPosition="0">
        <references count="1">
          <reference field="0" count="1">
            <x v="6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6"/>
          </reference>
          <reference field="3" count="0"/>
        </references>
      </pivotArea>
    </format>
    <format dxfId="20">
      <pivotArea dataOnly="0" labelOnly="1" outline="0" fieldPosition="0">
        <references count="1">
          <reference field="0" count="1">
            <x v="7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7"/>
          </reference>
          <reference field="3" count="0"/>
        </references>
      </pivotArea>
    </format>
    <format dxfId="18">
      <pivotArea dataOnly="0" labelOnly="1" outline="0" fieldPosition="0">
        <references count="1">
          <reference field="0" count="1">
            <x v="8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8"/>
          </reference>
          <reference field="3" count="0"/>
        </references>
      </pivotArea>
    </format>
    <format dxfId="16">
      <pivotArea dataOnly="0" labelOnly="1" outline="0" fieldPosition="0">
        <references count="1">
          <reference field="0" count="1">
            <x v="9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9"/>
          </reference>
          <reference field="3" count="0"/>
        </references>
      </pivotArea>
    </format>
    <format dxfId="14">
      <pivotArea dataOnly="0" labelOnly="1" outline="0" fieldPosition="0">
        <references count="1">
          <reference field="0" count="1">
            <x v="10"/>
          </reference>
        </references>
      </pivotArea>
    </format>
    <format dxfId="13">
      <pivotArea dataOnly="0" labelOnly="1" outline="0" fieldPosition="0">
        <references count="2">
          <reference field="0" count="1" selected="0">
            <x v="10"/>
          </reference>
          <reference field="3" count="0"/>
        </references>
      </pivotArea>
    </format>
    <format dxfId="12">
      <pivotArea outline="0" fieldPosition="0">
        <references count="2">
          <reference field="0" count="1" selected="0">
            <x v="0"/>
          </reference>
          <reference field="3" count="0" selected="0"/>
        </references>
      </pivotArea>
    </format>
    <format dxfId="11">
      <pivotArea outline="0" collapsedLevelsAreSubtotals="1" fieldPosition="0"/>
    </format>
    <format dxfId="10">
      <pivotArea outline="0" fieldPosition="0">
        <references count="2">
          <reference field="0" count="1" selected="0">
            <x v="0"/>
          </reference>
          <reference field="3" count="0" selected="0"/>
        </references>
      </pivotArea>
    </format>
    <format dxfId="9">
      <pivotArea outline="0" fieldPosition="0">
        <references count="2">
          <reference field="0" count="1" selected="0">
            <x v="1"/>
          </reference>
          <reference field="3" count="0" selected="0"/>
        </references>
      </pivotArea>
    </format>
    <format dxfId="8">
      <pivotArea outline="0" fieldPosition="0">
        <references count="2">
          <reference field="0" count="1" selected="0">
            <x v="2"/>
          </reference>
          <reference field="3" count="0" selected="0"/>
        </references>
      </pivotArea>
    </format>
    <format dxfId="7">
      <pivotArea outline="0" fieldPosition="0">
        <references count="2">
          <reference field="0" count="1" selected="0">
            <x v="3"/>
          </reference>
          <reference field="3" count="0" selected="0"/>
        </references>
      </pivotArea>
    </format>
    <format dxfId="6">
      <pivotArea outline="0" fieldPosition="0">
        <references count="2">
          <reference field="0" count="1" selected="0">
            <x v="4"/>
          </reference>
          <reference field="3" count="0" selected="0"/>
        </references>
      </pivotArea>
    </format>
    <format dxfId="5">
      <pivotArea outline="0" fieldPosition="0">
        <references count="2">
          <reference field="0" count="1" selected="0">
            <x v="5"/>
          </reference>
          <reference field="3" count="0" selected="0"/>
        </references>
      </pivotArea>
    </format>
    <format dxfId="4">
      <pivotArea outline="0" fieldPosition="0">
        <references count="2">
          <reference field="0" count="1" selected="0">
            <x v="6"/>
          </reference>
          <reference field="3" count="0" selected="0"/>
        </references>
      </pivotArea>
    </format>
    <format dxfId="3">
      <pivotArea outline="0" fieldPosition="0">
        <references count="2">
          <reference field="0" count="1" selected="0">
            <x v="7"/>
          </reference>
          <reference field="3" count="0" selected="0"/>
        </references>
      </pivotArea>
    </format>
    <format dxfId="2">
      <pivotArea outline="0" fieldPosition="0">
        <references count="2">
          <reference field="0" count="1" selected="0">
            <x v="8"/>
          </reference>
          <reference field="3" count="0" selected="0"/>
        </references>
      </pivotArea>
    </format>
    <format dxfId="1">
      <pivotArea outline="0" fieldPosition="0">
        <references count="2">
          <reference field="0" count="1" selected="0">
            <x v="9"/>
          </reference>
          <reference field="3" count="0" selected="0"/>
        </references>
      </pivotArea>
    </format>
    <format dxfId="0">
      <pivotArea outline="0" fieldPosition="0">
        <references count="2">
          <reference field="0" count="1" selected="0">
            <x v="10"/>
          </reference>
          <reference field="3" count="0" selected="0"/>
        </references>
      </pivotArea>
    </format>
  </formats>
  <conditionalFormats count="2">
    <conditionalFormat priority="2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" selected="0">
              <x v="0"/>
            </reference>
            <reference field="3" count="1" selected="0">
              <x v="0"/>
            </reference>
          </references>
        </pivotArea>
      </pivotAreas>
    </conditionalFormat>
    <conditionalFormat priority="1">
      <pivotAreas count="2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1" selected="0">
              <x v="0"/>
            </reference>
            <reference field="3" count="1" selected="0">
              <x v="1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11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lp_avaliacao_resultados" connectionId="1" xr16:uid="{9CA72E3C-BA78-BC40-84AD-020D70DF89A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F29D-5EDD-564D-AF88-6A0A11770CCB}">
  <sheetPr>
    <pageSetUpPr fitToPage="1"/>
  </sheetPr>
  <dimension ref="A2:L43"/>
  <sheetViews>
    <sheetView workbookViewId="0">
      <selection activeCell="G12" sqref="G12"/>
    </sheetView>
  </sheetViews>
  <sheetFormatPr baseColWidth="10" defaultRowHeight="16" x14ac:dyDescent="0.2"/>
  <cols>
    <col min="1" max="1" width="23.6640625" bestFit="1" customWidth="1"/>
    <col min="2" max="2" width="16.33203125" customWidth="1"/>
    <col min="3" max="3" width="13.33203125" bestFit="1" customWidth="1"/>
    <col min="4" max="12" width="8" bestFit="1" customWidth="1"/>
    <col min="13" max="13" width="10" bestFit="1" customWidth="1"/>
    <col min="14" max="21" width="12.1640625" bestFit="1" customWidth="1"/>
    <col min="22" max="22" width="20.1640625" bestFit="1" customWidth="1"/>
    <col min="23" max="23" width="18.1640625" bestFit="1" customWidth="1"/>
  </cols>
  <sheetData>
    <row r="2" spans="1:12" ht="17" thickBot="1" x14ac:dyDescent="0.25"/>
    <row r="3" spans="1:12" ht="17" thickBot="1" x14ac:dyDescent="0.25">
      <c r="A3" s="5" t="s">
        <v>41</v>
      </c>
      <c r="B3" s="10"/>
      <c r="C3" s="3" t="s">
        <v>1</v>
      </c>
      <c r="D3" s="9"/>
      <c r="E3" s="9"/>
      <c r="F3" s="9"/>
      <c r="G3" s="9"/>
      <c r="H3" s="9"/>
      <c r="I3" s="9"/>
      <c r="J3" s="9"/>
      <c r="K3" s="9"/>
      <c r="L3" s="7"/>
    </row>
    <row r="4" spans="1:12" ht="17" thickBot="1" x14ac:dyDescent="0.25">
      <c r="A4" s="11" t="s">
        <v>0</v>
      </c>
      <c r="B4" s="12" t="s">
        <v>3</v>
      </c>
      <c r="C4" s="28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13">
        <v>10</v>
      </c>
    </row>
    <row r="5" spans="1:12" ht="17" thickBot="1" x14ac:dyDescent="0.25">
      <c r="A5" s="6" t="s">
        <v>38</v>
      </c>
      <c r="B5" s="26" t="s">
        <v>9</v>
      </c>
      <c r="C5" s="32">
        <v>0.78792819470484099</v>
      </c>
      <c r="D5" s="32">
        <v>0.75889184583420799</v>
      </c>
      <c r="E5" s="32">
        <v>0.75889184583420799</v>
      </c>
      <c r="F5" s="32">
        <v>0.75889184583420799</v>
      </c>
      <c r="G5" s="32">
        <v>0.75889184583420799</v>
      </c>
      <c r="H5" s="32">
        <v>0.77973459997550598</v>
      </c>
      <c r="I5" s="32">
        <v>0.79635840375094002</v>
      </c>
      <c r="J5" s="32">
        <v>0.80877629152368202</v>
      </c>
      <c r="K5" s="32">
        <v>0.27061657032755299</v>
      </c>
      <c r="L5" s="32">
        <v>0.81306015129544496</v>
      </c>
    </row>
    <row r="6" spans="1:12" ht="17" thickBot="1" x14ac:dyDescent="0.25">
      <c r="A6" s="4"/>
      <c r="B6" s="27" t="s">
        <v>11</v>
      </c>
      <c r="C6" s="32">
        <v>0.77635255037881601</v>
      </c>
      <c r="D6" s="32">
        <v>0.77679940524711699</v>
      </c>
      <c r="E6" s="32">
        <v>0.77679940524711699</v>
      </c>
      <c r="F6" s="32">
        <v>0.77679940524711699</v>
      </c>
      <c r="G6" s="32">
        <v>0.77195491345477596</v>
      </c>
      <c r="H6" s="32">
        <v>0.78472395882516</v>
      </c>
      <c r="I6" s="32">
        <v>0.78738779874859099</v>
      </c>
      <c r="J6" s="32">
        <v>0.78376630462136998</v>
      </c>
      <c r="K6" s="32">
        <v>0.33618402657964802</v>
      </c>
      <c r="L6" s="32">
        <v>0.78147297110113001</v>
      </c>
    </row>
    <row r="7" spans="1:12" ht="17" thickBot="1" x14ac:dyDescent="0.25">
      <c r="A7" s="6" t="s">
        <v>29</v>
      </c>
      <c r="B7" s="26" t="s">
        <v>9</v>
      </c>
      <c r="C7" s="32">
        <v>0.725860869565217</v>
      </c>
      <c r="D7" s="32">
        <v>0.766138763197586</v>
      </c>
      <c r="E7" s="32">
        <v>0.766138763197586</v>
      </c>
      <c r="F7" s="32">
        <v>0.766138763197586</v>
      </c>
      <c r="G7" s="32">
        <v>0.766138763197586</v>
      </c>
      <c r="H7" s="32">
        <v>0.78760088621617297</v>
      </c>
      <c r="I7" s="32">
        <v>0.78760088621617297</v>
      </c>
      <c r="J7" s="32">
        <v>0.78760088621617297</v>
      </c>
      <c r="K7" s="32">
        <v>0.77570710245128804</v>
      </c>
      <c r="L7" s="32">
        <v>0.72174156358554098</v>
      </c>
    </row>
    <row r="8" spans="1:12" ht="17" thickBot="1" x14ac:dyDescent="0.25">
      <c r="A8" s="4"/>
      <c r="B8" s="27" t="s">
        <v>11</v>
      </c>
      <c r="C8" s="32">
        <v>0.73228199794754401</v>
      </c>
      <c r="D8" s="32">
        <v>0.74040528521756899</v>
      </c>
      <c r="E8" s="32">
        <v>0.74040528521756899</v>
      </c>
      <c r="F8" s="32">
        <v>0.74040528521756899</v>
      </c>
      <c r="G8" s="32">
        <v>0.74040528521756899</v>
      </c>
      <c r="H8" s="32">
        <v>0.74542368441004403</v>
      </c>
      <c r="I8" s="32">
        <v>0.74542368441004403</v>
      </c>
      <c r="J8" s="32">
        <v>0.74542368441004403</v>
      </c>
      <c r="K8" s="32">
        <v>0.76220242797623705</v>
      </c>
      <c r="L8" s="32">
        <v>0.74119263265973101</v>
      </c>
    </row>
    <row r="9" spans="1:12" ht="17" thickBot="1" x14ac:dyDescent="0.25">
      <c r="A9" s="6" t="s">
        <v>25</v>
      </c>
      <c r="B9" s="26" t="s">
        <v>9</v>
      </c>
      <c r="C9" s="32">
        <v>0.779885117463189</v>
      </c>
      <c r="D9" s="32">
        <v>0.75078566939031999</v>
      </c>
      <c r="E9" s="32">
        <v>0.75078566939031999</v>
      </c>
      <c r="F9" s="32">
        <v>0.75078566939031999</v>
      </c>
      <c r="G9" s="32">
        <v>0.746662653475481</v>
      </c>
      <c r="H9" s="32">
        <v>0.775378787878787</v>
      </c>
      <c r="I9" s="32">
        <v>0.79201739618406197</v>
      </c>
      <c r="J9" s="32">
        <v>0.804751713575243</v>
      </c>
      <c r="K9" s="32">
        <v>0.27061657032755299</v>
      </c>
      <c r="L9" s="32">
        <v>0.75909281374397597</v>
      </c>
    </row>
    <row r="10" spans="1:12" ht="17" thickBot="1" x14ac:dyDescent="0.25">
      <c r="A10" s="4"/>
      <c r="B10" s="27" t="s">
        <v>11</v>
      </c>
      <c r="C10" s="32">
        <v>0.76382319136752197</v>
      </c>
      <c r="D10" s="32">
        <v>0.76938960056735395</v>
      </c>
      <c r="E10" s="32">
        <v>0.76938960056735395</v>
      </c>
      <c r="F10" s="32">
        <v>0.76938960056735395</v>
      </c>
      <c r="G10" s="32">
        <v>0.77326533520611795</v>
      </c>
      <c r="H10" s="32">
        <v>0.77843577975401002</v>
      </c>
      <c r="I10" s="32">
        <v>0.780657450143595</v>
      </c>
      <c r="J10" s="32">
        <v>0.78981525402121999</v>
      </c>
      <c r="K10" s="32">
        <v>0.33618402657964802</v>
      </c>
      <c r="L10" s="32">
        <v>0.76931658830197802</v>
      </c>
    </row>
    <row r="11" spans="1:12" ht="17" thickBot="1" x14ac:dyDescent="0.25">
      <c r="A11" s="6" t="s">
        <v>7</v>
      </c>
      <c r="B11" s="26" t="s">
        <v>9</v>
      </c>
      <c r="C11" s="32">
        <v>0.76320952497423</v>
      </c>
      <c r="D11" s="32">
        <v>0.75479889431235603</v>
      </c>
      <c r="E11" s="32">
        <v>0.75479889431235603</v>
      </c>
      <c r="F11" s="32">
        <v>0.75479889431235603</v>
      </c>
      <c r="G11" s="32">
        <v>0.75479889431235603</v>
      </c>
      <c r="H11" s="32">
        <v>0.746662653475481</v>
      </c>
      <c r="I11" s="32">
        <v>0.746662653475481</v>
      </c>
      <c r="J11" s="32">
        <v>0.746662653475481</v>
      </c>
      <c r="K11" s="32">
        <v>0.77151796269443296</v>
      </c>
      <c r="L11" s="32">
        <v>0.75479889431235603</v>
      </c>
    </row>
    <row r="12" spans="1:12" ht="17" thickBot="1" x14ac:dyDescent="0.25">
      <c r="A12" s="4"/>
      <c r="B12" s="27" t="s">
        <v>11</v>
      </c>
      <c r="C12" s="32">
        <v>0.74615773782807604</v>
      </c>
      <c r="D12" s="32">
        <v>0.77015867689314699</v>
      </c>
      <c r="E12" s="32">
        <v>0.77015867689314699</v>
      </c>
      <c r="F12" s="32">
        <v>0.77015867689314699</v>
      </c>
      <c r="G12" s="32">
        <v>0.77015867689314699</v>
      </c>
      <c r="H12" s="32">
        <v>0.76127890438601997</v>
      </c>
      <c r="I12" s="32">
        <v>0.76127890438601997</v>
      </c>
      <c r="J12" s="32">
        <v>0.76127890438601997</v>
      </c>
      <c r="K12" s="32">
        <v>0.76857851341778605</v>
      </c>
      <c r="L12" s="32">
        <v>0.77644713428352197</v>
      </c>
    </row>
    <row r="13" spans="1:12" ht="17" thickBot="1" x14ac:dyDescent="0.25">
      <c r="A13" s="6" t="s">
        <v>31</v>
      </c>
      <c r="B13" s="26" t="s">
        <v>9</v>
      </c>
      <c r="C13" s="32">
        <v>0.31267507002801098</v>
      </c>
      <c r="D13" s="32">
        <v>0.73407925407925401</v>
      </c>
      <c r="E13" s="32">
        <v>0.73407925407925401</v>
      </c>
      <c r="F13" s="32">
        <v>0.73407925407925401</v>
      </c>
      <c r="G13" s="32">
        <v>0.75083542188805297</v>
      </c>
      <c r="H13" s="32">
        <v>0.75496879598448197</v>
      </c>
      <c r="I13" s="32">
        <v>0.75496879598448197</v>
      </c>
      <c r="J13" s="32">
        <v>0.75914248511904703</v>
      </c>
      <c r="K13" s="32">
        <v>0.29184937382055198</v>
      </c>
      <c r="L13" s="32">
        <v>0.27061657032755299</v>
      </c>
    </row>
    <row r="14" spans="1:12" ht="17" thickBot="1" x14ac:dyDescent="0.25">
      <c r="A14" s="4"/>
      <c r="B14" s="27" t="s">
        <v>11</v>
      </c>
      <c r="C14" s="32">
        <v>0.49791259724513798</v>
      </c>
      <c r="D14" s="32">
        <v>0.72950228534188899</v>
      </c>
      <c r="E14" s="32">
        <v>0.72991791155152497</v>
      </c>
      <c r="F14" s="32">
        <v>0.72991791155152497</v>
      </c>
      <c r="G14" s="32">
        <v>0.73739841072256596</v>
      </c>
      <c r="H14" s="32">
        <v>0.76526628222179505</v>
      </c>
      <c r="I14" s="32">
        <v>0.76526628222179505</v>
      </c>
      <c r="J14" s="32">
        <v>0.76150787413301102</v>
      </c>
      <c r="K14" s="32">
        <v>0.43169149372091797</v>
      </c>
      <c r="L14" s="32">
        <v>0.455202071204799</v>
      </c>
    </row>
    <row r="15" spans="1:12" ht="17" thickBot="1" x14ac:dyDescent="0.25">
      <c r="A15" s="6" t="s">
        <v>36</v>
      </c>
      <c r="B15" s="26" t="s">
        <v>9</v>
      </c>
      <c r="C15" s="32">
        <v>0.78353125805167101</v>
      </c>
      <c r="D15" s="32">
        <v>0.77927150920504196</v>
      </c>
      <c r="E15" s="32">
        <v>0.77927150920504196</v>
      </c>
      <c r="F15" s="32">
        <v>0.77927150920504196</v>
      </c>
      <c r="G15" s="32">
        <v>0.78777972795085505</v>
      </c>
      <c r="H15" s="32">
        <v>0.77129511193659295</v>
      </c>
      <c r="I15" s="32">
        <v>0.76666666666666605</v>
      </c>
      <c r="J15" s="32">
        <v>0.76666666666666605</v>
      </c>
      <c r="K15" s="32">
        <v>0.27061657032755299</v>
      </c>
      <c r="L15" s="32">
        <v>0.77570434782608699</v>
      </c>
    </row>
    <row r="16" spans="1:12" ht="17" thickBot="1" x14ac:dyDescent="0.25">
      <c r="A16" s="4"/>
      <c r="B16" s="27" t="s">
        <v>11</v>
      </c>
      <c r="C16" s="32">
        <v>0.79262826093482996</v>
      </c>
      <c r="D16" s="32">
        <v>0.77142799795994499</v>
      </c>
      <c r="E16" s="32">
        <v>0.77142799795994499</v>
      </c>
      <c r="F16" s="32">
        <v>0.77142799795994499</v>
      </c>
      <c r="G16" s="32">
        <v>0.77140620320439401</v>
      </c>
      <c r="H16" s="32">
        <v>0.77247584870181496</v>
      </c>
      <c r="I16" s="32">
        <v>0.77895301934396799</v>
      </c>
      <c r="J16" s="32">
        <v>0.790415394439129</v>
      </c>
      <c r="K16" s="32">
        <v>0.33618402657964802</v>
      </c>
      <c r="L16" s="32">
        <v>0.77043646611307803</v>
      </c>
    </row>
    <row r="17" spans="1:12" ht="17" thickBot="1" x14ac:dyDescent="0.25">
      <c r="A17" s="6" t="s">
        <v>27</v>
      </c>
      <c r="B17" s="26" t="s">
        <v>9</v>
      </c>
      <c r="C17" s="32">
        <v>0.75022837467500503</v>
      </c>
      <c r="D17" s="32">
        <v>0.76297857055246898</v>
      </c>
      <c r="E17" s="32">
        <v>0.76297857055246898</v>
      </c>
      <c r="F17" s="32">
        <v>0.76297857055246898</v>
      </c>
      <c r="G17" s="32">
        <v>0.76297857055246898</v>
      </c>
      <c r="H17" s="32">
        <v>0.76705948372614996</v>
      </c>
      <c r="I17" s="32">
        <v>0.76705948372614996</v>
      </c>
      <c r="J17" s="32">
        <v>0.76705948372614996</v>
      </c>
      <c r="K17" s="32">
        <v>0.78401424680494403</v>
      </c>
      <c r="L17" s="32">
        <v>0.77570710245128804</v>
      </c>
    </row>
    <row r="18" spans="1:12" ht="17" thickBot="1" x14ac:dyDescent="0.25">
      <c r="A18" s="4"/>
      <c r="B18" s="27" t="s">
        <v>11</v>
      </c>
      <c r="C18" s="32">
        <v>0.76756598888070304</v>
      </c>
      <c r="D18" s="32">
        <v>0.76538974654002201</v>
      </c>
      <c r="E18" s="32">
        <v>0.76538974654002201</v>
      </c>
      <c r="F18" s="32">
        <v>0.76538974654002201</v>
      </c>
      <c r="G18" s="32">
        <v>0.76538974654002201</v>
      </c>
      <c r="H18" s="32">
        <v>0.77275302836271198</v>
      </c>
      <c r="I18" s="32">
        <v>0.77275302836271198</v>
      </c>
      <c r="J18" s="32">
        <v>0.77275302836271198</v>
      </c>
      <c r="K18" s="32">
        <v>0.785590660557825</v>
      </c>
      <c r="L18" s="32">
        <v>0.80297312641442697</v>
      </c>
    </row>
    <row r="19" spans="1:12" ht="17" thickBot="1" x14ac:dyDescent="0.25">
      <c r="A19" s="6" t="s">
        <v>21</v>
      </c>
      <c r="B19" s="26" t="s">
        <v>9</v>
      </c>
      <c r="C19" s="32">
        <v>0.64064005912786404</v>
      </c>
      <c r="D19" s="32">
        <v>0.77161220043572898</v>
      </c>
      <c r="E19" s="32">
        <v>0.76744639376218304</v>
      </c>
      <c r="F19" s="32">
        <v>0.76744639376218304</v>
      </c>
      <c r="G19" s="32">
        <v>0.78777972795085505</v>
      </c>
      <c r="H19" s="32">
        <v>0.77129511193659295</v>
      </c>
      <c r="I19" s="32">
        <v>0.77129511193659295</v>
      </c>
      <c r="J19" s="32">
        <v>0.77142269808778996</v>
      </c>
      <c r="K19" s="32">
        <v>0.27061657032755299</v>
      </c>
      <c r="L19" s="32">
        <v>0.79644327585504004</v>
      </c>
    </row>
    <row r="20" spans="1:12" ht="17" thickBot="1" x14ac:dyDescent="0.25">
      <c r="A20" s="4"/>
      <c r="B20" s="27" t="s">
        <v>11</v>
      </c>
      <c r="C20" s="32">
        <v>0.75839019746190595</v>
      </c>
      <c r="D20" s="32">
        <v>0.78408283506058096</v>
      </c>
      <c r="E20" s="32">
        <v>0.78767692727691996</v>
      </c>
      <c r="F20" s="32">
        <v>0.78767692727691996</v>
      </c>
      <c r="G20" s="32">
        <v>0.79871060924869897</v>
      </c>
      <c r="H20" s="32">
        <v>0.79883184190099099</v>
      </c>
      <c r="I20" s="32">
        <v>0.79883184190099099</v>
      </c>
      <c r="J20" s="32">
        <v>0.80005652875503697</v>
      </c>
      <c r="K20" s="32">
        <v>0.33618402657964802</v>
      </c>
      <c r="L20" s="32">
        <v>0.59389894889632999</v>
      </c>
    </row>
    <row r="21" spans="1:12" ht="17" thickBot="1" x14ac:dyDescent="0.25">
      <c r="A21" s="6" t="s">
        <v>23</v>
      </c>
      <c r="B21" s="26" t="s">
        <v>9</v>
      </c>
      <c r="C21" s="32">
        <v>0.31267507002801098</v>
      </c>
      <c r="D21" s="32">
        <v>0.76731934731934703</v>
      </c>
      <c r="E21" s="32">
        <v>0.76731934731934703</v>
      </c>
      <c r="F21" s="32">
        <v>0.76731934731934703</v>
      </c>
      <c r="G21" s="32">
        <v>0.75889184583420799</v>
      </c>
      <c r="H21" s="32">
        <v>0.75479889431235603</v>
      </c>
      <c r="I21" s="32">
        <v>0.75479889431235603</v>
      </c>
      <c r="J21" s="32">
        <v>0.74659264953382598</v>
      </c>
      <c r="K21" s="32">
        <v>0.29350443398946502</v>
      </c>
      <c r="L21" s="32">
        <v>0.27061657032755299</v>
      </c>
    </row>
    <row r="22" spans="1:12" ht="17" thickBot="1" x14ac:dyDescent="0.25">
      <c r="A22" s="4"/>
      <c r="B22" s="27" t="s">
        <v>11</v>
      </c>
      <c r="C22" s="32">
        <v>0.48994230141654499</v>
      </c>
      <c r="D22" s="32">
        <v>0.77023558876480203</v>
      </c>
      <c r="E22" s="32">
        <v>0.76642397868813195</v>
      </c>
      <c r="F22" s="32">
        <v>0.76642397868813195</v>
      </c>
      <c r="G22" s="32">
        <v>0.77498641687786696</v>
      </c>
      <c r="H22" s="32">
        <v>0.77884768942750304</v>
      </c>
      <c r="I22" s="32">
        <v>0.77884768942750304</v>
      </c>
      <c r="J22" s="32">
        <v>0.77884768942750304</v>
      </c>
      <c r="K22" s="32">
        <v>0.45424308447900402</v>
      </c>
      <c r="L22" s="32">
        <v>0.40650656950309699</v>
      </c>
    </row>
    <row r="23" spans="1:12" ht="17" thickBot="1" x14ac:dyDescent="0.25">
      <c r="A23" s="6" t="s">
        <v>34</v>
      </c>
      <c r="B23" s="26" t="s">
        <v>9</v>
      </c>
      <c r="C23" s="32">
        <v>0.40008912655971401</v>
      </c>
      <c r="D23" s="32">
        <v>0.68842904083867895</v>
      </c>
      <c r="E23" s="32">
        <v>0.68842904083867895</v>
      </c>
      <c r="F23" s="32">
        <v>0.68842904083867895</v>
      </c>
      <c r="G23" s="32">
        <v>0.68842904083867895</v>
      </c>
      <c r="H23" s="32">
        <v>0.27927662258365299</v>
      </c>
      <c r="I23" s="32">
        <v>0.27927662258365299</v>
      </c>
      <c r="J23" s="32">
        <v>0.27927662258365299</v>
      </c>
      <c r="K23" s="32">
        <v>0.40008912655971401</v>
      </c>
      <c r="L23" s="32">
        <v>0.27061657032755299</v>
      </c>
    </row>
    <row r="24" spans="1:12" ht="17" thickBot="1" x14ac:dyDescent="0.25">
      <c r="A24" s="4"/>
      <c r="B24" s="27" t="s">
        <v>11</v>
      </c>
      <c r="C24" s="32">
        <v>0.33610923796712</v>
      </c>
      <c r="D24" s="32">
        <v>0.67855969935471205</v>
      </c>
      <c r="E24" s="32">
        <v>0.67855969935471205</v>
      </c>
      <c r="F24" s="32">
        <v>0.67855969935471205</v>
      </c>
      <c r="G24" s="32">
        <v>0.68114495475595904</v>
      </c>
      <c r="H24" s="32">
        <v>0.31507486650740202</v>
      </c>
      <c r="I24" s="32">
        <v>0.31507486650740202</v>
      </c>
      <c r="J24" s="32">
        <v>0.31507486650740202</v>
      </c>
      <c r="K24" s="32">
        <v>0.33610923796712</v>
      </c>
      <c r="L24" s="32">
        <v>0.313976015490946</v>
      </c>
    </row>
    <row r="25" spans="1:12" ht="17" thickBot="1" x14ac:dyDescent="0.25">
      <c r="A25" s="6" t="s">
        <v>39</v>
      </c>
      <c r="B25" s="26" t="s">
        <v>9</v>
      </c>
      <c r="C25" s="32">
        <v>0.40008912655971401</v>
      </c>
      <c r="D25" s="32">
        <v>0.696737599749648</v>
      </c>
      <c r="E25" s="32">
        <v>0.696737599749648</v>
      </c>
      <c r="F25" s="32">
        <v>0.696737599749648</v>
      </c>
      <c r="G25" s="32">
        <v>0.69252410085279903</v>
      </c>
      <c r="H25" s="32">
        <v>0.27061657032755299</v>
      </c>
      <c r="I25" s="32">
        <v>0.27061657032755299</v>
      </c>
      <c r="J25" s="32">
        <v>0.27061657032755299</v>
      </c>
      <c r="K25" s="32">
        <v>0.40008912655971401</v>
      </c>
      <c r="L25" s="32">
        <v>0.27061657032755299</v>
      </c>
    </row>
    <row r="26" spans="1:12" ht="17" thickBot="1" x14ac:dyDescent="0.25">
      <c r="A26" s="4"/>
      <c r="B26" s="27" t="s">
        <v>11</v>
      </c>
      <c r="C26" s="32">
        <v>0.33610923796712</v>
      </c>
      <c r="D26" s="32">
        <v>0.68832932173308403</v>
      </c>
      <c r="E26" s="32">
        <v>0.68832932173308403</v>
      </c>
      <c r="F26" s="32">
        <v>0.68832932173308403</v>
      </c>
      <c r="G26" s="32">
        <v>0.68820876886231197</v>
      </c>
      <c r="H26" s="32">
        <v>0.32096954280197398</v>
      </c>
      <c r="I26" s="32">
        <v>0.32096954280197398</v>
      </c>
      <c r="J26" s="32">
        <v>0.32096954280197398</v>
      </c>
      <c r="K26" s="32">
        <v>0.33610923796712</v>
      </c>
      <c r="L26" s="32">
        <v>0.36652315852367301</v>
      </c>
    </row>
    <row r="27" spans="1:12" ht="17" thickBot="1" x14ac:dyDescent="0.25">
      <c r="A27" s="6" t="s">
        <v>32</v>
      </c>
      <c r="B27" s="26" t="s">
        <v>9</v>
      </c>
      <c r="C27" s="32">
        <v>0.27061657032755299</v>
      </c>
      <c r="D27" s="32">
        <v>0.65797740583836795</v>
      </c>
      <c r="E27" s="32">
        <v>0.65797740583836795</v>
      </c>
      <c r="F27" s="32">
        <v>0.65797740583836795</v>
      </c>
      <c r="G27" s="32">
        <v>0.65797740583836795</v>
      </c>
      <c r="H27" s="32">
        <v>0.27061657032755299</v>
      </c>
      <c r="I27" s="32">
        <v>0.27061657032755299</v>
      </c>
      <c r="J27" s="32">
        <v>0.27061657032755299</v>
      </c>
      <c r="K27" s="32">
        <v>0.27061657032755299</v>
      </c>
      <c r="L27" s="32">
        <v>0.27061657032755299</v>
      </c>
    </row>
    <row r="28" spans="1:12" ht="17" thickBot="1" x14ac:dyDescent="0.25">
      <c r="A28" s="4"/>
      <c r="B28" s="8" t="s">
        <v>11</v>
      </c>
      <c r="C28" s="32">
        <v>0.33618402657964802</v>
      </c>
      <c r="D28" s="32">
        <v>0.66330815498517703</v>
      </c>
      <c r="E28" s="32">
        <v>0.66330815498517703</v>
      </c>
      <c r="F28" s="32">
        <v>0.66330815498517703</v>
      </c>
      <c r="G28" s="32">
        <v>0.66335618113389805</v>
      </c>
      <c r="H28" s="32">
        <v>0.469869727624806</v>
      </c>
      <c r="I28" s="32">
        <v>0.469869727624806</v>
      </c>
      <c r="J28" s="32">
        <v>0.469869727624806</v>
      </c>
      <c r="K28" s="32">
        <v>0.33618402657964802</v>
      </c>
      <c r="L28" s="32">
        <v>0.30022970486657402</v>
      </c>
    </row>
    <row r="29" spans="1:12" x14ac:dyDescent="0.2">
      <c r="B29" s="14" t="s">
        <v>45</v>
      </c>
      <c r="C29" s="29">
        <f>MAX(C5:C28)</f>
        <v>0.79262826093482996</v>
      </c>
      <c r="D29" s="30">
        <f>MAX(D5:D28)</f>
        <v>0.78408283506058096</v>
      </c>
      <c r="E29" s="30">
        <f>MAX(E5:E28)</f>
        <v>0.78767692727691996</v>
      </c>
      <c r="F29" s="30">
        <f>MAX(F5:F28)</f>
        <v>0.78767692727691996</v>
      </c>
      <c r="G29" s="30">
        <f>MAX(G5:G28)</f>
        <v>0.79871060924869897</v>
      </c>
      <c r="H29" s="30">
        <f>MAX(H5:H28)</f>
        <v>0.79883184190099099</v>
      </c>
      <c r="I29" s="30">
        <f>MAX(I5:I28)</f>
        <v>0.79883184190099099</v>
      </c>
      <c r="J29" s="30">
        <f>MAX(J5:J28)</f>
        <v>0.80877629152368202</v>
      </c>
      <c r="K29" s="30">
        <f>MAX(K5:K28)</f>
        <v>0.785590660557825</v>
      </c>
      <c r="L29" s="31">
        <f>MAX(L5:L28)</f>
        <v>0.81306015129544496</v>
      </c>
    </row>
    <row r="30" spans="1:12" x14ac:dyDescent="0.2">
      <c r="B30" s="15" t="s">
        <v>43</v>
      </c>
      <c r="C30" s="17">
        <f>AVERAGE(C5:C28)</f>
        <v>0.59420357033499949</v>
      </c>
      <c r="D30" s="18">
        <f t="shared" ref="D30:L30" si="0">AVERAGE(D5:D28)</f>
        <v>0.74152536243410017</v>
      </c>
      <c r="E30" s="18">
        <f t="shared" si="0"/>
        <v>0.74136004167059022</v>
      </c>
      <c r="F30" s="18">
        <f t="shared" si="0"/>
        <v>0.74136004167059022</v>
      </c>
      <c r="G30" s="18">
        <f t="shared" si="0"/>
        <v>0.74375306252680196</v>
      </c>
      <c r="H30" s="18">
        <f t="shared" si="0"/>
        <v>0.65805230181687968</v>
      </c>
      <c r="I30" s="18">
        <f t="shared" si="0"/>
        <v>0.65971882880712762</v>
      </c>
      <c r="J30" s="18">
        <f t="shared" si="0"/>
        <v>0.66120683711054351</v>
      </c>
      <c r="K30" s="18">
        <f t="shared" si="0"/>
        <v>0.44272079222925514</v>
      </c>
      <c r="L30" s="19">
        <f t="shared" si="0"/>
        <v>0.57615859950278259</v>
      </c>
    </row>
    <row r="31" spans="1:12" ht="17" thickBot="1" x14ac:dyDescent="0.25">
      <c r="B31" s="16" t="s">
        <v>44</v>
      </c>
      <c r="C31" s="20">
        <f>_xlfn.STDEV.P(C5:C28)</f>
        <v>0.19782834506079669</v>
      </c>
      <c r="D31" s="21">
        <f t="shared" ref="D31:L31" si="1">_xlfn.STDEV.P(D5:D28)</f>
        <v>3.8989126991231977E-2</v>
      </c>
      <c r="E31" s="21">
        <f t="shared" si="1"/>
        <v>3.8919974336183126E-2</v>
      </c>
      <c r="F31" s="21">
        <f t="shared" si="1"/>
        <v>3.8919974336183126E-2</v>
      </c>
      <c r="G31" s="21">
        <f t="shared" si="1"/>
        <v>4.0590185665189252E-2</v>
      </c>
      <c r="H31" s="21">
        <f t="shared" si="1"/>
        <v>0.19799267487844543</v>
      </c>
      <c r="I31" s="21">
        <f t="shared" si="1"/>
        <v>0.19905841379916794</v>
      </c>
      <c r="J31" s="21">
        <f t="shared" si="1"/>
        <v>0.20012196823224343</v>
      </c>
      <c r="K31" s="21">
        <f t="shared" si="1"/>
        <v>0.19767176170182962</v>
      </c>
      <c r="L31" s="22">
        <f t="shared" si="1"/>
        <v>0.22418296798125639</v>
      </c>
    </row>
    <row r="33" spans="1:2" x14ac:dyDescent="0.2">
      <c r="A33" s="23" t="s">
        <v>1</v>
      </c>
      <c r="B33" s="24" t="s">
        <v>42</v>
      </c>
    </row>
    <row r="34" spans="1:2" x14ac:dyDescent="0.2">
      <c r="A34" s="25">
        <v>1</v>
      </c>
      <c r="B34" s="24" t="s">
        <v>8</v>
      </c>
    </row>
    <row r="35" spans="1:2" x14ac:dyDescent="0.2">
      <c r="A35" s="25">
        <v>2</v>
      </c>
      <c r="B35" s="24" t="s">
        <v>12</v>
      </c>
    </row>
    <row r="36" spans="1:2" x14ac:dyDescent="0.2">
      <c r="A36" s="25">
        <v>3</v>
      </c>
      <c r="B36" s="24" t="s">
        <v>13</v>
      </c>
    </row>
    <row r="37" spans="1:2" x14ac:dyDescent="0.2">
      <c r="A37" s="25">
        <v>4</v>
      </c>
      <c r="B37" s="24" t="s">
        <v>14</v>
      </c>
    </row>
    <row r="38" spans="1:2" x14ac:dyDescent="0.2">
      <c r="A38" s="25">
        <v>5</v>
      </c>
      <c r="B38" s="24" t="s">
        <v>15</v>
      </c>
    </row>
    <row r="39" spans="1:2" x14ac:dyDescent="0.2">
      <c r="A39" s="25">
        <v>6</v>
      </c>
      <c r="B39" s="24" t="s">
        <v>16</v>
      </c>
    </row>
    <row r="40" spans="1:2" x14ac:dyDescent="0.2">
      <c r="A40" s="25">
        <v>7</v>
      </c>
      <c r="B40" s="24" t="s">
        <v>17</v>
      </c>
    </row>
    <row r="41" spans="1:2" x14ac:dyDescent="0.2">
      <c r="A41" s="25">
        <v>8</v>
      </c>
      <c r="B41" s="24" t="s">
        <v>18</v>
      </c>
    </row>
    <row r="42" spans="1:2" x14ac:dyDescent="0.2">
      <c r="A42" s="25">
        <v>9</v>
      </c>
      <c r="B42" s="24" t="s">
        <v>19</v>
      </c>
    </row>
    <row r="43" spans="1:2" x14ac:dyDescent="0.2">
      <c r="A43" s="25">
        <v>10</v>
      </c>
      <c r="B43" s="24" t="s">
        <v>20</v>
      </c>
    </row>
  </sheetData>
  <conditionalFormatting pivot="1" sqref="C5:L28">
    <cfRule type="colorScale" priority="2">
      <colorScale>
        <cfvo type="min"/>
        <cfvo type="percentile" val="50"/>
        <cfvo type="max"/>
        <color rgb="FFFF7128"/>
        <color rgb="FFFFEB84"/>
        <color theme="9"/>
      </colorScale>
    </cfRule>
  </conditionalFormatting>
  <conditionalFormatting pivot="1" sqref="C6:L6">
    <cfRule type="colorScale" priority="1">
      <colorScale>
        <cfvo type="min"/>
        <cfvo type="percentile" val="50"/>
        <cfvo type="max"/>
        <color rgb="FFFF7128"/>
        <color rgb="FFFFEB84"/>
        <color theme="9"/>
      </colorScale>
    </cfRule>
  </conditionalFormatting>
  <pageMargins left="0.511811024" right="0.511811024" top="0.78740157499999996" bottom="0.78740157499999996" header="0.31496062000000002" footer="0.31496062000000002"/>
  <pageSetup paperSize="9" scale="7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A864-6AD0-DD40-BDDD-F0E2988D37F0}">
  <dimension ref="A1:G241"/>
  <sheetViews>
    <sheetView workbookViewId="0">
      <selection activeCell="B1" sqref="B1:C241"/>
    </sheetView>
  </sheetViews>
  <sheetFormatPr baseColWidth="10" defaultRowHeight="16" x14ac:dyDescent="0.2"/>
  <cols>
    <col min="1" max="1" width="21.6640625" bestFit="1" customWidth="1"/>
    <col min="2" max="2" width="10.33203125" bestFit="1" customWidth="1"/>
    <col min="3" max="3" width="80.6640625" bestFit="1" customWidth="1"/>
    <col min="4" max="4" width="13.5" bestFit="1" customWidth="1"/>
    <col min="5" max="6" width="12.1640625" bestFit="1" customWidth="1"/>
    <col min="7" max="7" width="10.33203125" bestFit="1" customWidth="1"/>
  </cols>
  <sheetData>
    <row r="1" spans="1:7" x14ac:dyDescent="0.2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">
        <v>7</v>
      </c>
      <c r="B2">
        <v>1</v>
      </c>
      <c r="C2" s="1" t="s">
        <v>8</v>
      </c>
      <c r="D2" t="s">
        <v>9</v>
      </c>
      <c r="E2">
        <v>0.76320952497423</v>
      </c>
      <c r="F2">
        <v>0</v>
      </c>
      <c r="G2" t="s">
        <v>10</v>
      </c>
    </row>
    <row r="3" spans="1:7" x14ac:dyDescent="0.2">
      <c r="A3" s="1" t="s">
        <v>7</v>
      </c>
      <c r="B3">
        <v>1</v>
      </c>
      <c r="C3" s="1" t="s">
        <v>8</v>
      </c>
      <c r="D3" t="s">
        <v>11</v>
      </c>
      <c r="E3">
        <v>0.74615773782807604</v>
      </c>
      <c r="F3">
        <v>3.9768423925731801E-2</v>
      </c>
      <c r="G3" t="s">
        <v>10</v>
      </c>
    </row>
    <row r="4" spans="1:7" x14ac:dyDescent="0.2">
      <c r="A4" s="1" t="s">
        <v>7</v>
      </c>
      <c r="B4">
        <v>2</v>
      </c>
      <c r="C4" s="1" t="s">
        <v>12</v>
      </c>
      <c r="D4" t="s">
        <v>9</v>
      </c>
      <c r="E4">
        <v>0.75479889431235603</v>
      </c>
      <c r="F4">
        <v>0</v>
      </c>
      <c r="G4" t="s">
        <v>10</v>
      </c>
    </row>
    <row r="5" spans="1:7" x14ac:dyDescent="0.2">
      <c r="A5" s="1" t="s">
        <v>7</v>
      </c>
      <c r="B5">
        <v>2</v>
      </c>
      <c r="C5" s="1" t="s">
        <v>12</v>
      </c>
      <c r="D5" t="s">
        <v>11</v>
      </c>
      <c r="E5">
        <v>0.77015867689314699</v>
      </c>
      <c r="F5">
        <v>2.5076077879810199E-2</v>
      </c>
      <c r="G5" t="s">
        <v>10</v>
      </c>
    </row>
    <row r="6" spans="1:7" x14ac:dyDescent="0.2">
      <c r="A6" s="1" t="s">
        <v>7</v>
      </c>
      <c r="B6">
        <v>3</v>
      </c>
      <c r="C6" s="1" t="s">
        <v>13</v>
      </c>
      <c r="D6" t="s">
        <v>9</v>
      </c>
      <c r="E6">
        <v>0.75479889431235603</v>
      </c>
      <c r="F6">
        <v>0</v>
      </c>
      <c r="G6" t="s">
        <v>10</v>
      </c>
    </row>
    <row r="7" spans="1:7" x14ac:dyDescent="0.2">
      <c r="A7" s="1" t="s">
        <v>7</v>
      </c>
      <c r="B7">
        <v>3</v>
      </c>
      <c r="C7" s="1" t="s">
        <v>13</v>
      </c>
      <c r="D7" t="s">
        <v>11</v>
      </c>
      <c r="E7">
        <v>0.77015867689314699</v>
      </c>
      <c r="F7">
        <v>2.5076077879810199E-2</v>
      </c>
      <c r="G7" t="s">
        <v>10</v>
      </c>
    </row>
    <row r="8" spans="1:7" x14ac:dyDescent="0.2">
      <c r="A8" s="1" t="s">
        <v>7</v>
      </c>
      <c r="B8">
        <v>4</v>
      </c>
      <c r="C8" s="1" t="s">
        <v>14</v>
      </c>
      <c r="D8" t="s">
        <v>9</v>
      </c>
      <c r="E8">
        <v>0.75479889431235603</v>
      </c>
      <c r="F8">
        <v>0</v>
      </c>
      <c r="G8" t="s">
        <v>10</v>
      </c>
    </row>
    <row r="9" spans="1:7" x14ac:dyDescent="0.2">
      <c r="A9" s="1" t="s">
        <v>7</v>
      </c>
      <c r="B9">
        <v>4</v>
      </c>
      <c r="C9" s="1" t="s">
        <v>14</v>
      </c>
      <c r="D9" t="s">
        <v>11</v>
      </c>
      <c r="E9">
        <v>0.77015867689314699</v>
      </c>
      <c r="F9">
        <v>2.5076077879810199E-2</v>
      </c>
      <c r="G9" t="s">
        <v>10</v>
      </c>
    </row>
    <row r="10" spans="1:7" x14ac:dyDescent="0.2">
      <c r="A10" s="1" t="s">
        <v>7</v>
      </c>
      <c r="B10">
        <v>5</v>
      </c>
      <c r="C10" s="1" t="s">
        <v>15</v>
      </c>
      <c r="D10" t="s">
        <v>9</v>
      </c>
      <c r="E10">
        <v>0.75479889431235603</v>
      </c>
      <c r="F10">
        <v>0</v>
      </c>
      <c r="G10" t="s">
        <v>10</v>
      </c>
    </row>
    <row r="11" spans="1:7" x14ac:dyDescent="0.2">
      <c r="A11" s="1" t="s">
        <v>7</v>
      </c>
      <c r="B11">
        <v>5</v>
      </c>
      <c r="C11" s="1" t="s">
        <v>15</v>
      </c>
      <c r="D11" t="s">
        <v>11</v>
      </c>
      <c r="E11">
        <v>0.77015867689314699</v>
      </c>
      <c r="F11">
        <v>2.5076077879810199E-2</v>
      </c>
      <c r="G11" t="s">
        <v>10</v>
      </c>
    </row>
    <row r="12" spans="1:7" x14ac:dyDescent="0.2">
      <c r="A12" s="1" t="s">
        <v>7</v>
      </c>
      <c r="B12">
        <v>6</v>
      </c>
      <c r="C12" s="1" t="s">
        <v>16</v>
      </c>
      <c r="D12" t="s">
        <v>9</v>
      </c>
      <c r="E12">
        <v>0.746662653475481</v>
      </c>
      <c r="F12">
        <v>0</v>
      </c>
      <c r="G12" t="s">
        <v>10</v>
      </c>
    </row>
    <row r="13" spans="1:7" x14ac:dyDescent="0.2">
      <c r="A13" s="1" t="s">
        <v>7</v>
      </c>
      <c r="B13">
        <v>6</v>
      </c>
      <c r="C13" s="1" t="s">
        <v>16</v>
      </c>
      <c r="D13" t="s">
        <v>11</v>
      </c>
      <c r="E13">
        <v>0.76127890438601997</v>
      </c>
      <c r="F13">
        <v>3.0002202910360699E-2</v>
      </c>
      <c r="G13" t="s">
        <v>10</v>
      </c>
    </row>
    <row r="14" spans="1:7" x14ac:dyDescent="0.2">
      <c r="A14" s="1" t="s">
        <v>7</v>
      </c>
      <c r="B14">
        <v>7</v>
      </c>
      <c r="C14" s="1" t="s">
        <v>17</v>
      </c>
      <c r="D14" t="s">
        <v>9</v>
      </c>
      <c r="E14">
        <v>0.746662653475481</v>
      </c>
      <c r="F14">
        <v>0</v>
      </c>
      <c r="G14" t="s">
        <v>10</v>
      </c>
    </row>
    <row r="15" spans="1:7" x14ac:dyDescent="0.2">
      <c r="A15" s="1" t="s">
        <v>7</v>
      </c>
      <c r="B15">
        <v>7</v>
      </c>
      <c r="C15" s="1" t="s">
        <v>17</v>
      </c>
      <c r="D15" t="s">
        <v>11</v>
      </c>
      <c r="E15">
        <v>0.76127890438601997</v>
      </c>
      <c r="F15">
        <v>3.0002202910360699E-2</v>
      </c>
      <c r="G15" t="s">
        <v>10</v>
      </c>
    </row>
    <row r="16" spans="1:7" x14ac:dyDescent="0.2">
      <c r="A16" s="1" t="s">
        <v>7</v>
      </c>
      <c r="B16">
        <v>8</v>
      </c>
      <c r="C16" s="1" t="s">
        <v>18</v>
      </c>
      <c r="D16" t="s">
        <v>9</v>
      </c>
      <c r="E16">
        <v>0.746662653475481</v>
      </c>
      <c r="F16">
        <v>0</v>
      </c>
      <c r="G16" t="s">
        <v>10</v>
      </c>
    </row>
    <row r="17" spans="1:7" x14ac:dyDescent="0.2">
      <c r="A17" s="1" t="s">
        <v>7</v>
      </c>
      <c r="B17">
        <v>8</v>
      </c>
      <c r="C17" s="1" t="s">
        <v>18</v>
      </c>
      <c r="D17" t="s">
        <v>11</v>
      </c>
      <c r="E17">
        <v>0.76127890438601997</v>
      </c>
      <c r="F17">
        <v>3.0002202910360699E-2</v>
      </c>
      <c r="G17" t="s">
        <v>10</v>
      </c>
    </row>
    <row r="18" spans="1:7" x14ac:dyDescent="0.2">
      <c r="A18" s="1" t="s">
        <v>7</v>
      </c>
      <c r="B18">
        <v>9</v>
      </c>
      <c r="C18" s="1" t="s">
        <v>19</v>
      </c>
      <c r="D18" t="s">
        <v>9</v>
      </c>
      <c r="E18">
        <v>0.77151796269443296</v>
      </c>
      <c r="F18">
        <v>0</v>
      </c>
      <c r="G18" t="s">
        <v>10</v>
      </c>
    </row>
    <row r="19" spans="1:7" x14ac:dyDescent="0.2">
      <c r="A19" s="1" t="s">
        <v>7</v>
      </c>
      <c r="B19">
        <v>9</v>
      </c>
      <c r="C19" s="1" t="s">
        <v>19</v>
      </c>
      <c r="D19" t="s">
        <v>11</v>
      </c>
      <c r="E19">
        <v>0.76857851341778605</v>
      </c>
      <c r="F19">
        <v>3.5385389842760302E-2</v>
      </c>
      <c r="G19" t="s">
        <v>10</v>
      </c>
    </row>
    <row r="20" spans="1:7" x14ac:dyDescent="0.2">
      <c r="A20" s="1" t="s">
        <v>7</v>
      </c>
      <c r="B20">
        <v>10</v>
      </c>
      <c r="C20" s="1" t="s">
        <v>20</v>
      </c>
      <c r="D20" t="s">
        <v>9</v>
      </c>
      <c r="E20">
        <v>0.75479889431235603</v>
      </c>
      <c r="F20">
        <v>0</v>
      </c>
      <c r="G20" t="s">
        <v>10</v>
      </c>
    </row>
    <row r="21" spans="1:7" x14ac:dyDescent="0.2">
      <c r="A21" s="1" t="s">
        <v>7</v>
      </c>
      <c r="B21">
        <v>10</v>
      </c>
      <c r="C21" s="1" t="s">
        <v>20</v>
      </c>
      <c r="D21" t="s">
        <v>11</v>
      </c>
      <c r="E21">
        <v>0.77644713428352197</v>
      </c>
      <c r="F21">
        <v>2.9260096139159301E-2</v>
      </c>
      <c r="G21" t="s">
        <v>10</v>
      </c>
    </row>
    <row r="22" spans="1:7" x14ac:dyDescent="0.2">
      <c r="A22" s="1" t="s">
        <v>21</v>
      </c>
      <c r="B22">
        <v>1</v>
      </c>
      <c r="C22" s="1" t="s">
        <v>8</v>
      </c>
      <c r="D22" t="s">
        <v>9</v>
      </c>
      <c r="E22">
        <v>0.64064005912786404</v>
      </c>
      <c r="F22">
        <v>0</v>
      </c>
      <c r="G22" t="s">
        <v>22</v>
      </c>
    </row>
    <row r="23" spans="1:7" x14ac:dyDescent="0.2">
      <c r="A23" s="1" t="s">
        <v>21</v>
      </c>
      <c r="B23">
        <v>1</v>
      </c>
      <c r="C23" s="1" t="s">
        <v>8</v>
      </c>
      <c r="D23" t="s">
        <v>11</v>
      </c>
      <c r="E23">
        <v>0.75839019746190595</v>
      </c>
      <c r="F23">
        <v>2.31342339283316E-2</v>
      </c>
      <c r="G23" t="s">
        <v>22</v>
      </c>
    </row>
    <row r="24" spans="1:7" x14ac:dyDescent="0.2">
      <c r="A24" s="1" t="s">
        <v>21</v>
      </c>
      <c r="B24">
        <v>2</v>
      </c>
      <c r="C24" s="1" t="s">
        <v>12</v>
      </c>
      <c r="D24" t="s">
        <v>9</v>
      </c>
      <c r="E24">
        <v>0.77161220043572898</v>
      </c>
      <c r="F24">
        <v>0</v>
      </c>
      <c r="G24" t="s">
        <v>22</v>
      </c>
    </row>
    <row r="25" spans="1:7" x14ac:dyDescent="0.2">
      <c r="A25" s="1" t="s">
        <v>21</v>
      </c>
      <c r="B25">
        <v>2</v>
      </c>
      <c r="C25" s="1" t="s">
        <v>12</v>
      </c>
      <c r="D25" t="s">
        <v>11</v>
      </c>
      <c r="E25">
        <v>0.78408283506058096</v>
      </c>
      <c r="F25">
        <v>3.23575627903155E-2</v>
      </c>
      <c r="G25" t="s">
        <v>22</v>
      </c>
    </row>
    <row r="26" spans="1:7" x14ac:dyDescent="0.2">
      <c r="A26" s="1" t="s">
        <v>21</v>
      </c>
      <c r="B26">
        <v>3</v>
      </c>
      <c r="C26" s="1" t="s">
        <v>13</v>
      </c>
      <c r="D26" t="s">
        <v>9</v>
      </c>
      <c r="E26">
        <v>0.76744639376218304</v>
      </c>
      <c r="F26">
        <v>0</v>
      </c>
      <c r="G26" t="s">
        <v>22</v>
      </c>
    </row>
    <row r="27" spans="1:7" x14ac:dyDescent="0.2">
      <c r="A27" s="1" t="s">
        <v>21</v>
      </c>
      <c r="B27">
        <v>3</v>
      </c>
      <c r="C27" s="1" t="s">
        <v>13</v>
      </c>
      <c r="D27" t="s">
        <v>11</v>
      </c>
      <c r="E27">
        <v>0.78767692727691996</v>
      </c>
      <c r="F27">
        <v>3.0874685133170501E-2</v>
      </c>
      <c r="G27" t="s">
        <v>22</v>
      </c>
    </row>
    <row r="28" spans="1:7" x14ac:dyDescent="0.2">
      <c r="A28" s="1" t="s">
        <v>21</v>
      </c>
      <c r="B28">
        <v>4</v>
      </c>
      <c r="C28" s="1" t="s">
        <v>14</v>
      </c>
      <c r="D28" t="s">
        <v>9</v>
      </c>
      <c r="E28">
        <v>0.76744639376218304</v>
      </c>
      <c r="F28">
        <v>0</v>
      </c>
      <c r="G28" t="s">
        <v>22</v>
      </c>
    </row>
    <row r="29" spans="1:7" x14ac:dyDescent="0.2">
      <c r="A29" s="1" t="s">
        <v>21</v>
      </c>
      <c r="B29">
        <v>4</v>
      </c>
      <c r="C29" s="1" t="s">
        <v>14</v>
      </c>
      <c r="D29" t="s">
        <v>11</v>
      </c>
      <c r="E29">
        <v>0.78767692727691996</v>
      </c>
      <c r="F29">
        <v>3.0874685133170501E-2</v>
      </c>
      <c r="G29" t="s">
        <v>22</v>
      </c>
    </row>
    <row r="30" spans="1:7" x14ac:dyDescent="0.2">
      <c r="A30" s="1" t="s">
        <v>21</v>
      </c>
      <c r="B30">
        <v>5</v>
      </c>
      <c r="C30" s="1" t="s">
        <v>15</v>
      </c>
      <c r="D30" t="s">
        <v>9</v>
      </c>
      <c r="E30">
        <v>0.78777972795085505</v>
      </c>
      <c r="F30">
        <v>0</v>
      </c>
      <c r="G30" t="s">
        <v>22</v>
      </c>
    </row>
    <row r="31" spans="1:7" x14ac:dyDescent="0.2">
      <c r="A31" s="1" t="s">
        <v>21</v>
      </c>
      <c r="B31">
        <v>5</v>
      </c>
      <c r="C31" s="1" t="s">
        <v>15</v>
      </c>
      <c r="D31" t="s">
        <v>11</v>
      </c>
      <c r="E31">
        <v>0.79871060924869897</v>
      </c>
      <c r="F31">
        <v>3.5638904004743399E-2</v>
      </c>
      <c r="G31" t="s">
        <v>22</v>
      </c>
    </row>
    <row r="32" spans="1:7" x14ac:dyDescent="0.2">
      <c r="A32" s="1" t="s">
        <v>21</v>
      </c>
      <c r="B32">
        <v>6</v>
      </c>
      <c r="C32" s="1" t="s">
        <v>16</v>
      </c>
      <c r="D32" t="s">
        <v>9</v>
      </c>
      <c r="E32">
        <v>0.77129511193659295</v>
      </c>
      <c r="F32">
        <v>0</v>
      </c>
      <c r="G32" t="s">
        <v>22</v>
      </c>
    </row>
    <row r="33" spans="1:7" x14ac:dyDescent="0.2">
      <c r="A33" s="1" t="s">
        <v>21</v>
      </c>
      <c r="B33">
        <v>6</v>
      </c>
      <c r="C33" s="1" t="s">
        <v>16</v>
      </c>
      <c r="D33" t="s">
        <v>11</v>
      </c>
      <c r="E33">
        <v>0.79883184190099099</v>
      </c>
      <c r="F33">
        <v>2.6852462202724098E-2</v>
      </c>
      <c r="G33" t="s">
        <v>22</v>
      </c>
    </row>
    <row r="34" spans="1:7" x14ac:dyDescent="0.2">
      <c r="A34" s="1" t="s">
        <v>21</v>
      </c>
      <c r="B34">
        <v>7</v>
      </c>
      <c r="C34" s="1" t="s">
        <v>17</v>
      </c>
      <c r="D34" t="s">
        <v>9</v>
      </c>
      <c r="E34">
        <v>0.77129511193659295</v>
      </c>
      <c r="F34">
        <v>0</v>
      </c>
      <c r="G34" t="s">
        <v>22</v>
      </c>
    </row>
    <row r="35" spans="1:7" x14ac:dyDescent="0.2">
      <c r="A35" s="1" t="s">
        <v>21</v>
      </c>
      <c r="B35">
        <v>7</v>
      </c>
      <c r="C35" s="1" t="s">
        <v>17</v>
      </c>
      <c r="D35" t="s">
        <v>11</v>
      </c>
      <c r="E35">
        <v>0.79883184190099099</v>
      </c>
      <c r="F35">
        <v>2.6852462202724098E-2</v>
      </c>
      <c r="G35" t="s">
        <v>22</v>
      </c>
    </row>
    <row r="36" spans="1:7" x14ac:dyDescent="0.2">
      <c r="A36" s="1" t="s">
        <v>21</v>
      </c>
      <c r="B36">
        <v>8</v>
      </c>
      <c r="C36" s="1" t="s">
        <v>18</v>
      </c>
      <c r="D36" t="s">
        <v>9</v>
      </c>
      <c r="E36">
        <v>0.77142269808778996</v>
      </c>
      <c r="F36">
        <v>0</v>
      </c>
      <c r="G36" t="s">
        <v>22</v>
      </c>
    </row>
    <row r="37" spans="1:7" x14ac:dyDescent="0.2">
      <c r="A37" s="1" t="s">
        <v>21</v>
      </c>
      <c r="B37">
        <v>8</v>
      </c>
      <c r="C37" s="1" t="s">
        <v>18</v>
      </c>
      <c r="D37" t="s">
        <v>11</v>
      </c>
      <c r="E37">
        <v>0.80005652875503697</v>
      </c>
      <c r="F37">
        <v>2.65626789108541E-2</v>
      </c>
      <c r="G37" t="s">
        <v>22</v>
      </c>
    </row>
    <row r="38" spans="1:7" x14ac:dyDescent="0.2">
      <c r="A38" s="1" t="s">
        <v>21</v>
      </c>
      <c r="B38">
        <v>9</v>
      </c>
      <c r="C38" s="1" t="s">
        <v>19</v>
      </c>
      <c r="D38" t="s">
        <v>9</v>
      </c>
      <c r="E38">
        <v>0.27061657032755299</v>
      </c>
      <c r="F38">
        <v>0</v>
      </c>
      <c r="G38" t="s">
        <v>22</v>
      </c>
    </row>
    <row r="39" spans="1:7" x14ac:dyDescent="0.2">
      <c r="A39" s="1" t="s">
        <v>21</v>
      </c>
      <c r="B39">
        <v>9</v>
      </c>
      <c r="C39" s="1" t="s">
        <v>19</v>
      </c>
      <c r="D39" t="s">
        <v>11</v>
      </c>
      <c r="E39">
        <v>0.33618402657964802</v>
      </c>
      <c r="F39">
        <v>7.5233901387711799E-2</v>
      </c>
      <c r="G39" t="s">
        <v>22</v>
      </c>
    </row>
    <row r="40" spans="1:7" x14ac:dyDescent="0.2">
      <c r="A40" s="1" t="s">
        <v>21</v>
      </c>
      <c r="B40">
        <v>10</v>
      </c>
      <c r="C40" s="1" t="s">
        <v>20</v>
      </c>
      <c r="D40" t="s">
        <v>9</v>
      </c>
      <c r="E40">
        <v>0.79644327585504004</v>
      </c>
      <c r="F40">
        <v>0</v>
      </c>
      <c r="G40" t="s">
        <v>22</v>
      </c>
    </row>
    <row r="41" spans="1:7" x14ac:dyDescent="0.2">
      <c r="A41" s="1" t="s">
        <v>21</v>
      </c>
      <c r="B41">
        <v>10</v>
      </c>
      <c r="C41" s="1" t="s">
        <v>20</v>
      </c>
      <c r="D41" t="s">
        <v>11</v>
      </c>
      <c r="E41">
        <v>0.59389894889632999</v>
      </c>
      <c r="F41">
        <v>0.177863191796895</v>
      </c>
      <c r="G41" t="s">
        <v>22</v>
      </c>
    </row>
    <row r="42" spans="1:7" x14ac:dyDescent="0.2">
      <c r="A42" s="1" t="s">
        <v>23</v>
      </c>
      <c r="B42">
        <v>1</v>
      </c>
      <c r="C42" s="1" t="s">
        <v>8</v>
      </c>
      <c r="D42" t="s">
        <v>9</v>
      </c>
      <c r="E42">
        <v>0.31267507002801098</v>
      </c>
      <c r="F42">
        <v>0</v>
      </c>
      <c r="G42" t="s">
        <v>24</v>
      </c>
    </row>
    <row r="43" spans="1:7" x14ac:dyDescent="0.2">
      <c r="A43" s="1" t="s">
        <v>23</v>
      </c>
      <c r="B43">
        <v>1</v>
      </c>
      <c r="C43" s="1" t="s">
        <v>8</v>
      </c>
      <c r="D43" t="s">
        <v>11</v>
      </c>
      <c r="E43">
        <v>0.48994230141654499</v>
      </c>
      <c r="F43">
        <v>8.2413133661180499E-2</v>
      </c>
      <c r="G43" t="s">
        <v>24</v>
      </c>
    </row>
    <row r="44" spans="1:7" x14ac:dyDescent="0.2">
      <c r="A44" s="1" t="s">
        <v>23</v>
      </c>
      <c r="B44">
        <v>2</v>
      </c>
      <c r="C44" s="1" t="s">
        <v>12</v>
      </c>
      <c r="D44" t="s">
        <v>9</v>
      </c>
      <c r="E44">
        <v>0.76731934731934703</v>
      </c>
      <c r="F44">
        <v>0</v>
      </c>
      <c r="G44" t="s">
        <v>24</v>
      </c>
    </row>
    <row r="45" spans="1:7" x14ac:dyDescent="0.2">
      <c r="A45" s="1" t="s">
        <v>23</v>
      </c>
      <c r="B45">
        <v>2</v>
      </c>
      <c r="C45" s="1" t="s">
        <v>12</v>
      </c>
      <c r="D45" t="s">
        <v>11</v>
      </c>
      <c r="E45">
        <v>0.77023558876480203</v>
      </c>
      <c r="F45">
        <v>3.8524770631668703E-2</v>
      </c>
      <c r="G45" t="s">
        <v>24</v>
      </c>
    </row>
    <row r="46" spans="1:7" x14ac:dyDescent="0.2">
      <c r="A46" s="1" t="s">
        <v>23</v>
      </c>
      <c r="B46">
        <v>3</v>
      </c>
      <c r="C46" s="1" t="s">
        <v>13</v>
      </c>
      <c r="D46" t="s">
        <v>9</v>
      </c>
      <c r="E46">
        <v>0.76731934731934703</v>
      </c>
      <c r="F46">
        <v>0</v>
      </c>
      <c r="G46" t="s">
        <v>24</v>
      </c>
    </row>
    <row r="47" spans="1:7" x14ac:dyDescent="0.2">
      <c r="A47" s="1" t="s">
        <v>23</v>
      </c>
      <c r="B47">
        <v>3</v>
      </c>
      <c r="C47" s="1" t="s">
        <v>13</v>
      </c>
      <c r="D47" t="s">
        <v>11</v>
      </c>
      <c r="E47">
        <v>0.76642397868813195</v>
      </c>
      <c r="F47">
        <v>3.5889075097213098E-2</v>
      </c>
      <c r="G47" t="s">
        <v>24</v>
      </c>
    </row>
    <row r="48" spans="1:7" x14ac:dyDescent="0.2">
      <c r="A48" s="1" t="s">
        <v>23</v>
      </c>
      <c r="B48">
        <v>4</v>
      </c>
      <c r="C48" s="1" t="s">
        <v>14</v>
      </c>
      <c r="D48" t="s">
        <v>9</v>
      </c>
      <c r="E48">
        <v>0.76731934731934703</v>
      </c>
      <c r="F48">
        <v>0</v>
      </c>
      <c r="G48" t="s">
        <v>24</v>
      </c>
    </row>
    <row r="49" spans="1:7" x14ac:dyDescent="0.2">
      <c r="A49" s="1" t="s">
        <v>23</v>
      </c>
      <c r="B49">
        <v>4</v>
      </c>
      <c r="C49" s="1" t="s">
        <v>14</v>
      </c>
      <c r="D49" t="s">
        <v>11</v>
      </c>
      <c r="E49">
        <v>0.76642397868813195</v>
      </c>
      <c r="F49">
        <v>3.5889075097213098E-2</v>
      </c>
      <c r="G49" t="s">
        <v>24</v>
      </c>
    </row>
    <row r="50" spans="1:7" x14ac:dyDescent="0.2">
      <c r="A50" s="1" t="s">
        <v>23</v>
      </c>
      <c r="B50">
        <v>5</v>
      </c>
      <c r="C50" s="1" t="s">
        <v>15</v>
      </c>
      <c r="D50" t="s">
        <v>9</v>
      </c>
      <c r="E50">
        <v>0.75889184583420799</v>
      </c>
      <c r="F50">
        <v>0</v>
      </c>
      <c r="G50" t="s">
        <v>24</v>
      </c>
    </row>
    <row r="51" spans="1:7" x14ac:dyDescent="0.2">
      <c r="A51" s="1" t="s">
        <v>23</v>
      </c>
      <c r="B51">
        <v>5</v>
      </c>
      <c r="C51" s="1" t="s">
        <v>15</v>
      </c>
      <c r="D51" t="s">
        <v>11</v>
      </c>
      <c r="E51">
        <v>0.77498641687786696</v>
      </c>
      <c r="F51">
        <v>4.8951006141966603E-2</v>
      </c>
      <c r="G51" t="s">
        <v>24</v>
      </c>
    </row>
    <row r="52" spans="1:7" x14ac:dyDescent="0.2">
      <c r="A52" s="1" t="s">
        <v>23</v>
      </c>
      <c r="B52">
        <v>6</v>
      </c>
      <c r="C52" s="1" t="s">
        <v>16</v>
      </c>
      <c r="D52" t="s">
        <v>9</v>
      </c>
      <c r="E52">
        <v>0.75479889431235603</v>
      </c>
      <c r="F52">
        <v>0</v>
      </c>
      <c r="G52" t="s">
        <v>24</v>
      </c>
    </row>
    <row r="53" spans="1:7" x14ac:dyDescent="0.2">
      <c r="A53" s="1" t="s">
        <v>23</v>
      </c>
      <c r="B53">
        <v>6</v>
      </c>
      <c r="C53" s="1" t="s">
        <v>16</v>
      </c>
      <c r="D53" t="s">
        <v>11</v>
      </c>
      <c r="E53">
        <v>0.77884768942750304</v>
      </c>
      <c r="F53">
        <v>2.9711083469231798E-2</v>
      </c>
      <c r="G53" t="s">
        <v>24</v>
      </c>
    </row>
    <row r="54" spans="1:7" x14ac:dyDescent="0.2">
      <c r="A54" s="1" t="s">
        <v>23</v>
      </c>
      <c r="B54">
        <v>7</v>
      </c>
      <c r="C54" s="1" t="s">
        <v>17</v>
      </c>
      <c r="D54" t="s">
        <v>9</v>
      </c>
      <c r="E54">
        <v>0.75479889431235603</v>
      </c>
      <c r="F54">
        <v>0</v>
      </c>
      <c r="G54" t="s">
        <v>24</v>
      </c>
    </row>
    <row r="55" spans="1:7" x14ac:dyDescent="0.2">
      <c r="A55" s="1" t="s">
        <v>23</v>
      </c>
      <c r="B55">
        <v>7</v>
      </c>
      <c r="C55" s="1" t="s">
        <v>17</v>
      </c>
      <c r="D55" t="s">
        <v>11</v>
      </c>
      <c r="E55">
        <v>0.77884768942750304</v>
      </c>
      <c r="F55">
        <v>2.9711083469231798E-2</v>
      </c>
      <c r="G55" t="s">
        <v>24</v>
      </c>
    </row>
    <row r="56" spans="1:7" x14ac:dyDescent="0.2">
      <c r="A56" s="1" t="s">
        <v>23</v>
      </c>
      <c r="B56">
        <v>8</v>
      </c>
      <c r="C56" s="1" t="s">
        <v>18</v>
      </c>
      <c r="D56" t="s">
        <v>9</v>
      </c>
      <c r="E56">
        <v>0.74659264953382598</v>
      </c>
      <c r="F56">
        <v>0</v>
      </c>
      <c r="G56" t="s">
        <v>24</v>
      </c>
    </row>
    <row r="57" spans="1:7" x14ac:dyDescent="0.2">
      <c r="A57" s="1" t="s">
        <v>23</v>
      </c>
      <c r="B57">
        <v>8</v>
      </c>
      <c r="C57" s="1" t="s">
        <v>18</v>
      </c>
      <c r="D57" t="s">
        <v>11</v>
      </c>
      <c r="E57">
        <v>0.77884768942750304</v>
      </c>
      <c r="F57">
        <v>2.9711083469231798E-2</v>
      </c>
      <c r="G57" t="s">
        <v>24</v>
      </c>
    </row>
    <row r="58" spans="1:7" x14ac:dyDescent="0.2">
      <c r="A58" s="1" t="s">
        <v>23</v>
      </c>
      <c r="B58">
        <v>9</v>
      </c>
      <c r="C58" s="1" t="s">
        <v>19</v>
      </c>
      <c r="D58" t="s">
        <v>9</v>
      </c>
      <c r="E58">
        <v>0.29350443398946502</v>
      </c>
      <c r="F58">
        <v>0</v>
      </c>
      <c r="G58" t="s">
        <v>24</v>
      </c>
    </row>
    <row r="59" spans="1:7" x14ac:dyDescent="0.2">
      <c r="A59" s="1" t="s">
        <v>23</v>
      </c>
      <c r="B59">
        <v>9</v>
      </c>
      <c r="C59" s="1" t="s">
        <v>19</v>
      </c>
      <c r="D59" t="s">
        <v>11</v>
      </c>
      <c r="E59">
        <v>0.45424308447900402</v>
      </c>
      <c r="F59">
        <v>8.9823612476585102E-2</v>
      </c>
      <c r="G59" t="s">
        <v>24</v>
      </c>
    </row>
    <row r="60" spans="1:7" x14ac:dyDescent="0.2">
      <c r="A60" s="1" t="s">
        <v>23</v>
      </c>
      <c r="B60">
        <v>10</v>
      </c>
      <c r="C60" s="1" t="s">
        <v>20</v>
      </c>
      <c r="D60" t="s">
        <v>9</v>
      </c>
      <c r="E60">
        <v>0.27061657032755299</v>
      </c>
      <c r="F60">
        <v>0</v>
      </c>
      <c r="G60" t="s">
        <v>24</v>
      </c>
    </row>
    <row r="61" spans="1:7" x14ac:dyDescent="0.2">
      <c r="A61" s="1" t="s">
        <v>23</v>
      </c>
      <c r="B61">
        <v>10</v>
      </c>
      <c r="C61" s="1" t="s">
        <v>20</v>
      </c>
      <c r="D61" t="s">
        <v>11</v>
      </c>
      <c r="E61">
        <v>0.40650656950309699</v>
      </c>
      <c r="F61">
        <v>0.201056369582368</v>
      </c>
      <c r="G61" t="s">
        <v>24</v>
      </c>
    </row>
    <row r="62" spans="1:7" x14ac:dyDescent="0.2">
      <c r="A62" s="1" t="s">
        <v>25</v>
      </c>
      <c r="B62">
        <v>1</v>
      </c>
      <c r="C62" s="1" t="s">
        <v>8</v>
      </c>
      <c r="D62" t="s">
        <v>9</v>
      </c>
      <c r="E62">
        <v>0.779885117463189</v>
      </c>
      <c r="F62">
        <v>0</v>
      </c>
      <c r="G62" t="s">
        <v>26</v>
      </c>
    </row>
    <row r="63" spans="1:7" x14ac:dyDescent="0.2">
      <c r="A63" s="1" t="s">
        <v>25</v>
      </c>
      <c r="B63">
        <v>1</v>
      </c>
      <c r="C63" s="1" t="s">
        <v>8</v>
      </c>
      <c r="D63" t="s">
        <v>11</v>
      </c>
      <c r="E63">
        <v>0.76382319136752197</v>
      </c>
      <c r="F63">
        <v>2.6863135943944402E-2</v>
      </c>
      <c r="G63" t="s">
        <v>26</v>
      </c>
    </row>
    <row r="64" spans="1:7" x14ac:dyDescent="0.2">
      <c r="A64" s="1" t="s">
        <v>25</v>
      </c>
      <c r="B64">
        <v>2</v>
      </c>
      <c r="C64" s="1" t="s">
        <v>12</v>
      </c>
      <c r="D64" t="s">
        <v>9</v>
      </c>
      <c r="E64">
        <v>0.75078566939031999</v>
      </c>
      <c r="F64">
        <v>0</v>
      </c>
      <c r="G64" t="s">
        <v>26</v>
      </c>
    </row>
    <row r="65" spans="1:7" x14ac:dyDescent="0.2">
      <c r="A65" s="1" t="s">
        <v>25</v>
      </c>
      <c r="B65">
        <v>2</v>
      </c>
      <c r="C65" s="1" t="s">
        <v>12</v>
      </c>
      <c r="D65" t="s">
        <v>11</v>
      </c>
      <c r="E65">
        <v>0.76938960056735395</v>
      </c>
      <c r="F65">
        <v>1.7903984389945098E-2</v>
      </c>
      <c r="G65" t="s">
        <v>26</v>
      </c>
    </row>
    <row r="66" spans="1:7" x14ac:dyDescent="0.2">
      <c r="A66" s="1" t="s">
        <v>25</v>
      </c>
      <c r="B66">
        <v>3</v>
      </c>
      <c r="C66" s="1" t="s">
        <v>13</v>
      </c>
      <c r="D66" t="s">
        <v>9</v>
      </c>
      <c r="E66">
        <v>0.75078566939031999</v>
      </c>
      <c r="F66">
        <v>0</v>
      </c>
      <c r="G66" t="s">
        <v>26</v>
      </c>
    </row>
    <row r="67" spans="1:7" x14ac:dyDescent="0.2">
      <c r="A67" s="1" t="s">
        <v>25</v>
      </c>
      <c r="B67">
        <v>3</v>
      </c>
      <c r="C67" s="1" t="s">
        <v>13</v>
      </c>
      <c r="D67" t="s">
        <v>11</v>
      </c>
      <c r="E67">
        <v>0.76938960056735395</v>
      </c>
      <c r="F67">
        <v>1.7903984389945098E-2</v>
      </c>
      <c r="G67" t="s">
        <v>26</v>
      </c>
    </row>
    <row r="68" spans="1:7" x14ac:dyDescent="0.2">
      <c r="A68" s="1" t="s">
        <v>25</v>
      </c>
      <c r="B68">
        <v>4</v>
      </c>
      <c r="C68" s="1" t="s">
        <v>14</v>
      </c>
      <c r="D68" t="s">
        <v>9</v>
      </c>
      <c r="E68">
        <v>0.75078566939031999</v>
      </c>
      <c r="F68">
        <v>0</v>
      </c>
      <c r="G68" t="s">
        <v>26</v>
      </c>
    </row>
    <row r="69" spans="1:7" x14ac:dyDescent="0.2">
      <c r="A69" s="1" t="s">
        <v>25</v>
      </c>
      <c r="B69">
        <v>4</v>
      </c>
      <c r="C69" s="1" t="s">
        <v>14</v>
      </c>
      <c r="D69" t="s">
        <v>11</v>
      </c>
      <c r="E69">
        <v>0.76938960056735395</v>
      </c>
      <c r="F69">
        <v>1.7903984389945098E-2</v>
      </c>
      <c r="G69" t="s">
        <v>26</v>
      </c>
    </row>
    <row r="70" spans="1:7" x14ac:dyDescent="0.2">
      <c r="A70" s="1" t="s">
        <v>25</v>
      </c>
      <c r="B70">
        <v>5</v>
      </c>
      <c r="C70" s="1" t="s">
        <v>15</v>
      </c>
      <c r="D70" t="s">
        <v>9</v>
      </c>
      <c r="E70">
        <v>0.746662653475481</v>
      </c>
      <c r="F70">
        <v>0</v>
      </c>
      <c r="G70" t="s">
        <v>26</v>
      </c>
    </row>
    <row r="71" spans="1:7" x14ac:dyDescent="0.2">
      <c r="A71" s="1" t="s">
        <v>25</v>
      </c>
      <c r="B71">
        <v>5</v>
      </c>
      <c r="C71" s="1" t="s">
        <v>15</v>
      </c>
      <c r="D71" t="s">
        <v>11</v>
      </c>
      <c r="E71">
        <v>0.77326533520611795</v>
      </c>
      <c r="F71">
        <v>2.2877273293131099E-2</v>
      </c>
      <c r="G71" t="s">
        <v>26</v>
      </c>
    </row>
    <row r="72" spans="1:7" x14ac:dyDescent="0.2">
      <c r="A72" s="1" t="s">
        <v>25</v>
      </c>
      <c r="B72">
        <v>6</v>
      </c>
      <c r="C72" s="1" t="s">
        <v>16</v>
      </c>
      <c r="D72" t="s">
        <v>9</v>
      </c>
      <c r="E72">
        <v>0.775378787878787</v>
      </c>
      <c r="F72">
        <v>0</v>
      </c>
      <c r="G72" t="s">
        <v>26</v>
      </c>
    </row>
    <row r="73" spans="1:7" x14ac:dyDescent="0.2">
      <c r="A73" s="1" t="s">
        <v>25</v>
      </c>
      <c r="B73">
        <v>6</v>
      </c>
      <c r="C73" s="1" t="s">
        <v>16</v>
      </c>
      <c r="D73" t="s">
        <v>11</v>
      </c>
      <c r="E73">
        <v>0.77843577975401002</v>
      </c>
      <c r="F73">
        <v>1.21602605787663E-2</v>
      </c>
      <c r="G73" t="s">
        <v>26</v>
      </c>
    </row>
    <row r="74" spans="1:7" x14ac:dyDescent="0.2">
      <c r="A74" s="1" t="s">
        <v>25</v>
      </c>
      <c r="B74">
        <v>7</v>
      </c>
      <c r="C74" s="1" t="s">
        <v>17</v>
      </c>
      <c r="D74" t="s">
        <v>9</v>
      </c>
      <c r="E74">
        <v>0.79201739618406197</v>
      </c>
      <c r="F74">
        <v>0</v>
      </c>
      <c r="G74" t="s">
        <v>26</v>
      </c>
    </row>
    <row r="75" spans="1:7" x14ac:dyDescent="0.2">
      <c r="A75" s="1" t="s">
        <v>25</v>
      </c>
      <c r="B75">
        <v>7</v>
      </c>
      <c r="C75" s="1" t="s">
        <v>17</v>
      </c>
      <c r="D75" t="s">
        <v>11</v>
      </c>
      <c r="E75">
        <v>0.780657450143595</v>
      </c>
      <c r="F75">
        <v>2.3587653890516001E-2</v>
      </c>
      <c r="G75" t="s">
        <v>26</v>
      </c>
    </row>
    <row r="76" spans="1:7" x14ac:dyDescent="0.2">
      <c r="A76" s="1" t="s">
        <v>25</v>
      </c>
      <c r="B76">
        <v>8</v>
      </c>
      <c r="C76" s="1" t="s">
        <v>18</v>
      </c>
      <c r="D76" t="s">
        <v>9</v>
      </c>
      <c r="E76">
        <v>0.804751713575243</v>
      </c>
      <c r="F76">
        <v>0</v>
      </c>
      <c r="G76" t="s">
        <v>26</v>
      </c>
    </row>
    <row r="77" spans="1:7" x14ac:dyDescent="0.2">
      <c r="A77" s="1" t="s">
        <v>25</v>
      </c>
      <c r="B77">
        <v>8</v>
      </c>
      <c r="C77" s="1" t="s">
        <v>18</v>
      </c>
      <c r="D77" t="s">
        <v>11</v>
      </c>
      <c r="E77">
        <v>0.78981525402121999</v>
      </c>
      <c r="F77">
        <v>2.6880146542379701E-2</v>
      </c>
      <c r="G77" t="s">
        <v>26</v>
      </c>
    </row>
    <row r="78" spans="1:7" x14ac:dyDescent="0.2">
      <c r="A78" s="1" t="s">
        <v>25</v>
      </c>
      <c r="B78">
        <v>9</v>
      </c>
      <c r="C78" s="1" t="s">
        <v>19</v>
      </c>
      <c r="D78" t="s">
        <v>9</v>
      </c>
      <c r="E78">
        <v>0.27061657032755299</v>
      </c>
      <c r="F78">
        <v>0</v>
      </c>
      <c r="G78" t="s">
        <v>26</v>
      </c>
    </row>
    <row r="79" spans="1:7" x14ac:dyDescent="0.2">
      <c r="A79" s="1" t="s">
        <v>25</v>
      </c>
      <c r="B79">
        <v>9</v>
      </c>
      <c r="C79" s="1" t="s">
        <v>19</v>
      </c>
      <c r="D79" t="s">
        <v>11</v>
      </c>
      <c r="E79">
        <v>0.33618402657964802</v>
      </c>
      <c r="F79">
        <v>7.5233901387711799E-2</v>
      </c>
      <c r="G79" t="s">
        <v>26</v>
      </c>
    </row>
    <row r="80" spans="1:7" x14ac:dyDescent="0.2">
      <c r="A80" s="1" t="s">
        <v>25</v>
      </c>
      <c r="B80">
        <v>10</v>
      </c>
      <c r="C80" s="1" t="s">
        <v>20</v>
      </c>
      <c r="D80" t="s">
        <v>9</v>
      </c>
      <c r="E80">
        <v>0.75909281374397597</v>
      </c>
      <c r="F80">
        <v>0</v>
      </c>
      <c r="G80" t="s">
        <v>26</v>
      </c>
    </row>
    <row r="81" spans="1:7" x14ac:dyDescent="0.2">
      <c r="A81" s="1" t="s">
        <v>25</v>
      </c>
      <c r="B81">
        <v>10</v>
      </c>
      <c r="C81" s="1" t="s">
        <v>20</v>
      </c>
      <c r="D81" t="s">
        <v>11</v>
      </c>
      <c r="E81">
        <v>0.76931658830197802</v>
      </c>
      <c r="F81">
        <v>3.1544492495142698E-2</v>
      </c>
      <c r="G81" t="s">
        <v>26</v>
      </c>
    </row>
    <row r="82" spans="1:7" x14ac:dyDescent="0.2">
      <c r="A82" s="1" t="s">
        <v>27</v>
      </c>
      <c r="B82">
        <v>1</v>
      </c>
      <c r="C82" s="1" t="s">
        <v>8</v>
      </c>
      <c r="D82" t="s">
        <v>9</v>
      </c>
      <c r="E82">
        <v>0.75022837467500503</v>
      </c>
      <c r="F82">
        <v>0</v>
      </c>
      <c r="G82" t="s">
        <v>28</v>
      </c>
    </row>
    <row r="83" spans="1:7" x14ac:dyDescent="0.2">
      <c r="A83" s="1" t="s">
        <v>27</v>
      </c>
      <c r="B83">
        <v>1</v>
      </c>
      <c r="C83" s="1" t="s">
        <v>8</v>
      </c>
      <c r="D83" t="s">
        <v>11</v>
      </c>
      <c r="E83">
        <v>0.76756598888070304</v>
      </c>
      <c r="F83">
        <v>3.5998469362211599E-2</v>
      </c>
      <c r="G83" t="s">
        <v>28</v>
      </c>
    </row>
    <row r="84" spans="1:7" x14ac:dyDescent="0.2">
      <c r="A84" s="1" t="s">
        <v>27</v>
      </c>
      <c r="B84">
        <v>2</v>
      </c>
      <c r="C84" s="1" t="s">
        <v>12</v>
      </c>
      <c r="D84" t="s">
        <v>9</v>
      </c>
      <c r="E84">
        <v>0.76297857055246898</v>
      </c>
      <c r="F84">
        <v>0</v>
      </c>
      <c r="G84" t="s">
        <v>28</v>
      </c>
    </row>
    <row r="85" spans="1:7" x14ac:dyDescent="0.2">
      <c r="A85" s="1" t="s">
        <v>27</v>
      </c>
      <c r="B85">
        <v>2</v>
      </c>
      <c r="C85" s="1" t="s">
        <v>12</v>
      </c>
      <c r="D85" t="s">
        <v>11</v>
      </c>
      <c r="E85">
        <v>0.76538974654002201</v>
      </c>
      <c r="F85">
        <v>2.92582536898503E-2</v>
      </c>
      <c r="G85" t="s">
        <v>28</v>
      </c>
    </row>
    <row r="86" spans="1:7" x14ac:dyDescent="0.2">
      <c r="A86" s="1" t="s">
        <v>27</v>
      </c>
      <c r="B86">
        <v>3</v>
      </c>
      <c r="C86" s="1" t="s">
        <v>13</v>
      </c>
      <c r="D86" t="s">
        <v>9</v>
      </c>
      <c r="E86">
        <v>0.76297857055246898</v>
      </c>
      <c r="F86">
        <v>0</v>
      </c>
      <c r="G86" t="s">
        <v>28</v>
      </c>
    </row>
    <row r="87" spans="1:7" x14ac:dyDescent="0.2">
      <c r="A87" s="1" t="s">
        <v>27</v>
      </c>
      <c r="B87">
        <v>3</v>
      </c>
      <c r="C87" s="1" t="s">
        <v>13</v>
      </c>
      <c r="D87" t="s">
        <v>11</v>
      </c>
      <c r="E87">
        <v>0.76538974654002201</v>
      </c>
      <c r="F87">
        <v>2.92582536898503E-2</v>
      </c>
      <c r="G87" t="s">
        <v>28</v>
      </c>
    </row>
    <row r="88" spans="1:7" x14ac:dyDescent="0.2">
      <c r="A88" s="1" t="s">
        <v>27</v>
      </c>
      <c r="B88">
        <v>4</v>
      </c>
      <c r="C88" s="1" t="s">
        <v>14</v>
      </c>
      <c r="D88" t="s">
        <v>9</v>
      </c>
      <c r="E88">
        <v>0.76297857055246898</v>
      </c>
      <c r="F88">
        <v>0</v>
      </c>
      <c r="G88" t="s">
        <v>28</v>
      </c>
    </row>
    <row r="89" spans="1:7" x14ac:dyDescent="0.2">
      <c r="A89" s="1" t="s">
        <v>27</v>
      </c>
      <c r="B89">
        <v>4</v>
      </c>
      <c r="C89" s="1" t="s">
        <v>14</v>
      </c>
      <c r="D89" t="s">
        <v>11</v>
      </c>
      <c r="E89">
        <v>0.76538974654002201</v>
      </c>
      <c r="F89">
        <v>2.92582536898503E-2</v>
      </c>
      <c r="G89" t="s">
        <v>28</v>
      </c>
    </row>
    <row r="90" spans="1:7" x14ac:dyDescent="0.2">
      <c r="A90" s="1" t="s">
        <v>27</v>
      </c>
      <c r="B90">
        <v>5</v>
      </c>
      <c r="C90" s="1" t="s">
        <v>15</v>
      </c>
      <c r="D90" t="s">
        <v>9</v>
      </c>
      <c r="E90">
        <v>0.76297857055246898</v>
      </c>
      <c r="F90">
        <v>0</v>
      </c>
      <c r="G90" t="s">
        <v>28</v>
      </c>
    </row>
    <row r="91" spans="1:7" x14ac:dyDescent="0.2">
      <c r="A91" s="1" t="s">
        <v>27</v>
      </c>
      <c r="B91">
        <v>5</v>
      </c>
      <c r="C91" s="1" t="s">
        <v>15</v>
      </c>
      <c r="D91" t="s">
        <v>11</v>
      </c>
      <c r="E91">
        <v>0.76538974654002201</v>
      </c>
      <c r="F91">
        <v>2.92582536898503E-2</v>
      </c>
      <c r="G91" t="s">
        <v>28</v>
      </c>
    </row>
    <row r="92" spans="1:7" x14ac:dyDescent="0.2">
      <c r="A92" s="1" t="s">
        <v>27</v>
      </c>
      <c r="B92">
        <v>6</v>
      </c>
      <c r="C92" s="1" t="s">
        <v>16</v>
      </c>
      <c r="D92" t="s">
        <v>9</v>
      </c>
      <c r="E92">
        <v>0.76705948372614996</v>
      </c>
      <c r="F92">
        <v>0</v>
      </c>
      <c r="G92" t="s">
        <v>28</v>
      </c>
    </row>
    <row r="93" spans="1:7" x14ac:dyDescent="0.2">
      <c r="A93" s="1" t="s">
        <v>27</v>
      </c>
      <c r="B93">
        <v>6</v>
      </c>
      <c r="C93" s="1" t="s">
        <v>16</v>
      </c>
      <c r="D93" t="s">
        <v>11</v>
      </c>
      <c r="E93">
        <v>0.77275302836271198</v>
      </c>
      <c r="F93">
        <v>3.1016167340550502E-2</v>
      </c>
      <c r="G93" t="s">
        <v>28</v>
      </c>
    </row>
    <row r="94" spans="1:7" x14ac:dyDescent="0.2">
      <c r="A94" s="1" t="s">
        <v>27</v>
      </c>
      <c r="B94">
        <v>7</v>
      </c>
      <c r="C94" s="1" t="s">
        <v>17</v>
      </c>
      <c r="D94" t="s">
        <v>9</v>
      </c>
      <c r="E94">
        <v>0.76705948372614996</v>
      </c>
      <c r="F94">
        <v>0</v>
      </c>
      <c r="G94" t="s">
        <v>28</v>
      </c>
    </row>
    <row r="95" spans="1:7" x14ac:dyDescent="0.2">
      <c r="A95" s="1" t="s">
        <v>27</v>
      </c>
      <c r="B95">
        <v>7</v>
      </c>
      <c r="C95" s="1" t="s">
        <v>17</v>
      </c>
      <c r="D95" t="s">
        <v>11</v>
      </c>
      <c r="E95">
        <v>0.77275302836271198</v>
      </c>
      <c r="F95">
        <v>3.1016167340550502E-2</v>
      </c>
      <c r="G95" t="s">
        <v>28</v>
      </c>
    </row>
    <row r="96" spans="1:7" x14ac:dyDescent="0.2">
      <c r="A96" s="1" t="s">
        <v>27</v>
      </c>
      <c r="B96">
        <v>8</v>
      </c>
      <c r="C96" s="1" t="s">
        <v>18</v>
      </c>
      <c r="D96" t="s">
        <v>9</v>
      </c>
      <c r="E96">
        <v>0.76705948372614996</v>
      </c>
      <c r="F96">
        <v>0</v>
      </c>
      <c r="G96" t="s">
        <v>28</v>
      </c>
    </row>
    <row r="97" spans="1:7" x14ac:dyDescent="0.2">
      <c r="A97" s="1" t="s">
        <v>27</v>
      </c>
      <c r="B97">
        <v>8</v>
      </c>
      <c r="C97" s="1" t="s">
        <v>18</v>
      </c>
      <c r="D97" t="s">
        <v>11</v>
      </c>
      <c r="E97">
        <v>0.77275302836271198</v>
      </c>
      <c r="F97">
        <v>3.1016167340550502E-2</v>
      </c>
      <c r="G97" t="s">
        <v>28</v>
      </c>
    </row>
    <row r="98" spans="1:7" x14ac:dyDescent="0.2">
      <c r="A98" s="1" t="s">
        <v>27</v>
      </c>
      <c r="B98">
        <v>9</v>
      </c>
      <c r="C98" s="1" t="s">
        <v>19</v>
      </c>
      <c r="D98" t="s">
        <v>9</v>
      </c>
      <c r="E98">
        <v>0.78401424680494403</v>
      </c>
      <c r="F98">
        <v>0</v>
      </c>
      <c r="G98" t="s">
        <v>28</v>
      </c>
    </row>
    <row r="99" spans="1:7" x14ac:dyDescent="0.2">
      <c r="A99" s="1" t="s">
        <v>27</v>
      </c>
      <c r="B99">
        <v>9</v>
      </c>
      <c r="C99" s="1" t="s">
        <v>19</v>
      </c>
      <c r="D99" t="s">
        <v>11</v>
      </c>
      <c r="E99">
        <v>0.785590660557825</v>
      </c>
      <c r="F99">
        <v>3.54592383125623E-2</v>
      </c>
      <c r="G99" t="s">
        <v>28</v>
      </c>
    </row>
    <row r="100" spans="1:7" x14ac:dyDescent="0.2">
      <c r="A100" s="1" t="s">
        <v>27</v>
      </c>
      <c r="B100">
        <v>10</v>
      </c>
      <c r="C100" s="1" t="s">
        <v>20</v>
      </c>
      <c r="D100" t="s">
        <v>9</v>
      </c>
      <c r="E100">
        <v>0.77570710245128804</v>
      </c>
      <c r="F100">
        <v>0</v>
      </c>
      <c r="G100" t="s">
        <v>28</v>
      </c>
    </row>
    <row r="101" spans="1:7" x14ac:dyDescent="0.2">
      <c r="A101" s="1" t="s">
        <v>27</v>
      </c>
      <c r="B101">
        <v>10</v>
      </c>
      <c r="C101" s="1" t="s">
        <v>20</v>
      </c>
      <c r="D101" t="s">
        <v>11</v>
      </c>
      <c r="E101">
        <v>0.80297312641442697</v>
      </c>
      <c r="F101">
        <v>3.1813044833976997E-2</v>
      </c>
      <c r="G101" t="s">
        <v>28</v>
      </c>
    </row>
    <row r="102" spans="1:7" x14ac:dyDescent="0.2">
      <c r="A102" s="1" t="s">
        <v>29</v>
      </c>
      <c r="B102">
        <v>1</v>
      </c>
      <c r="C102" s="1" t="s">
        <v>8</v>
      </c>
      <c r="D102" t="s">
        <v>9</v>
      </c>
      <c r="E102">
        <v>0.725860869565217</v>
      </c>
      <c r="F102">
        <v>0</v>
      </c>
      <c r="G102" t="s">
        <v>30</v>
      </c>
    </row>
    <row r="103" spans="1:7" x14ac:dyDescent="0.2">
      <c r="A103" s="1" t="s">
        <v>29</v>
      </c>
      <c r="B103">
        <v>1</v>
      </c>
      <c r="C103" s="1" t="s">
        <v>8</v>
      </c>
      <c r="D103" t="s">
        <v>11</v>
      </c>
      <c r="E103">
        <v>0.73228199794754401</v>
      </c>
      <c r="F103">
        <v>3.0758730570539398E-2</v>
      </c>
      <c r="G103" t="s">
        <v>30</v>
      </c>
    </row>
    <row r="104" spans="1:7" x14ac:dyDescent="0.2">
      <c r="A104" s="1" t="s">
        <v>29</v>
      </c>
      <c r="B104">
        <v>2</v>
      </c>
      <c r="C104" s="1" t="s">
        <v>12</v>
      </c>
      <c r="D104" t="s">
        <v>9</v>
      </c>
      <c r="E104">
        <v>0.766138763197586</v>
      </c>
      <c r="F104">
        <v>0</v>
      </c>
      <c r="G104" t="s">
        <v>30</v>
      </c>
    </row>
    <row r="105" spans="1:7" x14ac:dyDescent="0.2">
      <c r="A105" s="1" t="s">
        <v>29</v>
      </c>
      <c r="B105">
        <v>2</v>
      </c>
      <c r="C105" s="1" t="s">
        <v>12</v>
      </c>
      <c r="D105" t="s">
        <v>11</v>
      </c>
      <c r="E105">
        <v>0.74040528521756899</v>
      </c>
      <c r="F105">
        <v>3.9198267399625099E-2</v>
      </c>
      <c r="G105" t="s">
        <v>30</v>
      </c>
    </row>
    <row r="106" spans="1:7" x14ac:dyDescent="0.2">
      <c r="A106" s="1" t="s">
        <v>29</v>
      </c>
      <c r="B106">
        <v>3</v>
      </c>
      <c r="C106" s="1" t="s">
        <v>13</v>
      </c>
      <c r="D106" t="s">
        <v>9</v>
      </c>
      <c r="E106">
        <v>0.766138763197586</v>
      </c>
      <c r="F106">
        <v>0</v>
      </c>
      <c r="G106" t="s">
        <v>30</v>
      </c>
    </row>
    <row r="107" spans="1:7" x14ac:dyDescent="0.2">
      <c r="A107" s="1" t="s">
        <v>29</v>
      </c>
      <c r="B107">
        <v>3</v>
      </c>
      <c r="C107" s="1" t="s">
        <v>13</v>
      </c>
      <c r="D107" t="s">
        <v>11</v>
      </c>
      <c r="E107">
        <v>0.74040528521756899</v>
      </c>
      <c r="F107">
        <v>3.9198267399625099E-2</v>
      </c>
      <c r="G107" t="s">
        <v>30</v>
      </c>
    </row>
    <row r="108" spans="1:7" x14ac:dyDescent="0.2">
      <c r="A108" s="1" t="s">
        <v>29</v>
      </c>
      <c r="B108">
        <v>4</v>
      </c>
      <c r="C108" s="1" t="s">
        <v>14</v>
      </c>
      <c r="D108" t="s">
        <v>9</v>
      </c>
      <c r="E108">
        <v>0.766138763197586</v>
      </c>
      <c r="F108">
        <v>0</v>
      </c>
      <c r="G108" t="s">
        <v>30</v>
      </c>
    </row>
    <row r="109" spans="1:7" x14ac:dyDescent="0.2">
      <c r="A109" s="1" t="s">
        <v>29</v>
      </c>
      <c r="B109">
        <v>4</v>
      </c>
      <c r="C109" s="1" t="s">
        <v>14</v>
      </c>
      <c r="D109" t="s">
        <v>11</v>
      </c>
      <c r="E109">
        <v>0.74040528521756899</v>
      </c>
      <c r="F109">
        <v>3.9198267399625099E-2</v>
      </c>
      <c r="G109" t="s">
        <v>30</v>
      </c>
    </row>
    <row r="110" spans="1:7" x14ac:dyDescent="0.2">
      <c r="A110" s="1" t="s">
        <v>29</v>
      </c>
      <c r="B110">
        <v>5</v>
      </c>
      <c r="C110" s="1" t="s">
        <v>15</v>
      </c>
      <c r="D110" t="s">
        <v>9</v>
      </c>
      <c r="E110">
        <v>0.766138763197586</v>
      </c>
      <c r="F110">
        <v>0</v>
      </c>
      <c r="G110" t="s">
        <v>30</v>
      </c>
    </row>
    <row r="111" spans="1:7" x14ac:dyDescent="0.2">
      <c r="A111" s="1" t="s">
        <v>29</v>
      </c>
      <c r="B111">
        <v>5</v>
      </c>
      <c r="C111" s="1" t="s">
        <v>15</v>
      </c>
      <c r="D111" t="s">
        <v>11</v>
      </c>
      <c r="E111">
        <v>0.74040528521756899</v>
      </c>
      <c r="F111">
        <v>3.9198267399625099E-2</v>
      </c>
      <c r="G111" t="s">
        <v>30</v>
      </c>
    </row>
    <row r="112" spans="1:7" x14ac:dyDescent="0.2">
      <c r="A112" s="1" t="s">
        <v>29</v>
      </c>
      <c r="B112">
        <v>6</v>
      </c>
      <c r="C112" s="1" t="s">
        <v>16</v>
      </c>
      <c r="D112" t="s">
        <v>9</v>
      </c>
      <c r="E112">
        <v>0.78760088621617297</v>
      </c>
      <c r="F112">
        <v>0</v>
      </c>
      <c r="G112" t="s">
        <v>30</v>
      </c>
    </row>
    <row r="113" spans="1:7" x14ac:dyDescent="0.2">
      <c r="A113" s="1" t="s">
        <v>29</v>
      </c>
      <c r="B113">
        <v>6</v>
      </c>
      <c r="C113" s="1" t="s">
        <v>16</v>
      </c>
      <c r="D113" t="s">
        <v>11</v>
      </c>
      <c r="E113">
        <v>0.74542368441004403</v>
      </c>
      <c r="F113">
        <v>4.2972989457534402E-2</v>
      </c>
      <c r="G113" t="s">
        <v>30</v>
      </c>
    </row>
    <row r="114" spans="1:7" x14ac:dyDescent="0.2">
      <c r="A114" s="1" t="s">
        <v>29</v>
      </c>
      <c r="B114">
        <v>7</v>
      </c>
      <c r="C114" s="1" t="s">
        <v>17</v>
      </c>
      <c r="D114" t="s">
        <v>9</v>
      </c>
      <c r="E114">
        <v>0.78760088621617297</v>
      </c>
      <c r="F114">
        <v>0</v>
      </c>
      <c r="G114" t="s">
        <v>30</v>
      </c>
    </row>
    <row r="115" spans="1:7" x14ac:dyDescent="0.2">
      <c r="A115" s="1" t="s">
        <v>29</v>
      </c>
      <c r="B115">
        <v>7</v>
      </c>
      <c r="C115" s="1" t="s">
        <v>17</v>
      </c>
      <c r="D115" t="s">
        <v>11</v>
      </c>
      <c r="E115">
        <v>0.74542368441004403</v>
      </c>
      <c r="F115">
        <v>4.2972989457534402E-2</v>
      </c>
      <c r="G115" t="s">
        <v>30</v>
      </c>
    </row>
    <row r="116" spans="1:7" x14ac:dyDescent="0.2">
      <c r="A116" s="1" t="s">
        <v>29</v>
      </c>
      <c r="B116">
        <v>8</v>
      </c>
      <c r="C116" s="1" t="s">
        <v>18</v>
      </c>
      <c r="D116" t="s">
        <v>9</v>
      </c>
      <c r="E116">
        <v>0.78760088621617297</v>
      </c>
      <c r="F116">
        <v>0</v>
      </c>
      <c r="G116" t="s">
        <v>30</v>
      </c>
    </row>
    <row r="117" spans="1:7" x14ac:dyDescent="0.2">
      <c r="A117" s="1" t="s">
        <v>29</v>
      </c>
      <c r="B117">
        <v>8</v>
      </c>
      <c r="C117" s="1" t="s">
        <v>18</v>
      </c>
      <c r="D117" t="s">
        <v>11</v>
      </c>
      <c r="E117">
        <v>0.74542368441004403</v>
      </c>
      <c r="F117">
        <v>4.2972989457534402E-2</v>
      </c>
      <c r="G117" t="s">
        <v>30</v>
      </c>
    </row>
    <row r="118" spans="1:7" x14ac:dyDescent="0.2">
      <c r="A118" s="1" t="s">
        <v>29</v>
      </c>
      <c r="B118">
        <v>9</v>
      </c>
      <c r="C118" s="1" t="s">
        <v>19</v>
      </c>
      <c r="D118" t="s">
        <v>9</v>
      </c>
      <c r="E118">
        <v>0.77570710245128804</v>
      </c>
      <c r="F118">
        <v>0</v>
      </c>
      <c r="G118" t="s">
        <v>30</v>
      </c>
    </row>
    <row r="119" spans="1:7" x14ac:dyDescent="0.2">
      <c r="A119" s="1" t="s">
        <v>29</v>
      </c>
      <c r="B119">
        <v>9</v>
      </c>
      <c r="C119" s="1" t="s">
        <v>19</v>
      </c>
      <c r="D119" t="s">
        <v>11</v>
      </c>
      <c r="E119">
        <v>0.76220242797623705</v>
      </c>
      <c r="F119">
        <v>3.56545482418269E-2</v>
      </c>
      <c r="G119" t="s">
        <v>30</v>
      </c>
    </row>
    <row r="120" spans="1:7" x14ac:dyDescent="0.2">
      <c r="A120" s="1" t="s">
        <v>29</v>
      </c>
      <c r="B120">
        <v>10</v>
      </c>
      <c r="C120" s="1" t="s">
        <v>20</v>
      </c>
      <c r="D120" t="s">
        <v>9</v>
      </c>
      <c r="E120">
        <v>0.72174156358554098</v>
      </c>
      <c r="F120">
        <v>0</v>
      </c>
      <c r="G120" t="s">
        <v>30</v>
      </c>
    </row>
    <row r="121" spans="1:7" x14ac:dyDescent="0.2">
      <c r="A121" s="1" t="s">
        <v>29</v>
      </c>
      <c r="B121">
        <v>10</v>
      </c>
      <c r="C121" s="1" t="s">
        <v>20</v>
      </c>
      <c r="D121" t="s">
        <v>11</v>
      </c>
      <c r="E121">
        <v>0.74119263265973101</v>
      </c>
      <c r="F121">
        <v>3.4389233417044099E-2</v>
      </c>
      <c r="G121" t="s">
        <v>30</v>
      </c>
    </row>
    <row r="122" spans="1:7" x14ac:dyDescent="0.2">
      <c r="A122" s="1" t="s">
        <v>31</v>
      </c>
      <c r="B122">
        <v>1</v>
      </c>
      <c r="C122" s="1" t="s">
        <v>8</v>
      </c>
      <c r="D122" t="s">
        <v>9</v>
      </c>
      <c r="E122">
        <v>0.31267507002801098</v>
      </c>
      <c r="F122">
        <v>0</v>
      </c>
      <c r="G122" t="s">
        <v>24</v>
      </c>
    </row>
    <row r="123" spans="1:7" x14ac:dyDescent="0.2">
      <c r="A123" s="1" t="s">
        <v>31</v>
      </c>
      <c r="B123">
        <v>1</v>
      </c>
      <c r="C123" s="1" t="s">
        <v>8</v>
      </c>
      <c r="D123" t="s">
        <v>11</v>
      </c>
      <c r="E123">
        <v>0.49791259724513798</v>
      </c>
      <c r="F123">
        <v>7.7051434928757198E-2</v>
      </c>
      <c r="G123" t="s">
        <v>24</v>
      </c>
    </row>
    <row r="124" spans="1:7" x14ac:dyDescent="0.2">
      <c r="A124" s="1" t="s">
        <v>31</v>
      </c>
      <c r="B124">
        <v>2</v>
      </c>
      <c r="C124" s="1" t="s">
        <v>12</v>
      </c>
      <c r="D124" t="s">
        <v>9</v>
      </c>
      <c r="E124">
        <v>0.73407925407925401</v>
      </c>
      <c r="F124">
        <v>0</v>
      </c>
      <c r="G124" t="s">
        <v>24</v>
      </c>
    </row>
    <row r="125" spans="1:7" x14ac:dyDescent="0.2">
      <c r="A125" s="1" t="s">
        <v>31</v>
      </c>
      <c r="B125">
        <v>2</v>
      </c>
      <c r="C125" s="1" t="s">
        <v>12</v>
      </c>
      <c r="D125" t="s">
        <v>11</v>
      </c>
      <c r="E125">
        <v>0.72950228534188899</v>
      </c>
      <c r="F125">
        <v>3.4844990731574002E-2</v>
      </c>
      <c r="G125" t="s">
        <v>24</v>
      </c>
    </row>
    <row r="126" spans="1:7" x14ac:dyDescent="0.2">
      <c r="A126" s="1" t="s">
        <v>31</v>
      </c>
      <c r="B126">
        <v>3</v>
      </c>
      <c r="C126" s="1" t="s">
        <v>13</v>
      </c>
      <c r="D126" t="s">
        <v>9</v>
      </c>
      <c r="E126">
        <v>0.73407925407925401</v>
      </c>
      <c r="F126">
        <v>0</v>
      </c>
      <c r="G126" t="s">
        <v>24</v>
      </c>
    </row>
    <row r="127" spans="1:7" x14ac:dyDescent="0.2">
      <c r="A127" s="1" t="s">
        <v>31</v>
      </c>
      <c r="B127">
        <v>3</v>
      </c>
      <c r="C127" s="1" t="s">
        <v>13</v>
      </c>
      <c r="D127" t="s">
        <v>11</v>
      </c>
      <c r="E127">
        <v>0.72991791155152497</v>
      </c>
      <c r="F127">
        <v>3.63001115570133E-2</v>
      </c>
      <c r="G127" t="s">
        <v>24</v>
      </c>
    </row>
    <row r="128" spans="1:7" x14ac:dyDescent="0.2">
      <c r="A128" s="1" t="s">
        <v>31</v>
      </c>
      <c r="B128">
        <v>4</v>
      </c>
      <c r="C128" s="1" t="s">
        <v>14</v>
      </c>
      <c r="D128" t="s">
        <v>9</v>
      </c>
      <c r="E128">
        <v>0.73407925407925401</v>
      </c>
      <c r="F128">
        <v>0</v>
      </c>
      <c r="G128" t="s">
        <v>24</v>
      </c>
    </row>
    <row r="129" spans="1:7" x14ac:dyDescent="0.2">
      <c r="A129" s="1" t="s">
        <v>31</v>
      </c>
      <c r="B129">
        <v>4</v>
      </c>
      <c r="C129" s="1" t="s">
        <v>14</v>
      </c>
      <c r="D129" t="s">
        <v>11</v>
      </c>
      <c r="E129">
        <v>0.72991791155152497</v>
      </c>
      <c r="F129">
        <v>3.63001115570133E-2</v>
      </c>
      <c r="G129" t="s">
        <v>24</v>
      </c>
    </row>
    <row r="130" spans="1:7" x14ac:dyDescent="0.2">
      <c r="A130" s="1" t="s">
        <v>31</v>
      </c>
      <c r="B130">
        <v>5</v>
      </c>
      <c r="C130" s="1" t="s">
        <v>15</v>
      </c>
      <c r="D130" t="s">
        <v>9</v>
      </c>
      <c r="E130">
        <v>0.75083542188805297</v>
      </c>
      <c r="F130">
        <v>0</v>
      </c>
      <c r="G130" t="s">
        <v>24</v>
      </c>
    </row>
    <row r="131" spans="1:7" x14ac:dyDescent="0.2">
      <c r="A131" s="1" t="s">
        <v>31</v>
      </c>
      <c r="B131">
        <v>5</v>
      </c>
      <c r="C131" s="1" t="s">
        <v>15</v>
      </c>
      <c r="D131" t="s">
        <v>11</v>
      </c>
      <c r="E131">
        <v>0.73739841072256596</v>
      </c>
      <c r="F131">
        <v>3.1022373740170799E-2</v>
      </c>
      <c r="G131" t="s">
        <v>24</v>
      </c>
    </row>
    <row r="132" spans="1:7" x14ac:dyDescent="0.2">
      <c r="A132" s="1" t="s">
        <v>31</v>
      </c>
      <c r="B132">
        <v>6</v>
      </c>
      <c r="C132" s="1" t="s">
        <v>16</v>
      </c>
      <c r="D132" t="s">
        <v>9</v>
      </c>
      <c r="E132">
        <v>0.75496879598448197</v>
      </c>
      <c r="F132">
        <v>0</v>
      </c>
      <c r="G132" t="s">
        <v>24</v>
      </c>
    </row>
    <row r="133" spans="1:7" x14ac:dyDescent="0.2">
      <c r="A133" s="1" t="s">
        <v>31</v>
      </c>
      <c r="B133">
        <v>6</v>
      </c>
      <c r="C133" s="1" t="s">
        <v>16</v>
      </c>
      <c r="D133" t="s">
        <v>11</v>
      </c>
      <c r="E133">
        <v>0.76526628222179505</v>
      </c>
      <c r="F133">
        <v>3.9891398102291697E-2</v>
      </c>
      <c r="G133" t="s">
        <v>24</v>
      </c>
    </row>
    <row r="134" spans="1:7" x14ac:dyDescent="0.2">
      <c r="A134" s="1" t="s">
        <v>31</v>
      </c>
      <c r="B134">
        <v>7</v>
      </c>
      <c r="C134" s="1" t="s">
        <v>17</v>
      </c>
      <c r="D134" t="s">
        <v>9</v>
      </c>
      <c r="E134">
        <v>0.75496879598448197</v>
      </c>
      <c r="F134">
        <v>0</v>
      </c>
      <c r="G134" t="s">
        <v>24</v>
      </c>
    </row>
    <row r="135" spans="1:7" x14ac:dyDescent="0.2">
      <c r="A135" s="1" t="s">
        <v>31</v>
      </c>
      <c r="B135">
        <v>7</v>
      </c>
      <c r="C135" s="1" t="s">
        <v>17</v>
      </c>
      <c r="D135" t="s">
        <v>11</v>
      </c>
      <c r="E135">
        <v>0.76526628222179505</v>
      </c>
      <c r="F135">
        <v>3.9891398102291697E-2</v>
      </c>
      <c r="G135" t="s">
        <v>24</v>
      </c>
    </row>
    <row r="136" spans="1:7" x14ac:dyDescent="0.2">
      <c r="A136" s="1" t="s">
        <v>31</v>
      </c>
      <c r="B136">
        <v>8</v>
      </c>
      <c r="C136" s="1" t="s">
        <v>18</v>
      </c>
      <c r="D136" t="s">
        <v>9</v>
      </c>
      <c r="E136">
        <v>0.75914248511904703</v>
      </c>
      <c r="F136">
        <v>0</v>
      </c>
      <c r="G136" t="s">
        <v>24</v>
      </c>
    </row>
    <row r="137" spans="1:7" x14ac:dyDescent="0.2">
      <c r="A137" s="1" t="s">
        <v>31</v>
      </c>
      <c r="B137">
        <v>8</v>
      </c>
      <c r="C137" s="1" t="s">
        <v>18</v>
      </c>
      <c r="D137" t="s">
        <v>11</v>
      </c>
      <c r="E137">
        <v>0.76150787413301102</v>
      </c>
      <c r="F137">
        <v>3.7349502634619697E-2</v>
      </c>
      <c r="G137" t="s">
        <v>24</v>
      </c>
    </row>
    <row r="138" spans="1:7" x14ac:dyDescent="0.2">
      <c r="A138" s="1" t="s">
        <v>31</v>
      </c>
      <c r="B138">
        <v>9</v>
      </c>
      <c r="C138" s="1" t="s">
        <v>19</v>
      </c>
      <c r="D138" t="s">
        <v>9</v>
      </c>
      <c r="E138">
        <v>0.29184937382055198</v>
      </c>
      <c r="F138">
        <v>0</v>
      </c>
      <c r="G138" t="s">
        <v>24</v>
      </c>
    </row>
    <row r="139" spans="1:7" x14ac:dyDescent="0.2">
      <c r="A139" s="1" t="s">
        <v>31</v>
      </c>
      <c r="B139">
        <v>9</v>
      </c>
      <c r="C139" s="1" t="s">
        <v>19</v>
      </c>
      <c r="D139" t="s">
        <v>11</v>
      </c>
      <c r="E139">
        <v>0.43169149372091797</v>
      </c>
      <c r="F139">
        <v>8.2237766962424796E-2</v>
      </c>
      <c r="G139" t="s">
        <v>24</v>
      </c>
    </row>
    <row r="140" spans="1:7" x14ac:dyDescent="0.2">
      <c r="A140" s="1" t="s">
        <v>31</v>
      </c>
      <c r="B140">
        <v>10</v>
      </c>
      <c r="C140" s="1" t="s">
        <v>20</v>
      </c>
      <c r="D140" t="s">
        <v>9</v>
      </c>
      <c r="E140">
        <v>0.27061657032755299</v>
      </c>
      <c r="F140">
        <v>0</v>
      </c>
      <c r="G140" t="s">
        <v>24</v>
      </c>
    </row>
    <row r="141" spans="1:7" x14ac:dyDescent="0.2">
      <c r="A141" s="1" t="s">
        <v>31</v>
      </c>
      <c r="B141">
        <v>10</v>
      </c>
      <c r="C141" s="1" t="s">
        <v>20</v>
      </c>
      <c r="D141" t="s">
        <v>11</v>
      </c>
      <c r="E141">
        <v>0.455202071204799</v>
      </c>
      <c r="F141">
        <v>0.22563091472841099</v>
      </c>
      <c r="G141" t="s">
        <v>24</v>
      </c>
    </row>
    <row r="142" spans="1:7" x14ac:dyDescent="0.2">
      <c r="A142" s="1" t="s">
        <v>32</v>
      </c>
      <c r="B142">
        <v>1</v>
      </c>
      <c r="C142" s="1" t="s">
        <v>8</v>
      </c>
      <c r="D142" t="s">
        <v>9</v>
      </c>
      <c r="E142">
        <v>0.27061657032755299</v>
      </c>
      <c r="F142">
        <v>0</v>
      </c>
      <c r="G142" t="s">
        <v>33</v>
      </c>
    </row>
    <row r="143" spans="1:7" x14ac:dyDescent="0.2">
      <c r="A143" s="1" t="s">
        <v>32</v>
      </c>
      <c r="B143">
        <v>1</v>
      </c>
      <c r="C143" s="1" t="s">
        <v>8</v>
      </c>
      <c r="D143" t="s">
        <v>11</v>
      </c>
      <c r="E143">
        <v>0.33618402657964802</v>
      </c>
      <c r="F143">
        <v>7.5233901387711799E-2</v>
      </c>
      <c r="G143" t="s">
        <v>33</v>
      </c>
    </row>
    <row r="144" spans="1:7" x14ac:dyDescent="0.2">
      <c r="A144" s="1" t="s">
        <v>32</v>
      </c>
      <c r="B144">
        <v>2</v>
      </c>
      <c r="C144" s="1" t="s">
        <v>12</v>
      </c>
      <c r="D144" t="s">
        <v>9</v>
      </c>
      <c r="E144">
        <v>0.65797740583836795</v>
      </c>
      <c r="F144">
        <v>0</v>
      </c>
      <c r="G144" t="s">
        <v>33</v>
      </c>
    </row>
    <row r="145" spans="1:7" x14ac:dyDescent="0.2">
      <c r="A145" s="1" t="s">
        <v>32</v>
      </c>
      <c r="B145">
        <v>2</v>
      </c>
      <c r="C145" s="1" t="s">
        <v>12</v>
      </c>
      <c r="D145" t="s">
        <v>11</v>
      </c>
      <c r="E145">
        <v>0.66330815498517703</v>
      </c>
      <c r="F145">
        <v>3.5409226068261399E-2</v>
      </c>
      <c r="G145" t="s">
        <v>33</v>
      </c>
    </row>
    <row r="146" spans="1:7" x14ac:dyDescent="0.2">
      <c r="A146" s="1" t="s">
        <v>32</v>
      </c>
      <c r="B146">
        <v>3</v>
      </c>
      <c r="C146" s="1" t="s">
        <v>13</v>
      </c>
      <c r="D146" t="s">
        <v>9</v>
      </c>
      <c r="E146">
        <v>0.65797740583836795</v>
      </c>
      <c r="F146">
        <v>0</v>
      </c>
      <c r="G146" t="s">
        <v>33</v>
      </c>
    </row>
    <row r="147" spans="1:7" x14ac:dyDescent="0.2">
      <c r="A147" s="1" t="s">
        <v>32</v>
      </c>
      <c r="B147">
        <v>3</v>
      </c>
      <c r="C147" s="1" t="s">
        <v>13</v>
      </c>
      <c r="D147" t="s">
        <v>11</v>
      </c>
      <c r="E147">
        <v>0.66330815498517703</v>
      </c>
      <c r="F147">
        <v>3.5409226068261399E-2</v>
      </c>
      <c r="G147" t="s">
        <v>33</v>
      </c>
    </row>
    <row r="148" spans="1:7" x14ac:dyDescent="0.2">
      <c r="A148" s="1" t="s">
        <v>32</v>
      </c>
      <c r="B148">
        <v>4</v>
      </c>
      <c r="C148" s="1" t="s">
        <v>14</v>
      </c>
      <c r="D148" t="s">
        <v>9</v>
      </c>
      <c r="E148">
        <v>0.65797740583836795</v>
      </c>
      <c r="F148">
        <v>0</v>
      </c>
      <c r="G148" t="s">
        <v>33</v>
      </c>
    </row>
    <row r="149" spans="1:7" x14ac:dyDescent="0.2">
      <c r="A149" s="1" t="s">
        <v>32</v>
      </c>
      <c r="B149">
        <v>4</v>
      </c>
      <c r="C149" s="1" t="s">
        <v>14</v>
      </c>
      <c r="D149" t="s">
        <v>11</v>
      </c>
      <c r="E149">
        <v>0.66330815498517703</v>
      </c>
      <c r="F149">
        <v>3.5409226068261399E-2</v>
      </c>
      <c r="G149" t="s">
        <v>33</v>
      </c>
    </row>
    <row r="150" spans="1:7" x14ac:dyDescent="0.2">
      <c r="A150" s="1" t="s">
        <v>32</v>
      </c>
      <c r="B150">
        <v>5</v>
      </c>
      <c r="C150" s="1" t="s">
        <v>15</v>
      </c>
      <c r="D150" t="s">
        <v>9</v>
      </c>
      <c r="E150">
        <v>0.65797740583836795</v>
      </c>
      <c r="F150">
        <v>0</v>
      </c>
      <c r="G150" t="s">
        <v>33</v>
      </c>
    </row>
    <row r="151" spans="1:7" x14ac:dyDescent="0.2">
      <c r="A151" s="1" t="s">
        <v>32</v>
      </c>
      <c r="B151">
        <v>5</v>
      </c>
      <c r="C151" s="1" t="s">
        <v>15</v>
      </c>
      <c r="D151" t="s">
        <v>11</v>
      </c>
      <c r="E151">
        <v>0.66335618113389805</v>
      </c>
      <c r="F151">
        <v>3.81033583446726E-2</v>
      </c>
      <c r="G151" t="s">
        <v>33</v>
      </c>
    </row>
    <row r="152" spans="1:7" x14ac:dyDescent="0.2">
      <c r="A152" s="1" t="s">
        <v>32</v>
      </c>
      <c r="B152">
        <v>6</v>
      </c>
      <c r="C152" s="1" t="s">
        <v>16</v>
      </c>
      <c r="D152" t="s">
        <v>9</v>
      </c>
      <c r="E152">
        <v>0.27061657032755299</v>
      </c>
      <c r="F152">
        <v>0</v>
      </c>
      <c r="G152" t="s">
        <v>33</v>
      </c>
    </row>
    <row r="153" spans="1:7" x14ac:dyDescent="0.2">
      <c r="A153" s="1" t="s">
        <v>32</v>
      </c>
      <c r="B153">
        <v>6</v>
      </c>
      <c r="C153" s="1" t="s">
        <v>16</v>
      </c>
      <c r="D153" t="s">
        <v>11</v>
      </c>
      <c r="E153">
        <v>0.469869727624806</v>
      </c>
      <c r="F153">
        <v>0.186429649952568</v>
      </c>
      <c r="G153" t="s">
        <v>33</v>
      </c>
    </row>
    <row r="154" spans="1:7" x14ac:dyDescent="0.2">
      <c r="A154" s="1" t="s">
        <v>32</v>
      </c>
      <c r="B154">
        <v>7</v>
      </c>
      <c r="C154" s="1" t="s">
        <v>17</v>
      </c>
      <c r="D154" t="s">
        <v>9</v>
      </c>
      <c r="E154">
        <v>0.27061657032755299</v>
      </c>
      <c r="F154">
        <v>0</v>
      </c>
      <c r="G154" t="s">
        <v>33</v>
      </c>
    </row>
    <row r="155" spans="1:7" x14ac:dyDescent="0.2">
      <c r="A155" s="1" t="s">
        <v>32</v>
      </c>
      <c r="B155">
        <v>7</v>
      </c>
      <c r="C155" s="1" t="s">
        <v>17</v>
      </c>
      <c r="D155" t="s">
        <v>11</v>
      </c>
      <c r="E155">
        <v>0.469869727624806</v>
      </c>
      <c r="F155">
        <v>0.186429649952568</v>
      </c>
      <c r="G155" t="s">
        <v>33</v>
      </c>
    </row>
    <row r="156" spans="1:7" x14ac:dyDescent="0.2">
      <c r="A156" s="1" t="s">
        <v>32</v>
      </c>
      <c r="B156">
        <v>8</v>
      </c>
      <c r="C156" s="1" t="s">
        <v>18</v>
      </c>
      <c r="D156" t="s">
        <v>9</v>
      </c>
      <c r="E156">
        <v>0.27061657032755299</v>
      </c>
      <c r="F156">
        <v>0</v>
      </c>
      <c r="G156" t="s">
        <v>33</v>
      </c>
    </row>
    <row r="157" spans="1:7" x14ac:dyDescent="0.2">
      <c r="A157" s="1" t="s">
        <v>32</v>
      </c>
      <c r="B157">
        <v>8</v>
      </c>
      <c r="C157" s="1" t="s">
        <v>18</v>
      </c>
      <c r="D157" t="s">
        <v>11</v>
      </c>
      <c r="E157">
        <v>0.469869727624806</v>
      </c>
      <c r="F157">
        <v>0.186429649952568</v>
      </c>
      <c r="G157" t="s">
        <v>33</v>
      </c>
    </row>
    <row r="158" spans="1:7" x14ac:dyDescent="0.2">
      <c r="A158" s="1" t="s">
        <v>32</v>
      </c>
      <c r="B158">
        <v>9</v>
      </c>
      <c r="C158" s="1" t="s">
        <v>19</v>
      </c>
      <c r="D158" t="s">
        <v>9</v>
      </c>
      <c r="E158">
        <v>0.27061657032755299</v>
      </c>
      <c r="F158">
        <v>0</v>
      </c>
      <c r="G158" t="s">
        <v>33</v>
      </c>
    </row>
    <row r="159" spans="1:7" x14ac:dyDescent="0.2">
      <c r="A159" s="1" t="s">
        <v>32</v>
      </c>
      <c r="B159">
        <v>9</v>
      </c>
      <c r="C159" s="1" t="s">
        <v>19</v>
      </c>
      <c r="D159" t="s">
        <v>11</v>
      </c>
      <c r="E159">
        <v>0.33618402657964802</v>
      </c>
      <c r="F159">
        <v>7.5233901387711799E-2</v>
      </c>
      <c r="G159" t="s">
        <v>33</v>
      </c>
    </row>
    <row r="160" spans="1:7" x14ac:dyDescent="0.2">
      <c r="A160" s="1" t="s">
        <v>32</v>
      </c>
      <c r="B160">
        <v>10</v>
      </c>
      <c r="C160" s="1" t="s">
        <v>20</v>
      </c>
      <c r="D160" t="s">
        <v>9</v>
      </c>
      <c r="E160">
        <v>0.27061657032755299</v>
      </c>
      <c r="F160">
        <v>0</v>
      </c>
      <c r="G160" t="s">
        <v>33</v>
      </c>
    </row>
    <row r="161" spans="1:7" x14ac:dyDescent="0.2">
      <c r="A161" s="1" t="s">
        <v>32</v>
      </c>
      <c r="B161">
        <v>10</v>
      </c>
      <c r="C161" s="1" t="s">
        <v>20</v>
      </c>
      <c r="D161" t="s">
        <v>11</v>
      </c>
      <c r="E161">
        <v>0.30022970486657402</v>
      </c>
      <c r="F161">
        <v>6.3660691750285894E-2</v>
      </c>
      <c r="G161" t="s">
        <v>33</v>
      </c>
    </row>
    <row r="162" spans="1:7" x14ac:dyDescent="0.2">
      <c r="A162" s="1" t="s">
        <v>34</v>
      </c>
      <c r="B162">
        <v>1</v>
      </c>
      <c r="C162" s="1" t="s">
        <v>8</v>
      </c>
      <c r="D162" t="s">
        <v>9</v>
      </c>
      <c r="E162">
        <v>0.40008912655971401</v>
      </c>
      <c r="F162">
        <v>0</v>
      </c>
      <c r="G162" t="s">
        <v>35</v>
      </c>
    </row>
    <row r="163" spans="1:7" x14ac:dyDescent="0.2">
      <c r="A163" s="1" t="s">
        <v>34</v>
      </c>
      <c r="B163">
        <v>1</v>
      </c>
      <c r="C163" s="1" t="s">
        <v>8</v>
      </c>
      <c r="D163" t="s">
        <v>11</v>
      </c>
      <c r="E163">
        <v>0.33610923796712</v>
      </c>
      <c r="F163">
        <v>7.6863067730611495E-2</v>
      </c>
      <c r="G163" t="s">
        <v>35</v>
      </c>
    </row>
    <row r="164" spans="1:7" x14ac:dyDescent="0.2">
      <c r="A164" s="1" t="s">
        <v>34</v>
      </c>
      <c r="B164">
        <v>2</v>
      </c>
      <c r="C164" s="1" t="s">
        <v>12</v>
      </c>
      <c r="D164" t="s">
        <v>9</v>
      </c>
      <c r="E164">
        <v>0.68842904083867895</v>
      </c>
      <c r="F164">
        <v>0</v>
      </c>
      <c r="G164" t="s">
        <v>35</v>
      </c>
    </row>
    <row r="165" spans="1:7" x14ac:dyDescent="0.2">
      <c r="A165" s="1" t="s">
        <v>34</v>
      </c>
      <c r="B165">
        <v>2</v>
      </c>
      <c r="C165" s="1" t="s">
        <v>12</v>
      </c>
      <c r="D165" t="s">
        <v>11</v>
      </c>
      <c r="E165">
        <v>0.67855969935471205</v>
      </c>
      <c r="F165">
        <v>5.0305071525792402E-2</v>
      </c>
      <c r="G165" t="s">
        <v>35</v>
      </c>
    </row>
    <row r="166" spans="1:7" x14ac:dyDescent="0.2">
      <c r="A166" s="1" t="s">
        <v>34</v>
      </c>
      <c r="B166">
        <v>3</v>
      </c>
      <c r="C166" s="1" t="s">
        <v>13</v>
      </c>
      <c r="D166" t="s">
        <v>9</v>
      </c>
      <c r="E166">
        <v>0.68842904083867895</v>
      </c>
      <c r="F166">
        <v>0</v>
      </c>
      <c r="G166" t="s">
        <v>35</v>
      </c>
    </row>
    <row r="167" spans="1:7" x14ac:dyDescent="0.2">
      <c r="A167" s="1" t="s">
        <v>34</v>
      </c>
      <c r="B167">
        <v>3</v>
      </c>
      <c r="C167" s="1" t="s">
        <v>13</v>
      </c>
      <c r="D167" t="s">
        <v>11</v>
      </c>
      <c r="E167">
        <v>0.67855969935471205</v>
      </c>
      <c r="F167">
        <v>5.0305071525792402E-2</v>
      </c>
      <c r="G167" t="s">
        <v>35</v>
      </c>
    </row>
    <row r="168" spans="1:7" x14ac:dyDescent="0.2">
      <c r="A168" s="1" t="s">
        <v>34</v>
      </c>
      <c r="B168">
        <v>4</v>
      </c>
      <c r="C168" s="1" t="s">
        <v>14</v>
      </c>
      <c r="D168" t="s">
        <v>9</v>
      </c>
      <c r="E168">
        <v>0.68842904083867895</v>
      </c>
      <c r="F168">
        <v>0</v>
      </c>
      <c r="G168" t="s">
        <v>35</v>
      </c>
    </row>
    <row r="169" spans="1:7" x14ac:dyDescent="0.2">
      <c r="A169" s="1" t="s">
        <v>34</v>
      </c>
      <c r="B169">
        <v>4</v>
      </c>
      <c r="C169" s="1" t="s">
        <v>14</v>
      </c>
      <c r="D169" t="s">
        <v>11</v>
      </c>
      <c r="E169">
        <v>0.67855969935471205</v>
      </c>
      <c r="F169">
        <v>5.0305071525792402E-2</v>
      </c>
      <c r="G169" t="s">
        <v>35</v>
      </c>
    </row>
    <row r="170" spans="1:7" x14ac:dyDescent="0.2">
      <c r="A170" s="1" t="s">
        <v>34</v>
      </c>
      <c r="B170">
        <v>5</v>
      </c>
      <c r="C170" s="1" t="s">
        <v>15</v>
      </c>
      <c r="D170" t="s">
        <v>9</v>
      </c>
      <c r="E170">
        <v>0.68842904083867895</v>
      </c>
      <c r="F170">
        <v>0</v>
      </c>
      <c r="G170" t="s">
        <v>35</v>
      </c>
    </row>
    <row r="171" spans="1:7" x14ac:dyDescent="0.2">
      <c r="A171" s="1" t="s">
        <v>34</v>
      </c>
      <c r="B171">
        <v>5</v>
      </c>
      <c r="C171" s="1" t="s">
        <v>15</v>
      </c>
      <c r="D171" t="s">
        <v>11</v>
      </c>
      <c r="E171">
        <v>0.68114495475595904</v>
      </c>
      <c r="F171">
        <v>4.9710112655513401E-2</v>
      </c>
      <c r="G171" t="s">
        <v>35</v>
      </c>
    </row>
    <row r="172" spans="1:7" x14ac:dyDescent="0.2">
      <c r="A172" s="1" t="s">
        <v>34</v>
      </c>
      <c r="B172">
        <v>6</v>
      </c>
      <c r="C172" s="1" t="s">
        <v>16</v>
      </c>
      <c r="D172" t="s">
        <v>9</v>
      </c>
      <c r="E172">
        <v>0.27927662258365299</v>
      </c>
      <c r="F172">
        <v>0</v>
      </c>
      <c r="G172" t="s">
        <v>35</v>
      </c>
    </row>
    <row r="173" spans="1:7" x14ac:dyDescent="0.2">
      <c r="A173" s="1" t="s">
        <v>34</v>
      </c>
      <c r="B173">
        <v>6</v>
      </c>
      <c r="C173" s="1" t="s">
        <v>16</v>
      </c>
      <c r="D173" t="s">
        <v>11</v>
      </c>
      <c r="E173">
        <v>0.31507486650740202</v>
      </c>
      <c r="F173">
        <v>6.2895736106692093E-2</v>
      </c>
      <c r="G173" t="s">
        <v>35</v>
      </c>
    </row>
    <row r="174" spans="1:7" x14ac:dyDescent="0.2">
      <c r="A174" s="1" t="s">
        <v>34</v>
      </c>
      <c r="B174">
        <v>7</v>
      </c>
      <c r="C174" s="1" t="s">
        <v>17</v>
      </c>
      <c r="D174" t="s">
        <v>9</v>
      </c>
      <c r="E174">
        <v>0.27927662258365299</v>
      </c>
      <c r="F174">
        <v>0</v>
      </c>
      <c r="G174" t="s">
        <v>35</v>
      </c>
    </row>
    <row r="175" spans="1:7" x14ac:dyDescent="0.2">
      <c r="A175" s="1" t="s">
        <v>34</v>
      </c>
      <c r="B175">
        <v>7</v>
      </c>
      <c r="C175" s="1" t="s">
        <v>17</v>
      </c>
      <c r="D175" t="s">
        <v>11</v>
      </c>
      <c r="E175">
        <v>0.31507486650740202</v>
      </c>
      <c r="F175">
        <v>6.2895736106692093E-2</v>
      </c>
      <c r="G175" t="s">
        <v>35</v>
      </c>
    </row>
    <row r="176" spans="1:7" x14ac:dyDescent="0.2">
      <c r="A176" s="1" t="s">
        <v>34</v>
      </c>
      <c r="B176">
        <v>8</v>
      </c>
      <c r="C176" s="1" t="s">
        <v>18</v>
      </c>
      <c r="D176" t="s">
        <v>9</v>
      </c>
      <c r="E176">
        <v>0.27927662258365299</v>
      </c>
      <c r="F176">
        <v>0</v>
      </c>
      <c r="G176" t="s">
        <v>35</v>
      </c>
    </row>
    <row r="177" spans="1:7" x14ac:dyDescent="0.2">
      <c r="A177" s="1" t="s">
        <v>34</v>
      </c>
      <c r="B177">
        <v>8</v>
      </c>
      <c r="C177" s="1" t="s">
        <v>18</v>
      </c>
      <c r="D177" t="s">
        <v>11</v>
      </c>
      <c r="E177">
        <v>0.31507486650740202</v>
      </c>
      <c r="F177">
        <v>6.2895736106692093E-2</v>
      </c>
      <c r="G177" t="s">
        <v>35</v>
      </c>
    </row>
    <row r="178" spans="1:7" x14ac:dyDescent="0.2">
      <c r="A178" s="1" t="s">
        <v>34</v>
      </c>
      <c r="B178">
        <v>9</v>
      </c>
      <c r="C178" s="1" t="s">
        <v>19</v>
      </c>
      <c r="D178" t="s">
        <v>9</v>
      </c>
      <c r="E178">
        <v>0.40008912655971401</v>
      </c>
      <c r="F178">
        <v>0</v>
      </c>
      <c r="G178" t="s">
        <v>35</v>
      </c>
    </row>
    <row r="179" spans="1:7" x14ac:dyDescent="0.2">
      <c r="A179" s="1" t="s">
        <v>34</v>
      </c>
      <c r="B179">
        <v>9</v>
      </c>
      <c r="C179" s="1" t="s">
        <v>19</v>
      </c>
      <c r="D179" t="s">
        <v>11</v>
      </c>
      <c r="E179">
        <v>0.33610923796712</v>
      </c>
      <c r="F179">
        <v>7.6863067730611495E-2</v>
      </c>
      <c r="G179" t="s">
        <v>35</v>
      </c>
    </row>
    <row r="180" spans="1:7" x14ac:dyDescent="0.2">
      <c r="A180" s="1" t="s">
        <v>34</v>
      </c>
      <c r="B180">
        <v>10</v>
      </c>
      <c r="C180" s="1" t="s">
        <v>20</v>
      </c>
      <c r="D180" t="s">
        <v>9</v>
      </c>
      <c r="E180">
        <v>0.27061657032755299</v>
      </c>
      <c r="F180">
        <v>0</v>
      </c>
      <c r="G180" t="s">
        <v>35</v>
      </c>
    </row>
    <row r="181" spans="1:7" x14ac:dyDescent="0.2">
      <c r="A181" s="1" t="s">
        <v>34</v>
      </c>
      <c r="B181">
        <v>10</v>
      </c>
      <c r="C181" s="1" t="s">
        <v>20</v>
      </c>
      <c r="D181" t="s">
        <v>11</v>
      </c>
      <c r="E181">
        <v>0.313976015490946</v>
      </c>
      <c r="F181">
        <v>7.2430839299061398E-2</v>
      </c>
      <c r="G181" t="s">
        <v>35</v>
      </c>
    </row>
    <row r="182" spans="1:7" x14ac:dyDescent="0.2">
      <c r="A182" s="1" t="s">
        <v>36</v>
      </c>
      <c r="B182">
        <v>1</v>
      </c>
      <c r="C182" s="1" t="s">
        <v>8</v>
      </c>
      <c r="D182" t="s">
        <v>9</v>
      </c>
      <c r="E182">
        <v>0.78353125805167101</v>
      </c>
      <c r="F182">
        <v>0</v>
      </c>
      <c r="G182" t="s">
        <v>37</v>
      </c>
    </row>
    <row r="183" spans="1:7" x14ac:dyDescent="0.2">
      <c r="A183" s="1" t="s">
        <v>36</v>
      </c>
      <c r="B183">
        <v>1</v>
      </c>
      <c r="C183" s="1" t="s">
        <v>8</v>
      </c>
      <c r="D183" t="s">
        <v>11</v>
      </c>
      <c r="E183">
        <v>0.79262826093482996</v>
      </c>
      <c r="F183">
        <v>4.4120334612033602E-2</v>
      </c>
      <c r="G183" t="s">
        <v>37</v>
      </c>
    </row>
    <row r="184" spans="1:7" x14ac:dyDescent="0.2">
      <c r="A184" s="1" t="s">
        <v>36</v>
      </c>
      <c r="B184">
        <v>2</v>
      </c>
      <c r="C184" s="1" t="s">
        <v>12</v>
      </c>
      <c r="D184" t="s">
        <v>9</v>
      </c>
      <c r="E184">
        <v>0.77927150920504196</v>
      </c>
      <c r="F184">
        <v>0</v>
      </c>
      <c r="G184" t="s">
        <v>37</v>
      </c>
    </row>
    <row r="185" spans="1:7" x14ac:dyDescent="0.2">
      <c r="A185" s="1" t="s">
        <v>36</v>
      </c>
      <c r="B185">
        <v>2</v>
      </c>
      <c r="C185" s="1" t="s">
        <v>12</v>
      </c>
      <c r="D185" t="s">
        <v>11</v>
      </c>
      <c r="E185">
        <v>0.77142799795994499</v>
      </c>
      <c r="F185">
        <v>2.7053699893359099E-2</v>
      </c>
      <c r="G185" t="s">
        <v>37</v>
      </c>
    </row>
    <row r="186" spans="1:7" x14ac:dyDescent="0.2">
      <c r="A186" s="1" t="s">
        <v>36</v>
      </c>
      <c r="B186">
        <v>3</v>
      </c>
      <c r="C186" s="1" t="s">
        <v>13</v>
      </c>
      <c r="D186" t="s">
        <v>9</v>
      </c>
      <c r="E186">
        <v>0.77927150920504196</v>
      </c>
      <c r="F186">
        <v>0</v>
      </c>
      <c r="G186" t="s">
        <v>37</v>
      </c>
    </row>
    <row r="187" spans="1:7" x14ac:dyDescent="0.2">
      <c r="A187" s="1" t="s">
        <v>36</v>
      </c>
      <c r="B187">
        <v>3</v>
      </c>
      <c r="C187" s="1" t="s">
        <v>13</v>
      </c>
      <c r="D187" t="s">
        <v>11</v>
      </c>
      <c r="E187">
        <v>0.77142799795994499</v>
      </c>
      <c r="F187">
        <v>2.7053699893359099E-2</v>
      </c>
      <c r="G187" t="s">
        <v>37</v>
      </c>
    </row>
    <row r="188" spans="1:7" x14ac:dyDescent="0.2">
      <c r="A188" s="1" t="s">
        <v>36</v>
      </c>
      <c r="B188">
        <v>4</v>
      </c>
      <c r="C188" s="1" t="s">
        <v>14</v>
      </c>
      <c r="D188" t="s">
        <v>9</v>
      </c>
      <c r="E188">
        <v>0.77927150920504196</v>
      </c>
      <c r="F188">
        <v>0</v>
      </c>
      <c r="G188" t="s">
        <v>37</v>
      </c>
    </row>
    <row r="189" spans="1:7" x14ac:dyDescent="0.2">
      <c r="A189" s="1" t="s">
        <v>36</v>
      </c>
      <c r="B189">
        <v>4</v>
      </c>
      <c r="C189" s="1" t="s">
        <v>14</v>
      </c>
      <c r="D189" t="s">
        <v>11</v>
      </c>
      <c r="E189">
        <v>0.77142799795994499</v>
      </c>
      <c r="F189">
        <v>2.7053699893359099E-2</v>
      </c>
      <c r="G189" t="s">
        <v>37</v>
      </c>
    </row>
    <row r="190" spans="1:7" x14ac:dyDescent="0.2">
      <c r="A190" s="1" t="s">
        <v>36</v>
      </c>
      <c r="B190">
        <v>5</v>
      </c>
      <c r="C190" s="1" t="s">
        <v>15</v>
      </c>
      <c r="D190" t="s">
        <v>9</v>
      </c>
      <c r="E190">
        <v>0.78777972795085505</v>
      </c>
      <c r="F190">
        <v>0</v>
      </c>
      <c r="G190" t="s">
        <v>37</v>
      </c>
    </row>
    <row r="191" spans="1:7" x14ac:dyDescent="0.2">
      <c r="A191" s="1" t="s">
        <v>36</v>
      </c>
      <c r="B191">
        <v>5</v>
      </c>
      <c r="C191" s="1" t="s">
        <v>15</v>
      </c>
      <c r="D191" t="s">
        <v>11</v>
      </c>
      <c r="E191">
        <v>0.77140620320439401</v>
      </c>
      <c r="F191">
        <v>2.3801311003751598E-2</v>
      </c>
      <c r="G191" t="s">
        <v>37</v>
      </c>
    </row>
    <row r="192" spans="1:7" x14ac:dyDescent="0.2">
      <c r="A192" s="1" t="s">
        <v>36</v>
      </c>
      <c r="B192">
        <v>6</v>
      </c>
      <c r="C192" s="1" t="s">
        <v>16</v>
      </c>
      <c r="D192" t="s">
        <v>9</v>
      </c>
      <c r="E192">
        <v>0.77129511193659295</v>
      </c>
      <c r="F192">
        <v>0</v>
      </c>
      <c r="G192" t="s">
        <v>37</v>
      </c>
    </row>
    <row r="193" spans="1:7" x14ac:dyDescent="0.2">
      <c r="A193" s="1" t="s">
        <v>36</v>
      </c>
      <c r="B193">
        <v>6</v>
      </c>
      <c r="C193" s="1" t="s">
        <v>16</v>
      </c>
      <c r="D193" t="s">
        <v>11</v>
      </c>
      <c r="E193">
        <v>0.77247584870181496</v>
      </c>
      <c r="F193">
        <v>2.9793545616509699E-2</v>
      </c>
      <c r="G193" t="s">
        <v>37</v>
      </c>
    </row>
    <row r="194" spans="1:7" x14ac:dyDescent="0.2">
      <c r="A194" s="1" t="s">
        <v>36</v>
      </c>
      <c r="B194">
        <v>7</v>
      </c>
      <c r="C194" s="1" t="s">
        <v>17</v>
      </c>
      <c r="D194" t="s">
        <v>9</v>
      </c>
      <c r="E194">
        <v>0.76666666666666605</v>
      </c>
      <c r="F194">
        <v>0</v>
      </c>
      <c r="G194" t="s">
        <v>37</v>
      </c>
    </row>
    <row r="195" spans="1:7" x14ac:dyDescent="0.2">
      <c r="A195" s="1" t="s">
        <v>36</v>
      </c>
      <c r="B195">
        <v>7</v>
      </c>
      <c r="C195" s="1" t="s">
        <v>17</v>
      </c>
      <c r="D195" t="s">
        <v>11</v>
      </c>
      <c r="E195">
        <v>0.77895301934396799</v>
      </c>
      <c r="F195">
        <v>3.5441890168052E-2</v>
      </c>
      <c r="G195" t="s">
        <v>37</v>
      </c>
    </row>
    <row r="196" spans="1:7" x14ac:dyDescent="0.2">
      <c r="A196" s="1" t="s">
        <v>36</v>
      </c>
      <c r="B196">
        <v>8</v>
      </c>
      <c r="C196" s="1" t="s">
        <v>18</v>
      </c>
      <c r="D196" t="s">
        <v>9</v>
      </c>
      <c r="E196">
        <v>0.76666666666666605</v>
      </c>
      <c r="F196">
        <v>0</v>
      </c>
      <c r="G196" t="s">
        <v>37</v>
      </c>
    </row>
    <row r="197" spans="1:7" x14ac:dyDescent="0.2">
      <c r="A197" s="1" t="s">
        <v>36</v>
      </c>
      <c r="B197">
        <v>8</v>
      </c>
      <c r="C197" s="1" t="s">
        <v>18</v>
      </c>
      <c r="D197" t="s">
        <v>11</v>
      </c>
      <c r="E197">
        <v>0.790415394439129</v>
      </c>
      <c r="F197">
        <v>3.88890061874421E-2</v>
      </c>
      <c r="G197" t="s">
        <v>37</v>
      </c>
    </row>
    <row r="198" spans="1:7" x14ac:dyDescent="0.2">
      <c r="A198" s="1" t="s">
        <v>36</v>
      </c>
      <c r="B198">
        <v>9</v>
      </c>
      <c r="C198" s="1" t="s">
        <v>19</v>
      </c>
      <c r="D198" t="s">
        <v>9</v>
      </c>
      <c r="E198">
        <v>0.27061657032755299</v>
      </c>
      <c r="F198">
        <v>0</v>
      </c>
      <c r="G198" t="s">
        <v>37</v>
      </c>
    </row>
    <row r="199" spans="1:7" x14ac:dyDescent="0.2">
      <c r="A199" s="1" t="s">
        <v>36</v>
      </c>
      <c r="B199">
        <v>9</v>
      </c>
      <c r="C199" s="1" t="s">
        <v>19</v>
      </c>
      <c r="D199" t="s">
        <v>11</v>
      </c>
      <c r="E199">
        <v>0.33618402657964802</v>
      </c>
      <c r="F199">
        <v>7.5233901387711799E-2</v>
      </c>
      <c r="G199" t="s">
        <v>37</v>
      </c>
    </row>
    <row r="200" spans="1:7" x14ac:dyDescent="0.2">
      <c r="A200" s="1" t="s">
        <v>36</v>
      </c>
      <c r="B200">
        <v>10</v>
      </c>
      <c r="C200" s="1" t="s">
        <v>20</v>
      </c>
      <c r="D200" t="s">
        <v>9</v>
      </c>
      <c r="E200">
        <v>0.77570434782608699</v>
      </c>
      <c r="F200">
        <v>0</v>
      </c>
      <c r="G200" t="s">
        <v>37</v>
      </c>
    </row>
    <row r="201" spans="1:7" x14ac:dyDescent="0.2">
      <c r="A201" s="1" t="s">
        <v>36</v>
      </c>
      <c r="B201">
        <v>10</v>
      </c>
      <c r="C201" s="1" t="s">
        <v>20</v>
      </c>
      <c r="D201" t="s">
        <v>11</v>
      </c>
      <c r="E201">
        <v>0.77043646611307803</v>
      </c>
      <c r="F201">
        <v>3.9004018338110499E-2</v>
      </c>
      <c r="G201" t="s">
        <v>37</v>
      </c>
    </row>
    <row r="202" spans="1:7" x14ac:dyDescent="0.2">
      <c r="A202" s="1" t="s">
        <v>38</v>
      </c>
      <c r="B202">
        <v>1</v>
      </c>
      <c r="C202" s="1" t="s">
        <v>8</v>
      </c>
      <c r="D202" t="s">
        <v>9</v>
      </c>
      <c r="E202">
        <v>0.78792819470484099</v>
      </c>
      <c r="F202">
        <v>0</v>
      </c>
      <c r="G202" t="s">
        <v>37</v>
      </c>
    </row>
    <row r="203" spans="1:7" x14ac:dyDescent="0.2">
      <c r="A203" s="1" t="s">
        <v>38</v>
      </c>
      <c r="B203">
        <v>1</v>
      </c>
      <c r="C203" s="1" t="s">
        <v>8</v>
      </c>
      <c r="D203" t="s">
        <v>11</v>
      </c>
      <c r="E203">
        <v>0.77635255037881601</v>
      </c>
      <c r="F203">
        <v>3.4339583416044303E-2</v>
      </c>
      <c r="G203" t="s">
        <v>37</v>
      </c>
    </row>
    <row r="204" spans="1:7" x14ac:dyDescent="0.2">
      <c r="A204" s="1" t="s">
        <v>38</v>
      </c>
      <c r="B204">
        <v>2</v>
      </c>
      <c r="C204" s="1" t="s">
        <v>12</v>
      </c>
      <c r="D204" t="s">
        <v>9</v>
      </c>
      <c r="E204">
        <v>0.75889184583420799</v>
      </c>
      <c r="F204">
        <v>0</v>
      </c>
      <c r="G204" t="s">
        <v>37</v>
      </c>
    </row>
    <row r="205" spans="1:7" x14ac:dyDescent="0.2">
      <c r="A205" s="1" t="s">
        <v>38</v>
      </c>
      <c r="B205">
        <v>2</v>
      </c>
      <c r="C205" s="1" t="s">
        <v>12</v>
      </c>
      <c r="D205" t="s">
        <v>11</v>
      </c>
      <c r="E205">
        <v>0.77679940524711699</v>
      </c>
      <c r="F205">
        <v>2.89052181865368E-2</v>
      </c>
      <c r="G205" t="s">
        <v>37</v>
      </c>
    </row>
    <row r="206" spans="1:7" x14ac:dyDescent="0.2">
      <c r="A206" s="1" t="s">
        <v>38</v>
      </c>
      <c r="B206">
        <v>3</v>
      </c>
      <c r="C206" s="1" t="s">
        <v>13</v>
      </c>
      <c r="D206" t="s">
        <v>9</v>
      </c>
      <c r="E206">
        <v>0.75889184583420799</v>
      </c>
      <c r="F206">
        <v>0</v>
      </c>
      <c r="G206" t="s">
        <v>37</v>
      </c>
    </row>
    <row r="207" spans="1:7" x14ac:dyDescent="0.2">
      <c r="A207" s="1" t="s">
        <v>38</v>
      </c>
      <c r="B207">
        <v>3</v>
      </c>
      <c r="C207" s="1" t="s">
        <v>13</v>
      </c>
      <c r="D207" t="s">
        <v>11</v>
      </c>
      <c r="E207">
        <v>0.77679940524711699</v>
      </c>
      <c r="F207">
        <v>2.89052181865368E-2</v>
      </c>
      <c r="G207" t="s">
        <v>37</v>
      </c>
    </row>
    <row r="208" spans="1:7" x14ac:dyDescent="0.2">
      <c r="A208" s="1" t="s">
        <v>38</v>
      </c>
      <c r="B208">
        <v>4</v>
      </c>
      <c r="C208" s="1" t="s">
        <v>14</v>
      </c>
      <c r="D208" t="s">
        <v>9</v>
      </c>
      <c r="E208">
        <v>0.75889184583420799</v>
      </c>
      <c r="F208">
        <v>0</v>
      </c>
      <c r="G208" t="s">
        <v>37</v>
      </c>
    </row>
    <row r="209" spans="1:7" x14ac:dyDescent="0.2">
      <c r="A209" s="1" t="s">
        <v>38</v>
      </c>
      <c r="B209">
        <v>4</v>
      </c>
      <c r="C209" s="1" t="s">
        <v>14</v>
      </c>
      <c r="D209" t="s">
        <v>11</v>
      </c>
      <c r="E209">
        <v>0.77679940524711699</v>
      </c>
      <c r="F209">
        <v>2.89052181865368E-2</v>
      </c>
      <c r="G209" t="s">
        <v>37</v>
      </c>
    </row>
    <row r="210" spans="1:7" x14ac:dyDescent="0.2">
      <c r="A210" s="1" t="s">
        <v>38</v>
      </c>
      <c r="B210">
        <v>5</v>
      </c>
      <c r="C210" s="1" t="s">
        <v>15</v>
      </c>
      <c r="D210" t="s">
        <v>9</v>
      </c>
      <c r="E210">
        <v>0.75889184583420799</v>
      </c>
      <c r="F210">
        <v>0</v>
      </c>
      <c r="G210" t="s">
        <v>37</v>
      </c>
    </row>
    <row r="211" spans="1:7" x14ac:dyDescent="0.2">
      <c r="A211" s="1" t="s">
        <v>38</v>
      </c>
      <c r="B211">
        <v>5</v>
      </c>
      <c r="C211" s="1" t="s">
        <v>15</v>
      </c>
      <c r="D211" t="s">
        <v>11</v>
      </c>
      <c r="E211">
        <v>0.77195491345477596</v>
      </c>
      <c r="F211">
        <v>2.9941042475696102E-2</v>
      </c>
      <c r="G211" t="s">
        <v>37</v>
      </c>
    </row>
    <row r="212" spans="1:7" x14ac:dyDescent="0.2">
      <c r="A212" s="1" t="s">
        <v>38</v>
      </c>
      <c r="B212">
        <v>6</v>
      </c>
      <c r="C212" s="1" t="s">
        <v>16</v>
      </c>
      <c r="D212" t="s">
        <v>9</v>
      </c>
      <c r="E212">
        <v>0.77973459997550598</v>
      </c>
      <c r="F212">
        <v>0</v>
      </c>
      <c r="G212" t="s">
        <v>37</v>
      </c>
    </row>
    <row r="213" spans="1:7" x14ac:dyDescent="0.2">
      <c r="A213" s="1" t="s">
        <v>38</v>
      </c>
      <c r="B213">
        <v>6</v>
      </c>
      <c r="C213" s="1" t="s">
        <v>16</v>
      </c>
      <c r="D213" t="s">
        <v>11</v>
      </c>
      <c r="E213">
        <v>0.78472395882516</v>
      </c>
      <c r="F213">
        <v>3.1464588287205497E-2</v>
      </c>
      <c r="G213" t="s">
        <v>37</v>
      </c>
    </row>
    <row r="214" spans="1:7" x14ac:dyDescent="0.2">
      <c r="A214" s="1" t="s">
        <v>38</v>
      </c>
      <c r="B214">
        <v>7</v>
      </c>
      <c r="C214" s="1" t="s">
        <v>17</v>
      </c>
      <c r="D214" t="s">
        <v>9</v>
      </c>
      <c r="E214">
        <v>0.79635840375094002</v>
      </c>
      <c r="F214">
        <v>0</v>
      </c>
      <c r="G214" t="s">
        <v>37</v>
      </c>
    </row>
    <row r="215" spans="1:7" x14ac:dyDescent="0.2">
      <c r="A215" s="1" t="s">
        <v>38</v>
      </c>
      <c r="B215">
        <v>7</v>
      </c>
      <c r="C215" s="1" t="s">
        <v>17</v>
      </c>
      <c r="D215" t="s">
        <v>11</v>
      </c>
      <c r="E215">
        <v>0.78738779874859099</v>
      </c>
      <c r="F215">
        <v>2.6999468073415502E-2</v>
      </c>
      <c r="G215" t="s">
        <v>37</v>
      </c>
    </row>
    <row r="216" spans="1:7" x14ac:dyDescent="0.2">
      <c r="A216" s="1" t="s">
        <v>38</v>
      </c>
      <c r="B216">
        <v>8</v>
      </c>
      <c r="C216" s="1" t="s">
        <v>18</v>
      </c>
      <c r="D216" t="s">
        <v>9</v>
      </c>
      <c r="E216">
        <v>0.80877629152368202</v>
      </c>
      <c r="F216">
        <v>0</v>
      </c>
      <c r="G216" t="s">
        <v>37</v>
      </c>
    </row>
    <row r="217" spans="1:7" x14ac:dyDescent="0.2">
      <c r="A217" s="1" t="s">
        <v>38</v>
      </c>
      <c r="B217">
        <v>8</v>
      </c>
      <c r="C217" s="1" t="s">
        <v>18</v>
      </c>
      <c r="D217" t="s">
        <v>11</v>
      </c>
      <c r="E217">
        <v>0.78376630462136998</v>
      </c>
      <c r="F217">
        <v>3.10613001644004E-2</v>
      </c>
      <c r="G217" t="s">
        <v>37</v>
      </c>
    </row>
    <row r="218" spans="1:7" x14ac:dyDescent="0.2">
      <c r="A218" s="1" t="s">
        <v>38</v>
      </c>
      <c r="B218">
        <v>9</v>
      </c>
      <c r="C218" s="1" t="s">
        <v>19</v>
      </c>
      <c r="D218" t="s">
        <v>9</v>
      </c>
      <c r="E218">
        <v>0.27061657032755299</v>
      </c>
      <c r="F218">
        <v>0</v>
      </c>
      <c r="G218" t="s">
        <v>37</v>
      </c>
    </row>
    <row r="219" spans="1:7" x14ac:dyDescent="0.2">
      <c r="A219" s="1" t="s">
        <v>38</v>
      </c>
      <c r="B219">
        <v>9</v>
      </c>
      <c r="C219" s="1" t="s">
        <v>19</v>
      </c>
      <c r="D219" t="s">
        <v>11</v>
      </c>
      <c r="E219">
        <v>0.33618402657964802</v>
      </c>
      <c r="F219">
        <v>7.5233901387711799E-2</v>
      </c>
      <c r="G219" t="s">
        <v>37</v>
      </c>
    </row>
    <row r="220" spans="1:7" x14ac:dyDescent="0.2">
      <c r="A220" s="1" t="s">
        <v>38</v>
      </c>
      <c r="B220">
        <v>10</v>
      </c>
      <c r="C220" s="1" t="s">
        <v>20</v>
      </c>
      <c r="D220" t="s">
        <v>9</v>
      </c>
      <c r="E220">
        <v>0.81306015129544496</v>
      </c>
      <c r="F220">
        <v>0</v>
      </c>
      <c r="G220" t="s">
        <v>37</v>
      </c>
    </row>
    <row r="221" spans="1:7" x14ac:dyDescent="0.2">
      <c r="A221" s="1" t="s">
        <v>38</v>
      </c>
      <c r="B221">
        <v>10</v>
      </c>
      <c r="C221" s="1" t="s">
        <v>20</v>
      </c>
      <c r="D221" t="s">
        <v>11</v>
      </c>
      <c r="E221">
        <v>0.78147297110113001</v>
      </c>
      <c r="F221">
        <v>3.1036407652017602E-2</v>
      </c>
      <c r="G221" t="s">
        <v>37</v>
      </c>
    </row>
    <row r="222" spans="1:7" x14ac:dyDescent="0.2">
      <c r="A222" s="1" t="s">
        <v>39</v>
      </c>
      <c r="B222">
        <v>1</v>
      </c>
      <c r="C222" s="1" t="s">
        <v>8</v>
      </c>
      <c r="D222" t="s">
        <v>9</v>
      </c>
      <c r="E222">
        <v>0.40008912655971401</v>
      </c>
      <c r="F222">
        <v>0</v>
      </c>
      <c r="G222" t="s">
        <v>40</v>
      </c>
    </row>
    <row r="223" spans="1:7" x14ac:dyDescent="0.2">
      <c r="A223" s="1" t="s">
        <v>39</v>
      </c>
      <c r="B223">
        <v>1</v>
      </c>
      <c r="C223" s="1" t="s">
        <v>8</v>
      </c>
      <c r="D223" t="s">
        <v>11</v>
      </c>
      <c r="E223">
        <v>0.33610923796712</v>
      </c>
      <c r="F223">
        <v>7.6863067730611495E-2</v>
      </c>
      <c r="G223" t="s">
        <v>40</v>
      </c>
    </row>
    <row r="224" spans="1:7" x14ac:dyDescent="0.2">
      <c r="A224" s="1" t="s">
        <v>39</v>
      </c>
      <c r="B224">
        <v>2</v>
      </c>
      <c r="C224" s="1" t="s">
        <v>12</v>
      </c>
      <c r="D224" t="s">
        <v>9</v>
      </c>
      <c r="E224">
        <v>0.696737599749648</v>
      </c>
      <c r="F224">
        <v>0</v>
      </c>
      <c r="G224" t="s">
        <v>40</v>
      </c>
    </row>
    <row r="225" spans="1:7" x14ac:dyDescent="0.2">
      <c r="A225" s="1" t="s">
        <v>39</v>
      </c>
      <c r="B225">
        <v>2</v>
      </c>
      <c r="C225" s="1" t="s">
        <v>12</v>
      </c>
      <c r="D225" t="s">
        <v>11</v>
      </c>
      <c r="E225">
        <v>0.68832932173308403</v>
      </c>
      <c r="F225">
        <v>4.6619932475685202E-2</v>
      </c>
      <c r="G225" t="s">
        <v>40</v>
      </c>
    </row>
    <row r="226" spans="1:7" x14ac:dyDescent="0.2">
      <c r="A226" s="1" t="s">
        <v>39</v>
      </c>
      <c r="B226">
        <v>3</v>
      </c>
      <c r="C226" s="1" t="s">
        <v>13</v>
      </c>
      <c r="D226" t="s">
        <v>9</v>
      </c>
      <c r="E226">
        <v>0.696737599749648</v>
      </c>
      <c r="F226">
        <v>0</v>
      </c>
      <c r="G226" t="s">
        <v>40</v>
      </c>
    </row>
    <row r="227" spans="1:7" x14ac:dyDescent="0.2">
      <c r="A227" s="1" t="s">
        <v>39</v>
      </c>
      <c r="B227">
        <v>3</v>
      </c>
      <c r="C227" s="1" t="s">
        <v>13</v>
      </c>
      <c r="D227" t="s">
        <v>11</v>
      </c>
      <c r="E227">
        <v>0.68832932173308403</v>
      </c>
      <c r="F227">
        <v>4.6619932475685202E-2</v>
      </c>
      <c r="G227" t="s">
        <v>40</v>
      </c>
    </row>
    <row r="228" spans="1:7" x14ac:dyDescent="0.2">
      <c r="A228" s="1" t="s">
        <v>39</v>
      </c>
      <c r="B228">
        <v>4</v>
      </c>
      <c r="C228" s="1" t="s">
        <v>14</v>
      </c>
      <c r="D228" t="s">
        <v>9</v>
      </c>
      <c r="E228">
        <v>0.696737599749648</v>
      </c>
      <c r="F228">
        <v>0</v>
      </c>
      <c r="G228" t="s">
        <v>40</v>
      </c>
    </row>
    <row r="229" spans="1:7" x14ac:dyDescent="0.2">
      <c r="A229" s="1" t="s">
        <v>39</v>
      </c>
      <c r="B229">
        <v>4</v>
      </c>
      <c r="C229" s="1" t="s">
        <v>14</v>
      </c>
      <c r="D229" t="s">
        <v>11</v>
      </c>
      <c r="E229">
        <v>0.68832932173308403</v>
      </c>
      <c r="F229">
        <v>4.6619932475685202E-2</v>
      </c>
      <c r="G229" t="s">
        <v>40</v>
      </c>
    </row>
    <row r="230" spans="1:7" x14ac:dyDescent="0.2">
      <c r="A230" s="1" t="s">
        <v>39</v>
      </c>
      <c r="B230">
        <v>5</v>
      </c>
      <c r="C230" s="1" t="s">
        <v>15</v>
      </c>
      <c r="D230" t="s">
        <v>9</v>
      </c>
      <c r="E230">
        <v>0.69252410085279903</v>
      </c>
      <c r="F230">
        <v>0</v>
      </c>
      <c r="G230" t="s">
        <v>40</v>
      </c>
    </row>
    <row r="231" spans="1:7" x14ac:dyDescent="0.2">
      <c r="A231" s="1" t="s">
        <v>39</v>
      </c>
      <c r="B231">
        <v>5</v>
      </c>
      <c r="C231" s="1" t="s">
        <v>15</v>
      </c>
      <c r="D231" t="s">
        <v>11</v>
      </c>
      <c r="E231">
        <v>0.68820876886231197</v>
      </c>
      <c r="F231">
        <v>4.7694676571908498E-2</v>
      </c>
      <c r="G231" t="s">
        <v>40</v>
      </c>
    </row>
    <row r="232" spans="1:7" x14ac:dyDescent="0.2">
      <c r="A232" s="1" t="s">
        <v>39</v>
      </c>
      <c r="B232">
        <v>6</v>
      </c>
      <c r="C232" s="1" t="s">
        <v>16</v>
      </c>
      <c r="D232" t="s">
        <v>9</v>
      </c>
      <c r="E232">
        <v>0.27061657032755299</v>
      </c>
      <c r="F232">
        <v>0</v>
      </c>
      <c r="G232" t="s">
        <v>40</v>
      </c>
    </row>
    <row r="233" spans="1:7" x14ac:dyDescent="0.2">
      <c r="A233" s="1" t="s">
        <v>39</v>
      </c>
      <c r="B233">
        <v>6</v>
      </c>
      <c r="C233" s="1" t="s">
        <v>16</v>
      </c>
      <c r="D233" t="s">
        <v>11</v>
      </c>
      <c r="E233">
        <v>0.32096954280197398</v>
      </c>
      <c r="F233">
        <v>0.108902146306491</v>
      </c>
      <c r="G233" t="s">
        <v>40</v>
      </c>
    </row>
    <row r="234" spans="1:7" x14ac:dyDescent="0.2">
      <c r="A234" s="1" t="s">
        <v>39</v>
      </c>
      <c r="B234">
        <v>7</v>
      </c>
      <c r="C234" s="1" t="s">
        <v>17</v>
      </c>
      <c r="D234" t="s">
        <v>9</v>
      </c>
      <c r="E234">
        <v>0.27061657032755299</v>
      </c>
      <c r="F234">
        <v>0</v>
      </c>
      <c r="G234" t="s">
        <v>40</v>
      </c>
    </row>
    <row r="235" spans="1:7" x14ac:dyDescent="0.2">
      <c r="A235" s="1" t="s">
        <v>39</v>
      </c>
      <c r="B235">
        <v>7</v>
      </c>
      <c r="C235" s="1" t="s">
        <v>17</v>
      </c>
      <c r="D235" t="s">
        <v>11</v>
      </c>
      <c r="E235">
        <v>0.32096954280197398</v>
      </c>
      <c r="F235">
        <v>0.108902146306491</v>
      </c>
      <c r="G235" t="s">
        <v>40</v>
      </c>
    </row>
    <row r="236" spans="1:7" x14ac:dyDescent="0.2">
      <c r="A236" s="1" t="s">
        <v>39</v>
      </c>
      <c r="B236">
        <v>8</v>
      </c>
      <c r="C236" s="1" t="s">
        <v>18</v>
      </c>
      <c r="D236" t="s">
        <v>9</v>
      </c>
      <c r="E236">
        <v>0.27061657032755299</v>
      </c>
      <c r="F236">
        <v>0</v>
      </c>
      <c r="G236" t="s">
        <v>40</v>
      </c>
    </row>
    <row r="237" spans="1:7" x14ac:dyDescent="0.2">
      <c r="A237" s="1" t="s">
        <v>39</v>
      </c>
      <c r="B237">
        <v>8</v>
      </c>
      <c r="C237" s="1" t="s">
        <v>18</v>
      </c>
      <c r="D237" t="s">
        <v>11</v>
      </c>
      <c r="E237">
        <v>0.32096954280197398</v>
      </c>
      <c r="F237">
        <v>0.108902146306491</v>
      </c>
      <c r="G237" t="s">
        <v>40</v>
      </c>
    </row>
    <row r="238" spans="1:7" x14ac:dyDescent="0.2">
      <c r="A238" s="1" t="s">
        <v>39</v>
      </c>
      <c r="B238">
        <v>9</v>
      </c>
      <c r="C238" s="1" t="s">
        <v>19</v>
      </c>
      <c r="D238" t="s">
        <v>9</v>
      </c>
      <c r="E238">
        <v>0.40008912655971401</v>
      </c>
      <c r="F238">
        <v>0</v>
      </c>
      <c r="G238" t="s">
        <v>40</v>
      </c>
    </row>
    <row r="239" spans="1:7" x14ac:dyDescent="0.2">
      <c r="A239" s="1" t="s">
        <v>39</v>
      </c>
      <c r="B239">
        <v>9</v>
      </c>
      <c r="C239" s="1" t="s">
        <v>19</v>
      </c>
      <c r="D239" t="s">
        <v>11</v>
      </c>
      <c r="E239">
        <v>0.33610923796712</v>
      </c>
      <c r="F239">
        <v>7.6863067730611495E-2</v>
      </c>
      <c r="G239" t="s">
        <v>40</v>
      </c>
    </row>
    <row r="240" spans="1:7" x14ac:dyDescent="0.2">
      <c r="A240" s="1" t="s">
        <v>39</v>
      </c>
      <c r="B240">
        <v>10</v>
      </c>
      <c r="C240" s="1" t="s">
        <v>20</v>
      </c>
      <c r="D240" t="s">
        <v>9</v>
      </c>
      <c r="E240">
        <v>0.27061657032755299</v>
      </c>
      <c r="F240">
        <v>0</v>
      </c>
      <c r="G240" t="s">
        <v>40</v>
      </c>
    </row>
    <row r="241" spans="1:7" x14ac:dyDescent="0.2">
      <c r="A241" s="1" t="s">
        <v>39</v>
      </c>
      <c r="B241">
        <v>10</v>
      </c>
      <c r="C241" s="1" t="s">
        <v>20</v>
      </c>
      <c r="D241" t="s">
        <v>11</v>
      </c>
      <c r="E241">
        <v>0.36652315852367301</v>
      </c>
      <c r="F241">
        <v>7.2686813178068702E-2</v>
      </c>
      <c r="G241" t="s">
        <v>40</v>
      </c>
    </row>
  </sheetData>
  <autoFilter ref="A1:G241" xr:uid="{975EA864-6AD0-DD40-BDDD-F0E2988D37F0}"/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6D7B-CD8A-864E-9B12-84EC7CB3D5F6}">
  <sheetPr>
    <pageSetUpPr fitToPage="1"/>
  </sheetPr>
  <dimension ref="B1:U42"/>
  <sheetViews>
    <sheetView tabSelected="1" workbookViewId="0">
      <selection activeCell="S8" sqref="S8"/>
    </sheetView>
  </sheetViews>
  <sheetFormatPr baseColWidth="10" defaultRowHeight="16" x14ac:dyDescent="0.2"/>
  <cols>
    <col min="2" max="2" width="22" bestFit="1" customWidth="1"/>
    <col min="3" max="3" width="20.33203125" bestFit="1" customWidth="1"/>
    <col min="4" max="4" width="24.33203125" customWidth="1"/>
    <col min="5" max="5" width="23" customWidth="1"/>
    <col min="6" max="6" width="10.83203125" bestFit="1" customWidth="1"/>
    <col min="7" max="15" width="8" bestFit="1" customWidth="1"/>
    <col min="19" max="19" width="21.6640625" bestFit="1" customWidth="1"/>
  </cols>
  <sheetData>
    <row r="1" spans="2:21" ht="17" thickBot="1" x14ac:dyDescent="0.25"/>
    <row r="2" spans="2:21" ht="17" thickBot="1" x14ac:dyDescent="0.25">
      <c r="B2" s="33" t="s">
        <v>41</v>
      </c>
      <c r="C2" s="168"/>
      <c r="D2" s="168"/>
      <c r="E2" s="34"/>
      <c r="F2" s="35" t="s">
        <v>1</v>
      </c>
      <c r="G2" s="36"/>
      <c r="H2" s="36"/>
      <c r="I2" s="36"/>
      <c r="J2" s="36"/>
      <c r="K2" s="36"/>
      <c r="L2" s="36"/>
      <c r="M2" s="36"/>
      <c r="N2" s="36"/>
      <c r="O2" s="37"/>
      <c r="S2" t="s">
        <v>94</v>
      </c>
      <c r="T2" t="s">
        <v>95</v>
      </c>
      <c r="U2" t="s">
        <v>96</v>
      </c>
    </row>
    <row r="3" spans="2:21" ht="17" thickBot="1" x14ac:dyDescent="0.25">
      <c r="B3" s="33" t="s">
        <v>0</v>
      </c>
      <c r="C3" s="168" t="s">
        <v>46</v>
      </c>
      <c r="D3" s="168" t="s">
        <v>47</v>
      </c>
      <c r="E3" s="38" t="s">
        <v>3</v>
      </c>
      <c r="F3" s="39">
        <v>1</v>
      </c>
      <c r="G3" s="40">
        <v>2</v>
      </c>
      <c r="H3" s="40">
        <v>3</v>
      </c>
      <c r="I3" s="40">
        <v>4</v>
      </c>
      <c r="J3" s="40">
        <v>5</v>
      </c>
      <c r="K3" s="40">
        <v>6</v>
      </c>
      <c r="L3" s="40">
        <v>7</v>
      </c>
      <c r="M3" s="40">
        <v>8</v>
      </c>
      <c r="N3" s="40">
        <v>9</v>
      </c>
      <c r="O3" s="41">
        <v>10</v>
      </c>
      <c r="S3" s="172" t="s">
        <v>38</v>
      </c>
      <c r="T3" s="173" t="s">
        <v>65</v>
      </c>
      <c r="U3" s="174" t="s">
        <v>67</v>
      </c>
    </row>
    <row r="4" spans="2:21" x14ac:dyDescent="0.2">
      <c r="B4" s="181" t="s">
        <v>38</v>
      </c>
      <c r="C4" s="182" t="str">
        <f>VLOOKUP($B4,$S$3:$U$22,2,FALSE)</f>
        <v xml:space="preserve"> (800, 1764)</v>
      </c>
      <c r="D4" s="183" t="str">
        <f>VLOOKUP($B4,$S$3:$U$22,3,FALSE)</f>
        <v>128/16/2/9</v>
      </c>
      <c r="E4" s="170" t="s">
        <v>9</v>
      </c>
      <c r="F4" s="42">
        <v>0.78790000000000004</v>
      </c>
      <c r="G4" s="43">
        <v>0.75890000000000002</v>
      </c>
      <c r="H4" s="43">
        <v>0.75890000000000002</v>
      </c>
      <c r="I4" s="43">
        <v>0.75890000000000002</v>
      </c>
      <c r="J4" s="43">
        <v>0.75890000000000002</v>
      </c>
      <c r="K4" s="44">
        <v>0.77969999999999995</v>
      </c>
      <c r="L4" s="45">
        <v>0.7964</v>
      </c>
      <c r="M4" s="46">
        <v>0.80879999999999996</v>
      </c>
      <c r="N4" s="47">
        <v>0.27060000000000001</v>
      </c>
      <c r="O4" s="48">
        <v>0.81310000000000004</v>
      </c>
      <c r="S4" s="172" t="s">
        <v>29</v>
      </c>
      <c r="T4" s="175" t="s">
        <v>58</v>
      </c>
      <c r="U4" s="174" t="s">
        <v>59</v>
      </c>
    </row>
    <row r="5" spans="2:21" ht="17" thickBot="1" x14ac:dyDescent="0.25">
      <c r="B5" s="184"/>
      <c r="C5" s="169"/>
      <c r="D5" s="185"/>
      <c r="E5" s="171" t="s">
        <v>11</v>
      </c>
      <c r="F5" s="49">
        <v>0.77639999999999998</v>
      </c>
      <c r="G5" s="50">
        <v>0.77680000000000005</v>
      </c>
      <c r="H5" s="50">
        <v>0.77680000000000005</v>
      </c>
      <c r="I5" s="50">
        <v>0.77680000000000005</v>
      </c>
      <c r="J5" s="51">
        <v>0.77200000000000002</v>
      </c>
      <c r="K5" s="52">
        <v>0.78469999999999995</v>
      </c>
      <c r="L5" s="53">
        <v>0.78739999999999999</v>
      </c>
      <c r="M5" s="54">
        <v>0.78380000000000005</v>
      </c>
      <c r="N5" s="55">
        <v>0.3362</v>
      </c>
      <c r="O5" s="56">
        <v>0.78149999999999997</v>
      </c>
      <c r="S5" s="172" t="s">
        <v>25</v>
      </c>
      <c r="T5" s="175" t="s">
        <v>54</v>
      </c>
      <c r="U5" s="174" t="s">
        <v>55</v>
      </c>
    </row>
    <row r="6" spans="2:21" x14ac:dyDescent="0.2">
      <c r="B6" s="181" t="s">
        <v>29</v>
      </c>
      <c r="C6" s="182" t="str">
        <f>VLOOKUP($B6,$S$3:$U$22,2,FALSE)</f>
        <v xml:space="preserve"> (800, 117)</v>
      </c>
      <c r="D6" s="183" t="str">
        <f>VLOOKUP($B6,$S$3:$U$22,3,FALSE)</f>
        <v>128/16/2/9/pca</v>
      </c>
      <c r="E6" s="180" t="s">
        <v>9</v>
      </c>
      <c r="F6" s="57">
        <v>0.72589999999999999</v>
      </c>
      <c r="G6" s="58">
        <v>0.7661</v>
      </c>
      <c r="H6" s="58">
        <v>0.7661</v>
      </c>
      <c r="I6" s="58">
        <v>0.7661</v>
      </c>
      <c r="J6" s="58">
        <v>0.7661</v>
      </c>
      <c r="K6" s="59">
        <v>0.78759999999999997</v>
      </c>
      <c r="L6" s="59">
        <v>0.78759999999999997</v>
      </c>
      <c r="M6" s="59">
        <v>0.78759999999999997</v>
      </c>
      <c r="N6" s="60">
        <v>0.77569999999999995</v>
      </c>
      <c r="O6" s="61">
        <v>0.72170000000000001</v>
      </c>
      <c r="S6" s="172" t="s">
        <v>7</v>
      </c>
      <c r="T6" s="175" t="s">
        <v>48</v>
      </c>
      <c r="U6" s="174" t="s">
        <v>49</v>
      </c>
    </row>
    <row r="7" spans="2:21" ht="17" thickBot="1" x14ac:dyDescent="0.25">
      <c r="B7" s="184"/>
      <c r="C7" s="169"/>
      <c r="D7" s="185"/>
      <c r="E7" s="179" t="s">
        <v>11</v>
      </c>
      <c r="F7" s="62">
        <v>0.73229999999999995</v>
      </c>
      <c r="G7" s="63">
        <v>0.74039999999999995</v>
      </c>
      <c r="H7" s="63">
        <v>0.74039999999999995</v>
      </c>
      <c r="I7" s="63">
        <v>0.74039999999999995</v>
      </c>
      <c r="J7" s="63">
        <v>0.74039999999999995</v>
      </c>
      <c r="K7" s="64">
        <v>0.74539999999999995</v>
      </c>
      <c r="L7" s="64">
        <v>0.74539999999999995</v>
      </c>
      <c r="M7" s="64">
        <v>0.74539999999999995</v>
      </c>
      <c r="N7" s="65">
        <v>0.76219999999999999</v>
      </c>
      <c r="O7" s="66">
        <v>0.74119999999999997</v>
      </c>
      <c r="S7" s="172" t="s">
        <v>31</v>
      </c>
      <c r="T7" s="175" t="s">
        <v>52</v>
      </c>
      <c r="U7" s="174" t="s">
        <v>60</v>
      </c>
    </row>
    <row r="8" spans="2:21" x14ac:dyDescent="0.2">
      <c r="B8" s="181" t="s">
        <v>25</v>
      </c>
      <c r="C8" s="182" t="str">
        <f>VLOOKUP($B8,$S$3:$U$22,2,FALSE)</f>
        <v xml:space="preserve"> (800, 3600)</v>
      </c>
      <c r="D8" s="183" t="str">
        <f>VLOOKUP($B8,$S$3:$U$22,3,FALSE)</f>
        <v>128/16/4/9</v>
      </c>
      <c r="E8" s="180" t="s">
        <v>9</v>
      </c>
      <c r="F8" s="67">
        <v>0.77990000000000004</v>
      </c>
      <c r="G8" s="68">
        <v>0.75080000000000002</v>
      </c>
      <c r="H8" s="68">
        <v>0.75080000000000002</v>
      </c>
      <c r="I8" s="68">
        <v>0.75080000000000002</v>
      </c>
      <c r="J8" s="69">
        <v>0.74670000000000003</v>
      </c>
      <c r="K8" s="70">
        <v>0.77539999999999998</v>
      </c>
      <c r="L8" s="71">
        <v>0.79200000000000004</v>
      </c>
      <c r="M8" s="72">
        <v>0.80479999999999996</v>
      </c>
      <c r="N8" s="47">
        <v>0.27060000000000001</v>
      </c>
      <c r="O8" s="73">
        <v>0.7591</v>
      </c>
      <c r="S8" s="172" t="s">
        <v>73</v>
      </c>
      <c r="T8" s="175" t="s">
        <v>74</v>
      </c>
      <c r="U8" s="174" t="s">
        <v>75</v>
      </c>
    </row>
    <row r="9" spans="2:21" ht="17" thickBot="1" x14ac:dyDescent="0.25">
      <c r="B9" s="184"/>
      <c r="C9" s="169"/>
      <c r="D9" s="185"/>
      <c r="E9" s="179" t="s">
        <v>11</v>
      </c>
      <c r="F9" s="74">
        <v>0.76380000000000003</v>
      </c>
      <c r="G9" s="75">
        <v>0.76939999999999997</v>
      </c>
      <c r="H9" s="75">
        <v>0.76939999999999997</v>
      </c>
      <c r="I9" s="75">
        <v>0.76939999999999997</v>
      </c>
      <c r="J9" s="76">
        <v>0.77329999999999999</v>
      </c>
      <c r="K9" s="77">
        <v>0.77839999999999998</v>
      </c>
      <c r="L9" s="78">
        <v>0.78069999999999995</v>
      </c>
      <c r="M9" s="79">
        <v>0.78979999999999995</v>
      </c>
      <c r="N9" s="80">
        <v>0.3362</v>
      </c>
      <c r="O9" s="81">
        <v>0.76929999999999998</v>
      </c>
      <c r="S9" s="172" t="s">
        <v>79</v>
      </c>
      <c r="T9" s="175" t="s">
        <v>80</v>
      </c>
      <c r="U9" s="174" t="s">
        <v>81</v>
      </c>
    </row>
    <row r="10" spans="2:21" x14ac:dyDescent="0.2">
      <c r="B10" s="181" t="s">
        <v>7</v>
      </c>
      <c r="C10" s="182" t="str">
        <f>VLOOKUP($B10,$S$3:$U$22,2,FALSE)</f>
        <v xml:space="preserve"> (800, 103)</v>
      </c>
      <c r="D10" s="183" t="str">
        <f>VLOOKUP($B10,$S$3:$U$22,3,FALSE)</f>
        <v>128/16/4/9/pca</v>
      </c>
      <c r="E10" s="180" t="s">
        <v>9</v>
      </c>
      <c r="F10" s="82">
        <v>0.76319999999999999</v>
      </c>
      <c r="G10" s="83">
        <v>0.75480000000000003</v>
      </c>
      <c r="H10" s="83">
        <v>0.75480000000000003</v>
      </c>
      <c r="I10" s="83">
        <v>0.75480000000000003</v>
      </c>
      <c r="J10" s="83">
        <v>0.75480000000000003</v>
      </c>
      <c r="K10" s="69">
        <v>0.74670000000000003</v>
      </c>
      <c r="L10" s="69">
        <v>0.74670000000000003</v>
      </c>
      <c r="M10" s="69">
        <v>0.74670000000000003</v>
      </c>
      <c r="N10" s="84">
        <v>0.77149999999999996</v>
      </c>
      <c r="O10" s="85">
        <v>0.75480000000000003</v>
      </c>
      <c r="S10" s="172" t="s">
        <v>36</v>
      </c>
      <c r="T10" s="175" t="s">
        <v>65</v>
      </c>
      <c r="U10" s="174" t="s">
        <v>66</v>
      </c>
    </row>
    <row r="11" spans="2:21" ht="17" thickBot="1" x14ac:dyDescent="0.25">
      <c r="B11" s="184"/>
      <c r="C11" s="169"/>
      <c r="D11" s="185"/>
      <c r="E11" s="179" t="s">
        <v>11</v>
      </c>
      <c r="F11" s="86">
        <v>0.74619999999999997</v>
      </c>
      <c r="G11" s="87">
        <v>0.7702</v>
      </c>
      <c r="H11" s="87">
        <v>0.7702</v>
      </c>
      <c r="I11" s="87">
        <v>0.7702</v>
      </c>
      <c r="J11" s="87">
        <v>0.7702</v>
      </c>
      <c r="K11" s="88">
        <v>0.76129999999999998</v>
      </c>
      <c r="L11" s="88">
        <v>0.76129999999999998</v>
      </c>
      <c r="M11" s="88">
        <v>0.76129999999999998</v>
      </c>
      <c r="N11" s="89">
        <v>0.76859999999999995</v>
      </c>
      <c r="O11" s="90">
        <v>0.77639999999999998</v>
      </c>
      <c r="S11" s="172" t="s">
        <v>27</v>
      </c>
      <c r="T11" s="175" t="s">
        <v>56</v>
      </c>
      <c r="U11" s="174" t="s">
        <v>57</v>
      </c>
    </row>
    <row r="12" spans="2:21" x14ac:dyDescent="0.2">
      <c r="B12" s="181" t="s">
        <v>31</v>
      </c>
      <c r="C12" s="182" t="str">
        <f>VLOOKUP($B12,$S$3:$U$22,2,FALSE)</f>
        <v xml:space="preserve"> (800, 324)</v>
      </c>
      <c r="D12" s="183" t="str">
        <f>VLOOKUP($B12,$S$3:$U$22,3,FALSE)</f>
        <v>128/32/2/9</v>
      </c>
      <c r="E12" s="180" t="s">
        <v>9</v>
      </c>
      <c r="F12" s="91">
        <v>0.31269999999999998</v>
      </c>
      <c r="G12" s="92">
        <v>0.73409999999999997</v>
      </c>
      <c r="H12" s="92">
        <v>0.73409999999999997</v>
      </c>
      <c r="I12" s="92">
        <v>0.73409999999999997</v>
      </c>
      <c r="J12" s="68">
        <v>0.75080000000000002</v>
      </c>
      <c r="K12" s="83">
        <v>0.755</v>
      </c>
      <c r="L12" s="83">
        <v>0.755</v>
      </c>
      <c r="M12" s="93">
        <v>0.7591</v>
      </c>
      <c r="N12" s="94">
        <v>0.2918</v>
      </c>
      <c r="O12" s="95">
        <v>0.27060000000000001</v>
      </c>
      <c r="S12" s="172" t="s">
        <v>82</v>
      </c>
      <c r="T12" s="175" t="s">
        <v>83</v>
      </c>
      <c r="U12" s="174" t="s">
        <v>84</v>
      </c>
    </row>
    <row r="13" spans="2:21" ht="17" thickBot="1" x14ac:dyDescent="0.25">
      <c r="B13" s="184"/>
      <c r="C13" s="169"/>
      <c r="D13" s="185"/>
      <c r="E13" s="179" t="s">
        <v>11</v>
      </c>
      <c r="F13" s="96">
        <v>0.49790000000000001</v>
      </c>
      <c r="G13" s="97">
        <v>0.72950000000000004</v>
      </c>
      <c r="H13" s="97">
        <v>0.72989999999999999</v>
      </c>
      <c r="I13" s="97">
        <v>0.72989999999999999</v>
      </c>
      <c r="J13" s="63">
        <v>0.73740000000000006</v>
      </c>
      <c r="K13" s="98">
        <v>0.76529999999999998</v>
      </c>
      <c r="L13" s="98">
        <v>0.76529999999999998</v>
      </c>
      <c r="M13" s="99">
        <v>0.76149999999999995</v>
      </c>
      <c r="N13" s="100">
        <v>0.43169999999999997</v>
      </c>
      <c r="O13" s="101">
        <v>0.45519999999999999</v>
      </c>
      <c r="S13" s="172" t="s">
        <v>91</v>
      </c>
      <c r="T13" s="175" t="s">
        <v>92</v>
      </c>
      <c r="U13" s="174" t="s">
        <v>93</v>
      </c>
    </row>
    <row r="14" spans="2:21" x14ac:dyDescent="0.2">
      <c r="B14" s="181" t="s">
        <v>36</v>
      </c>
      <c r="C14" s="182" t="str">
        <f>VLOOKUP($B14,$S$3:$U$22,2,FALSE)</f>
        <v xml:space="preserve"> (800, 1764)</v>
      </c>
      <c r="D14" s="183" t="str">
        <f>VLOOKUP($B14,$S$3:$U$22,3,FALSE)</f>
        <v>256/32/2/9</v>
      </c>
      <c r="E14" s="180" t="s">
        <v>9</v>
      </c>
      <c r="F14" s="102">
        <v>0.78349999999999997</v>
      </c>
      <c r="G14" s="103">
        <v>0.77929999999999999</v>
      </c>
      <c r="H14" s="103">
        <v>0.77929999999999999</v>
      </c>
      <c r="I14" s="103">
        <v>0.77929999999999999</v>
      </c>
      <c r="J14" s="59">
        <v>0.78779999999999994</v>
      </c>
      <c r="K14" s="104">
        <v>0.77129999999999999</v>
      </c>
      <c r="L14" s="105">
        <v>0.76670000000000005</v>
      </c>
      <c r="M14" s="105">
        <v>0.76670000000000005</v>
      </c>
      <c r="N14" s="47">
        <v>0.27060000000000001</v>
      </c>
      <c r="O14" s="106">
        <v>0.77569999999999995</v>
      </c>
      <c r="S14" s="172" t="s">
        <v>21</v>
      </c>
      <c r="T14" s="175" t="s">
        <v>50</v>
      </c>
      <c r="U14" s="174" t="s">
        <v>51</v>
      </c>
    </row>
    <row r="15" spans="2:21" ht="17" thickBot="1" x14ac:dyDescent="0.25">
      <c r="B15" s="184"/>
      <c r="C15" s="169"/>
      <c r="D15" s="185"/>
      <c r="E15" s="179" t="s">
        <v>11</v>
      </c>
      <c r="F15" s="107">
        <v>0.79259999999999997</v>
      </c>
      <c r="G15" s="108">
        <v>0.77139999999999997</v>
      </c>
      <c r="H15" s="108">
        <v>0.77139999999999997</v>
      </c>
      <c r="I15" s="108">
        <v>0.77139999999999997</v>
      </c>
      <c r="J15" s="108">
        <v>0.77139999999999997</v>
      </c>
      <c r="K15" s="109">
        <v>0.77249999999999996</v>
      </c>
      <c r="L15" s="110">
        <v>0.77900000000000003</v>
      </c>
      <c r="M15" s="111">
        <v>0.79039999999999999</v>
      </c>
      <c r="N15" s="80">
        <v>0.3362</v>
      </c>
      <c r="O15" s="112">
        <v>0.77039999999999997</v>
      </c>
      <c r="S15" s="172" t="s">
        <v>23</v>
      </c>
      <c r="T15" s="175" t="s">
        <v>52</v>
      </c>
      <c r="U15" s="174" t="s">
        <v>53</v>
      </c>
    </row>
    <row r="16" spans="2:21" x14ac:dyDescent="0.2">
      <c r="B16" s="181" t="s">
        <v>27</v>
      </c>
      <c r="C16" s="182" t="str">
        <f>VLOOKUP($B16,$S$3:$U$22,2,FALSE)</f>
        <v xml:space="preserve"> (800, 93)</v>
      </c>
      <c r="D16" s="183" t="str">
        <f>VLOOKUP($B16,$S$3:$U$22,3,FALSE)</f>
        <v>256/32/2/9/pca</v>
      </c>
      <c r="E16" s="180" t="s">
        <v>9</v>
      </c>
      <c r="F16" s="113">
        <v>0.75019999999999998</v>
      </c>
      <c r="G16" s="114">
        <v>0.76300000000000001</v>
      </c>
      <c r="H16" s="114">
        <v>0.76300000000000001</v>
      </c>
      <c r="I16" s="114">
        <v>0.76300000000000001</v>
      </c>
      <c r="J16" s="114">
        <v>0.76300000000000001</v>
      </c>
      <c r="K16" s="115">
        <v>0.7671</v>
      </c>
      <c r="L16" s="115">
        <v>0.7671</v>
      </c>
      <c r="M16" s="115">
        <v>0.7671</v>
      </c>
      <c r="N16" s="116">
        <v>0.78400000000000003</v>
      </c>
      <c r="O16" s="106">
        <v>0.77569999999999995</v>
      </c>
      <c r="S16" s="172" t="s">
        <v>85</v>
      </c>
      <c r="T16" s="175" t="s">
        <v>86</v>
      </c>
      <c r="U16" s="174" t="s">
        <v>87</v>
      </c>
    </row>
    <row r="17" spans="2:21" ht="17" thickBot="1" x14ac:dyDescent="0.25">
      <c r="B17" s="184"/>
      <c r="C17" s="169"/>
      <c r="D17" s="185"/>
      <c r="E17" s="179" t="s">
        <v>11</v>
      </c>
      <c r="F17" s="117">
        <v>0.76759999999999995</v>
      </c>
      <c r="G17" s="118">
        <v>0.76539999999999997</v>
      </c>
      <c r="H17" s="118">
        <v>0.76539999999999997</v>
      </c>
      <c r="I17" s="118">
        <v>0.76539999999999997</v>
      </c>
      <c r="J17" s="118">
        <v>0.76539999999999997</v>
      </c>
      <c r="K17" s="119">
        <v>0.77280000000000004</v>
      </c>
      <c r="L17" s="119">
        <v>0.77280000000000004</v>
      </c>
      <c r="M17" s="119">
        <v>0.77280000000000004</v>
      </c>
      <c r="N17" s="120">
        <v>0.78559999999999997</v>
      </c>
      <c r="O17" s="121">
        <v>0.80300000000000005</v>
      </c>
      <c r="S17" s="172" t="s">
        <v>88</v>
      </c>
      <c r="T17" s="175" t="s">
        <v>89</v>
      </c>
      <c r="U17" s="174" t="s">
        <v>90</v>
      </c>
    </row>
    <row r="18" spans="2:21" x14ac:dyDescent="0.2">
      <c r="B18" s="181" t="s">
        <v>21</v>
      </c>
      <c r="C18" s="182" t="str">
        <f>VLOOKUP($B18,$S$3:$U$22,2,FALSE)</f>
        <v xml:space="preserve"> (800, 648)</v>
      </c>
      <c r="D18" s="183" t="str">
        <f>VLOOKUP($B18,$S$3:$U$22,3,FALSE)</f>
        <v>256/64/2/18</v>
      </c>
      <c r="E18" s="180" t="s">
        <v>9</v>
      </c>
      <c r="F18" s="122">
        <v>0.64059999999999995</v>
      </c>
      <c r="G18" s="123">
        <v>0.77159999999999995</v>
      </c>
      <c r="H18" s="124">
        <v>0.76739999999999997</v>
      </c>
      <c r="I18" s="124">
        <v>0.76739999999999997</v>
      </c>
      <c r="J18" s="59">
        <v>0.78779999999999994</v>
      </c>
      <c r="K18" s="104">
        <v>0.77129999999999999</v>
      </c>
      <c r="L18" s="104">
        <v>0.77129999999999999</v>
      </c>
      <c r="M18" s="84">
        <v>0.77139999999999997</v>
      </c>
      <c r="N18" s="47">
        <v>0.27060000000000001</v>
      </c>
      <c r="O18" s="125">
        <v>0.7964</v>
      </c>
      <c r="S18" s="172" t="s">
        <v>76</v>
      </c>
      <c r="T18" s="175" t="s">
        <v>77</v>
      </c>
      <c r="U18" s="174" t="s">
        <v>78</v>
      </c>
    </row>
    <row r="19" spans="2:21" ht="17" thickBot="1" x14ac:dyDescent="0.25">
      <c r="B19" s="184"/>
      <c r="C19" s="169"/>
      <c r="D19" s="185"/>
      <c r="E19" s="179" t="s">
        <v>11</v>
      </c>
      <c r="F19" s="126">
        <v>0.75839999999999996</v>
      </c>
      <c r="G19" s="127">
        <v>0.78410000000000002</v>
      </c>
      <c r="H19" s="128">
        <v>0.78769999999999996</v>
      </c>
      <c r="I19" s="128">
        <v>0.78769999999999996</v>
      </c>
      <c r="J19" s="129">
        <v>0.79869999999999997</v>
      </c>
      <c r="K19" s="52">
        <v>0.79879999999999995</v>
      </c>
      <c r="L19" s="52">
        <v>0.79879999999999995</v>
      </c>
      <c r="M19" s="130">
        <v>0.80010000000000003</v>
      </c>
      <c r="N19" s="80">
        <v>0.3362</v>
      </c>
      <c r="O19" s="131">
        <v>0.59389999999999998</v>
      </c>
      <c r="S19" s="172" t="s">
        <v>34</v>
      </c>
      <c r="T19" s="175" t="s">
        <v>63</v>
      </c>
      <c r="U19" s="174" t="s">
        <v>64</v>
      </c>
    </row>
    <row r="20" spans="2:21" x14ac:dyDescent="0.2">
      <c r="B20" s="181" t="s">
        <v>23</v>
      </c>
      <c r="C20" s="182" t="str">
        <f>VLOOKUP($B20,$S$3:$U$22,2,FALSE)</f>
        <v xml:space="preserve"> (800, 324)</v>
      </c>
      <c r="D20" s="183" t="str">
        <f>VLOOKUP($B20,$S$3:$U$22,3,FALSE)</f>
        <v>256/64/2/9</v>
      </c>
      <c r="E20" s="180" t="s">
        <v>9</v>
      </c>
      <c r="F20" s="91">
        <v>0.31269999999999998</v>
      </c>
      <c r="G20" s="124">
        <v>0.76729999999999998</v>
      </c>
      <c r="H20" s="124">
        <v>0.76729999999999998</v>
      </c>
      <c r="I20" s="124">
        <v>0.76729999999999998</v>
      </c>
      <c r="J20" s="43">
        <v>0.75890000000000002</v>
      </c>
      <c r="K20" s="83">
        <v>0.75480000000000003</v>
      </c>
      <c r="L20" s="83">
        <v>0.75480000000000003</v>
      </c>
      <c r="M20" s="69">
        <v>0.74660000000000004</v>
      </c>
      <c r="N20" s="94">
        <v>0.29349999999999998</v>
      </c>
      <c r="O20" s="95">
        <v>0.27060000000000001</v>
      </c>
      <c r="S20" s="172" t="s">
        <v>39</v>
      </c>
      <c r="T20" s="175" t="s">
        <v>68</v>
      </c>
      <c r="U20" s="174" t="s">
        <v>69</v>
      </c>
    </row>
    <row r="21" spans="2:21" ht="17" thickBot="1" x14ac:dyDescent="0.25">
      <c r="B21" s="184"/>
      <c r="C21" s="169"/>
      <c r="D21" s="185"/>
      <c r="E21" s="179" t="s">
        <v>11</v>
      </c>
      <c r="F21" s="132">
        <v>0.4899</v>
      </c>
      <c r="G21" s="87">
        <v>0.7702</v>
      </c>
      <c r="H21" s="133">
        <v>0.76639999999999997</v>
      </c>
      <c r="I21" s="133">
        <v>0.76639999999999997</v>
      </c>
      <c r="J21" s="134">
        <v>0.77500000000000002</v>
      </c>
      <c r="K21" s="110">
        <v>0.77880000000000005</v>
      </c>
      <c r="L21" s="110">
        <v>0.77880000000000005</v>
      </c>
      <c r="M21" s="110">
        <v>0.77880000000000005</v>
      </c>
      <c r="N21" s="135">
        <v>0.45419999999999999</v>
      </c>
      <c r="O21" s="136">
        <v>0.40649999999999997</v>
      </c>
      <c r="S21" s="172" t="s">
        <v>70</v>
      </c>
      <c r="T21" s="175" t="s">
        <v>71</v>
      </c>
      <c r="U21" s="174" t="s">
        <v>72</v>
      </c>
    </row>
    <row r="22" spans="2:21" ht="17" thickBot="1" x14ac:dyDescent="0.25">
      <c r="B22" s="181" t="s">
        <v>34</v>
      </c>
      <c r="C22" s="182" t="str">
        <f>VLOOKUP($B22,$S$3:$U$22,2,FALSE)</f>
        <v xml:space="preserve"> (800, 98)</v>
      </c>
      <c r="D22" s="183" t="str">
        <f>VLOOKUP($B22,$S$3:$U$22,3,FALSE)</f>
        <v>256/12/96</v>
      </c>
      <c r="E22" s="180" t="s">
        <v>9</v>
      </c>
      <c r="F22" s="137">
        <v>0.40010000000000001</v>
      </c>
      <c r="G22" s="138">
        <v>0.68840000000000001</v>
      </c>
      <c r="H22" s="138">
        <v>0.68840000000000001</v>
      </c>
      <c r="I22" s="138">
        <v>0.68840000000000001</v>
      </c>
      <c r="J22" s="138">
        <v>0.68840000000000001</v>
      </c>
      <c r="K22" s="139">
        <v>0.27929999999999999</v>
      </c>
      <c r="L22" s="139">
        <v>0.27929999999999999</v>
      </c>
      <c r="M22" s="139">
        <v>0.27929999999999999</v>
      </c>
      <c r="N22" s="140">
        <v>0.40010000000000001</v>
      </c>
      <c r="O22" s="95">
        <v>0.27060000000000001</v>
      </c>
      <c r="S22" s="160" t="s">
        <v>32</v>
      </c>
      <c r="T22" s="176" t="s">
        <v>61</v>
      </c>
      <c r="U22" s="177" t="s">
        <v>62</v>
      </c>
    </row>
    <row r="23" spans="2:21" ht="17" thickBot="1" x14ac:dyDescent="0.25">
      <c r="B23" s="184"/>
      <c r="C23" s="169"/>
      <c r="D23" s="185"/>
      <c r="E23" s="179" t="s">
        <v>11</v>
      </c>
      <c r="F23" s="141">
        <v>0.33610000000000001</v>
      </c>
      <c r="G23" s="142">
        <v>0.67859999999999998</v>
      </c>
      <c r="H23" s="142">
        <v>0.67859999999999998</v>
      </c>
      <c r="I23" s="142">
        <v>0.67859999999999998</v>
      </c>
      <c r="J23" s="143">
        <v>0.68110000000000004</v>
      </c>
      <c r="K23" s="144">
        <v>0.31509999999999999</v>
      </c>
      <c r="L23" s="144">
        <v>0.31509999999999999</v>
      </c>
      <c r="M23" s="144">
        <v>0.31509999999999999</v>
      </c>
      <c r="N23" s="80">
        <v>0.33610000000000001</v>
      </c>
      <c r="O23" s="145">
        <v>0.314</v>
      </c>
    </row>
    <row r="24" spans="2:21" x14ac:dyDescent="0.2">
      <c r="B24" s="181" t="s">
        <v>39</v>
      </c>
      <c r="C24" s="182" t="str">
        <f>VLOOKUP($B24,$S$3:$U$22,2,FALSE)</f>
        <v xml:space="preserve"> (800, 194)</v>
      </c>
      <c r="D24" s="183" t="str">
        <f>VLOOKUP($B24,$S$3:$U$22,3,FALSE)</f>
        <v>256/24/192</v>
      </c>
      <c r="E24" s="180" t="s">
        <v>9</v>
      </c>
      <c r="F24" s="137">
        <v>0.40010000000000001</v>
      </c>
      <c r="G24" s="146">
        <v>0.69669999999999999</v>
      </c>
      <c r="H24" s="146">
        <v>0.69669999999999999</v>
      </c>
      <c r="I24" s="146">
        <v>0.69669999999999999</v>
      </c>
      <c r="J24" s="147">
        <v>0.6925</v>
      </c>
      <c r="K24" s="47">
        <v>0.27060000000000001</v>
      </c>
      <c r="L24" s="47">
        <v>0.27060000000000001</v>
      </c>
      <c r="M24" s="47">
        <v>0.27060000000000001</v>
      </c>
      <c r="N24" s="140">
        <v>0.40010000000000001</v>
      </c>
      <c r="O24" s="95">
        <v>0.27060000000000001</v>
      </c>
    </row>
    <row r="25" spans="2:21" ht="17" thickBot="1" x14ac:dyDescent="0.25">
      <c r="B25" s="184"/>
      <c r="C25" s="169"/>
      <c r="D25" s="185"/>
      <c r="E25" s="179" t="s">
        <v>11</v>
      </c>
      <c r="F25" s="141">
        <v>0.33610000000000001</v>
      </c>
      <c r="G25" s="148">
        <v>0.68830000000000002</v>
      </c>
      <c r="H25" s="148">
        <v>0.68830000000000002</v>
      </c>
      <c r="I25" s="148">
        <v>0.68830000000000002</v>
      </c>
      <c r="J25" s="148">
        <v>0.68820000000000003</v>
      </c>
      <c r="K25" s="149">
        <v>0.32100000000000001</v>
      </c>
      <c r="L25" s="149">
        <v>0.32100000000000001</v>
      </c>
      <c r="M25" s="149">
        <v>0.32100000000000001</v>
      </c>
      <c r="N25" s="80">
        <v>0.33610000000000001</v>
      </c>
      <c r="O25" s="150">
        <v>0.36649999999999999</v>
      </c>
    </row>
    <row r="26" spans="2:21" x14ac:dyDescent="0.2">
      <c r="B26" s="181" t="s">
        <v>32</v>
      </c>
      <c r="C26" s="182" t="str">
        <f>VLOOKUP($B26,$S$3:$U$22,2,FALSE)</f>
        <v xml:space="preserve"> (800, 50)</v>
      </c>
      <c r="D26" s="183" t="str">
        <f>VLOOKUP($B26,$S$3:$U$22,3,FALSE)</f>
        <v>256/6/48</v>
      </c>
      <c r="E26" s="178" t="s">
        <v>9</v>
      </c>
      <c r="F26" s="151">
        <v>0.27060000000000001</v>
      </c>
      <c r="G26" s="152">
        <v>0.65800000000000003</v>
      </c>
      <c r="H26" s="152">
        <v>0.65800000000000003</v>
      </c>
      <c r="I26" s="152">
        <v>0.65800000000000003</v>
      </c>
      <c r="J26" s="152">
        <v>0.65800000000000003</v>
      </c>
      <c r="K26" s="47">
        <v>0.27060000000000001</v>
      </c>
      <c r="L26" s="47">
        <v>0.27060000000000001</v>
      </c>
      <c r="M26" s="47">
        <v>0.27060000000000001</v>
      </c>
      <c r="N26" s="47">
        <v>0.27060000000000001</v>
      </c>
      <c r="O26" s="95">
        <v>0.27060000000000001</v>
      </c>
    </row>
    <row r="27" spans="2:21" ht="17" thickBot="1" x14ac:dyDescent="0.25">
      <c r="B27" s="184"/>
      <c r="C27" s="169"/>
      <c r="D27" s="185"/>
      <c r="E27" s="179" t="s">
        <v>11</v>
      </c>
      <c r="F27" s="141">
        <v>0.3362</v>
      </c>
      <c r="G27" s="154">
        <v>0.6633</v>
      </c>
      <c r="H27" s="154">
        <v>0.6633</v>
      </c>
      <c r="I27" s="154">
        <v>0.6633</v>
      </c>
      <c r="J27" s="154">
        <v>0.66339999999999999</v>
      </c>
      <c r="K27" s="155">
        <v>0.46989999999999998</v>
      </c>
      <c r="L27" s="155">
        <v>0.46989999999999998</v>
      </c>
      <c r="M27" s="155">
        <v>0.46989999999999998</v>
      </c>
      <c r="N27" s="80">
        <v>0.3362</v>
      </c>
      <c r="O27" s="156">
        <v>0.30020000000000002</v>
      </c>
    </row>
    <row r="28" spans="2:21" x14ac:dyDescent="0.2">
      <c r="B28" s="153"/>
      <c r="C28" s="153"/>
      <c r="D28" s="153"/>
      <c r="E28" s="159" t="s">
        <v>45</v>
      </c>
      <c r="F28" s="157">
        <v>0.79259999999999997</v>
      </c>
      <c r="G28" s="157">
        <v>0.78410000000000002</v>
      </c>
      <c r="H28" s="157">
        <v>0.78769999999999996</v>
      </c>
      <c r="I28" s="157">
        <v>0.78769999999999996</v>
      </c>
      <c r="J28" s="157">
        <v>0.79869999999999997</v>
      </c>
      <c r="K28" s="157">
        <v>0.79879999999999995</v>
      </c>
      <c r="L28" s="157">
        <v>0.79879999999999995</v>
      </c>
      <c r="M28" s="157">
        <v>0.80879999999999996</v>
      </c>
      <c r="N28" s="157">
        <v>0.78559999999999997</v>
      </c>
      <c r="O28" s="158">
        <v>0.81310000000000004</v>
      </c>
    </row>
    <row r="29" spans="2:21" x14ac:dyDescent="0.2">
      <c r="B29" s="153"/>
      <c r="C29" s="153"/>
      <c r="D29" s="153"/>
      <c r="E29" s="159" t="s">
        <v>43</v>
      </c>
      <c r="F29" s="157">
        <v>0.59419999999999995</v>
      </c>
      <c r="G29" s="157">
        <v>0.74150000000000005</v>
      </c>
      <c r="H29" s="157">
        <v>0.74139999999999995</v>
      </c>
      <c r="I29" s="157">
        <v>0.74139999999999995</v>
      </c>
      <c r="J29" s="157">
        <v>0.74380000000000002</v>
      </c>
      <c r="K29" s="157">
        <v>0.65810000000000002</v>
      </c>
      <c r="L29" s="157">
        <v>0.65969999999999995</v>
      </c>
      <c r="M29" s="157">
        <v>0.66120000000000001</v>
      </c>
      <c r="N29" s="157">
        <v>0.44269999999999998</v>
      </c>
      <c r="O29" s="158">
        <v>0.57620000000000005</v>
      </c>
    </row>
    <row r="30" spans="2:21" ht="17" thickBot="1" x14ac:dyDescent="0.25">
      <c r="B30" s="153"/>
      <c r="C30" s="153"/>
      <c r="D30" s="153"/>
      <c r="E30" s="161" t="s">
        <v>44</v>
      </c>
      <c r="F30" s="162">
        <v>0.1978</v>
      </c>
      <c r="G30" s="162">
        <v>3.9E-2</v>
      </c>
      <c r="H30" s="162">
        <v>3.8899999999999997E-2</v>
      </c>
      <c r="I30" s="162">
        <v>3.8899999999999997E-2</v>
      </c>
      <c r="J30" s="162">
        <v>4.0599999999999997E-2</v>
      </c>
      <c r="K30" s="162">
        <v>0.19800000000000001</v>
      </c>
      <c r="L30" s="162">
        <v>0.1991</v>
      </c>
      <c r="M30" s="162">
        <v>0.2001</v>
      </c>
      <c r="N30" s="162">
        <v>0.19769999999999999</v>
      </c>
      <c r="O30" s="163">
        <v>0.22420000000000001</v>
      </c>
    </row>
    <row r="31" spans="2:21" x14ac:dyDescent="0.2"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</row>
    <row r="32" spans="2:21" x14ac:dyDescent="0.2">
      <c r="B32" s="164" t="s">
        <v>1</v>
      </c>
      <c r="C32" s="165" t="s">
        <v>42</v>
      </c>
      <c r="D32" s="153"/>
      <c r="E32" s="153"/>
      <c r="F32" s="153"/>
      <c r="G32" s="153"/>
      <c r="H32" s="153"/>
      <c r="I32" s="153"/>
      <c r="J32" s="153"/>
      <c r="K32" s="153"/>
      <c r="L32" s="153"/>
      <c r="M32" s="153"/>
    </row>
    <row r="33" spans="2:13" x14ac:dyDescent="0.2">
      <c r="B33" s="166">
        <v>1</v>
      </c>
      <c r="C33" s="167" t="s">
        <v>8</v>
      </c>
      <c r="D33" s="167"/>
      <c r="E33" s="167"/>
      <c r="F33" s="167"/>
      <c r="G33" s="167"/>
      <c r="H33" s="167"/>
      <c r="I33" s="167"/>
      <c r="J33" s="167"/>
      <c r="K33" s="167"/>
      <c r="L33" s="167"/>
      <c r="M33" s="167"/>
    </row>
    <row r="34" spans="2:13" x14ac:dyDescent="0.2">
      <c r="B34" s="166">
        <v>2</v>
      </c>
      <c r="C34" s="167" t="s">
        <v>12</v>
      </c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x14ac:dyDescent="0.2">
      <c r="B35" s="166">
        <v>3</v>
      </c>
      <c r="C35" s="167" t="s">
        <v>13</v>
      </c>
      <c r="D35" s="167"/>
      <c r="E35" s="167"/>
      <c r="F35" s="167"/>
      <c r="G35" s="167"/>
      <c r="H35" s="167"/>
      <c r="I35" s="167"/>
      <c r="J35" s="167"/>
      <c r="K35" s="167"/>
      <c r="L35" s="167"/>
      <c r="M35" s="167"/>
    </row>
    <row r="36" spans="2:13" x14ac:dyDescent="0.2">
      <c r="B36" s="166">
        <v>4</v>
      </c>
      <c r="C36" s="167" t="s">
        <v>14</v>
      </c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x14ac:dyDescent="0.2">
      <c r="B37" s="166">
        <v>5</v>
      </c>
      <c r="C37" s="167" t="s">
        <v>15</v>
      </c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38" spans="2:13" x14ac:dyDescent="0.2">
      <c r="B38" s="166">
        <v>6</v>
      </c>
      <c r="C38" s="167" t="s">
        <v>16</v>
      </c>
      <c r="D38" s="167"/>
      <c r="E38" s="167"/>
      <c r="F38" s="167"/>
      <c r="G38" s="167"/>
      <c r="H38" s="167"/>
      <c r="I38" s="167"/>
      <c r="J38" s="167"/>
      <c r="K38" s="167"/>
      <c r="L38" s="167"/>
      <c r="M38" s="167"/>
    </row>
    <row r="39" spans="2:13" x14ac:dyDescent="0.2">
      <c r="B39" s="166">
        <v>7</v>
      </c>
      <c r="C39" s="167" t="s">
        <v>17</v>
      </c>
      <c r="D39" s="167"/>
      <c r="E39" s="167"/>
      <c r="F39" s="167"/>
      <c r="G39" s="167"/>
      <c r="H39" s="167"/>
      <c r="I39" s="167"/>
      <c r="J39" s="167"/>
      <c r="K39" s="167"/>
      <c r="L39" s="167"/>
      <c r="M39" s="167"/>
    </row>
    <row r="40" spans="2:13" x14ac:dyDescent="0.2">
      <c r="B40" s="166">
        <v>8</v>
      </c>
      <c r="C40" s="167" t="s">
        <v>18</v>
      </c>
      <c r="D40" s="167"/>
      <c r="E40" s="167"/>
      <c r="F40" s="167"/>
      <c r="G40" s="167"/>
      <c r="H40" s="167"/>
      <c r="I40" s="167"/>
      <c r="J40" s="167"/>
      <c r="K40" s="167"/>
      <c r="L40" s="167"/>
      <c r="M40" s="167"/>
    </row>
    <row r="41" spans="2:13" x14ac:dyDescent="0.2">
      <c r="B41" s="166">
        <v>9</v>
      </c>
      <c r="C41" s="167" t="s">
        <v>19</v>
      </c>
      <c r="D41" s="167"/>
      <c r="E41" s="167"/>
      <c r="F41" s="167"/>
      <c r="G41" s="167"/>
      <c r="H41" s="167"/>
      <c r="I41" s="167"/>
      <c r="J41" s="167"/>
      <c r="K41" s="167"/>
      <c r="L41" s="167"/>
      <c r="M41" s="167"/>
    </row>
    <row r="42" spans="2:13" x14ac:dyDescent="0.2">
      <c r="B42" s="166">
        <v>10</v>
      </c>
      <c r="C42" s="167" t="s">
        <v>20</v>
      </c>
      <c r="D42" s="167"/>
      <c r="E42" s="167"/>
      <c r="F42" s="167"/>
      <c r="G42" s="167"/>
      <c r="H42" s="167"/>
      <c r="I42" s="167"/>
      <c r="J42" s="167"/>
      <c r="K42" s="167"/>
      <c r="L42" s="167"/>
      <c r="M42" s="167"/>
    </row>
  </sheetData>
  <autoFilter ref="S2:U22" xr:uid="{107D6D7B-CD8A-864E-9B12-84EC7CB3D5F6}">
    <sortState xmlns:xlrd2="http://schemas.microsoft.com/office/spreadsheetml/2017/richdata2" ref="S3:U22">
      <sortCondition ref="S2:S22"/>
    </sortState>
  </autoFilter>
  <mergeCells count="10">
    <mergeCell ref="C39:M39"/>
    <mergeCell ref="C40:M40"/>
    <mergeCell ref="C41:M41"/>
    <mergeCell ref="C42:M42"/>
    <mergeCell ref="C33:M33"/>
    <mergeCell ref="C34:M34"/>
    <mergeCell ref="C35:M35"/>
    <mergeCell ref="C36:M36"/>
    <mergeCell ref="C37:M37"/>
    <mergeCell ref="C38:M38"/>
  </mergeCells>
  <pageMargins left="0.511811024" right="0.511811024" top="0.78740157499999996" bottom="0.78740157499999996" header="0.31496062000000002" footer="0.31496062000000002"/>
  <pageSetup paperSize="9" scale="7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TabelaDinamica</vt:lpstr>
      <vt:lpstr>DadosCrus</vt:lpstr>
      <vt:lpstr>PDF</vt:lpstr>
      <vt:lpstr>PDF!Area_de_impressao</vt:lpstr>
      <vt:lpstr>TabelaDinamica!Area_de_impressao</vt:lpstr>
      <vt:lpstr>DadosCrus!mlp_avaliacao_resultados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César Faria</dc:creator>
  <cp:lastModifiedBy>Gil César Faria</cp:lastModifiedBy>
  <cp:lastPrinted>2025-10-18T19:31:06Z</cp:lastPrinted>
  <dcterms:created xsi:type="dcterms:W3CDTF">2025-10-18T18:59:47Z</dcterms:created>
  <dcterms:modified xsi:type="dcterms:W3CDTF">2025-10-18T19:39:36Z</dcterms:modified>
</cp:coreProperties>
</file>