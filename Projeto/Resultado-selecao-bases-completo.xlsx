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lcesarf/git/repositories/imd/imd3002-202502/Projeto/"/>
    </mc:Choice>
  </mc:AlternateContent>
  <xr:revisionPtr revIDLastSave="0" documentId="13_ncr:1_{35473DB2-D665-9347-B0D2-A6B539C5D178}" xr6:coauthVersionLast="47" xr6:coauthVersionMax="47" xr10:uidLastSave="{00000000-0000-0000-0000-000000000000}"/>
  <bookViews>
    <workbookView xWindow="-38240" yWindow="1240" windowWidth="35900" windowHeight="21100" activeTab="1" xr2:uid="{4D4EBF4B-F967-A043-969D-38DBD308B808}"/>
  </bookViews>
  <sheets>
    <sheet name="Planilha3" sheetId="4" r:id="rId1"/>
    <sheet name="Apresentacao" sheetId="3" r:id="rId2"/>
    <sheet name="Planilha2" sheetId="2" r:id="rId3"/>
  </sheets>
  <definedNames>
    <definedName name="tabela_f1_scores_para_excel" localSheetId="1">Apresentacao!$C$3:$R$61</definedName>
    <definedName name="tabela_f1_scores_para_excel" localSheetId="2">Planilha2!$B$3:$N$43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" l="1"/>
  <c r="G42" i="3"/>
  <c r="H40" i="3"/>
  <c r="G40" i="3"/>
  <c r="H38" i="3"/>
  <c r="G38" i="3"/>
  <c r="H36" i="3"/>
  <c r="G36" i="3"/>
  <c r="H34" i="3"/>
  <c r="G34" i="3"/>
  <c r="H32" i="3"/>
  <c r="G32" i="3"/>
  <c r="H30" i="3"/>
  <c r="G30" i="3"/>
  <c r="H28" i="3"/>
  <c r="G28" i="3"/>
  <c r="H26" i="3"/>
  <c r="G26" i="3"/>
  <c r="H24" i="3"/>
  <c r="G24" i="3"/>
  <c r="H22" i="3"/>
  <c r="G22" i="3"/>
  <c r="H20" i="3"/>
  <c r="G20" i="3"/>
  <c r="H18" i="3"/>
  <c r="G18" i="3"/>
  <c r="H16" i="3"/>
  <c r="G16" i="3"/>
  <c r="H14" i="3"/>
  <c r="G14" i="3"/>
  <c r="H12" i="3"/>
  <c r="G12" i="3"/>
  <c r="H10" i="3"/>
  <c r="G10" i="3"/>
  <c r="H8" i="3"/>
  <c r="G8" i="3"/>
  <c r="H6" i="3"/>
  <c r="G6" i="3"/>
  <c r="H4" i="3"/>
  <c r="G4" i="3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Z21" i="2"/>
  <c r="Z20" i="2"/>
  <c r="Z22" i="2"/>
  <c r="Z15" i="2"/>
  <c r="Z18" i="2"/>
  <c r="Z16" i="2"/>
  <c r="Z11" i="2"/>
  <c r="Z13" i="2"/>
  <c r="Z17" i="2"/>
  <c r="Z12" i="2"/>
  <c r="Z19" i="2"/>
  <c r="Z14" i="2"/>
  <c r="Z6" i="2"/>
  <c r="Z8" i="2"/>
  <c r="Z10" i="2"/>
  <c r="Z5" i="2"/>
  <c r="Z9" i="2"/>
  <c r="Z7" i="2"/>
  <c r="Z4" i="2"/>
  <c r="Z2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F30932-CF2E-EA45-B2F4-967237960254}" name="tabela_f1_scores_para_excel" type="6" refreshedVersion="8" background="1" saveData="1">
    <textPr sourceFile="/Users/gilcesarf/git/repositories/imd/imd3002-202502/Aula14/tabela_f1_scores_para_excel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0DDBE3FE-0C1B-7349-BD2E-CC1022D11453}" name="tabela_f1_scores_para_excel1" type="6" refreshedVersion="8" background="1" saveData="1">
    <textPr sourceFile="/Users/gilcesarf/git/repositories/imd/imd3002-202502/Aula14/tabela_f1_scores_para_excel.csv" tab="0" semicolon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<sst xmlns="http://schemas.openxmlformats.org/spreadsheetml/2006/main" count="209" uniqueCount="82">
  <si>
    <t>Dataset</t>
  </si>
  <si>
    <t>Tipo</t>
  </si>
  <si>
    <t>K=1</t>
  </si>
  <si>
    <t>K=2</t>
  </si>
  <si>
    <t>K=3</t>
  </si>
  <si>
    <t>K=4</t>
  </si>
  <si>
    <t>K=5</t>
  </si>
  <si>
    <t>K=6</t>
  </si>
  <si>
    <t>K=7</t>
  </si>
  <si>
    <t>K=8</t>
  </si>
  <si>
    <t>K=9</t>
  </si>
  <si>
    <t>K=10</t>
  </si>
  <si>
    <t>hogfeat_128_16_2_9_pca</t>
  </si>
  <si>
    <t>hogfeat_128_32_2_9</t>
  </si>
  <si>
    <t>hogfeat_256_32_2_9</t>
  </si>
  <si>
    <t>hogfeat_256_64_2_9</t>
  </si>
  <si>
    <t>lbpfeat_256_12_96</t>
  </si>
  <si>
    <t>hogfeat_128_16_2_9</t>
  </si>
  <si>
    <t>hogfeat_128_8_2_9_pca</t>
  </si>
  <si>
    <t>hogfeat_256_4_2_9_pca</t>
  </si>
  <si>
    <t>hogfeat_256_8_2_9_pca</t>
  </si>
  <si>
    <t>lbpfeat_256_24_192</t>
  </si>
  <si>
    <t>hogfeat_128_16_4_9_pca</t>
  </si>
  <si>
    <t>hogfeat_128_8_2_9</t>
  </si>
  <si>
    <t>hogfeat_256_4_2_9</t>
  </si>
  <si>
    <t>hogfeat_256_8_2_9</t>
  </si>
  <si>
    <t>lbpfeat_256_3_24</t>
  </si>
  <si>
    <t>hogfeat_128_16_4_9</t>
  </si>
  <si>
    <t>hogfeat_256_32_2_9_pca</t>
  </si>
  <si>
    <t>hogfeat_256_64_2_18</t>
  </si>
  <si>
    <t>lbpfeat_256_1_8</t>
  </si>
  <si>
    <t>lbpfeat_256_6_48</t>
  </si>
  <si>
    <t>Média</t>
  </si>
  <si>
    <t>Desvio Padrao</t>
  </si>
  <si>
    <t>Holdout (90/10)</t>
  </si>
  <si>
    <t>kFold (n=10)</t>
  </si>
  <si>
    <t>LBP: Resolução/Raio/Pontos</t>
  </si>
  <si>
    <t>Caracteristicas da extração</t>
  </si>
  <si>
    <t xml:space="preserve"> (800, 117)</t>
  </si>
  <si>
    <t xml:space="preserve"> (800, 324)</t>
  </si>
  <si>
    <t xml:space="preserve"> (800, 1764)</t>
  </si>
  <si>
    <t xml:space="preserve"> (800, 98)</t>
  </si>
  <si>
    <t xml:space="preserve"> (800, 287)</t>
  </si>
  <si>
    <t xml:space="preserve"> (800, 507)</t>
  </si>
  <si>
    <t xml:space="preserve"> (800, 394)</t>
  </si>
  <si>
    <t xml:space="preserve"> (800, 194)</t>
  </si>
  <si>
    <t xml:space="preserve"> (800, 103)</t>
  </si>
  <si>
    <t xml:space="preserve"> (800, 8100)</t>
  </si>
  <si>
    <t xml:space="preserve"> (800, 142884)</t>
  </si>
  <si>
    <t xml:space="preserve"> (800, 34596)</t>
  </si>
  <si>
    <t xml:space="preserve"> (800, 26)</t>
  </si>
  <si>
    <t xml:space="preserve"> (800, 3600)</t>
  </si>
  <si>
    <t xml:space="preserve"> (800, 93)</t>
  </si>
  <si>
    <t xml:space="preserve"> (800, 648)</t>
  </si>
  <si>
    <t xml:space="preserve"> (800, 10)</t>
  </si>
  <si>
    <t xml:space="preserve"> (800, 50)</t>
  </si>
  <si>
    <t>Shape (linhas, colunas)</t>
  </si>
  <si>
    <t>128/16/4/9/pca</t>
  </si>
  <si>
    <t>256/64/2/18</t>
  </si>
  <si>
    <t>256/64/2/9</t>
  </si>
  <si>
    <t>128/16/4/9</t>
  </si>
  <si>
    <t>256/32/2/9/pca</t>
  </si>
  <si>
    <t>128/16/2/9/pca</t>
  </si>
  <si>
    <t>128/32/2/9</t>
  </si>
  <si>
    <t>256/6/48</t>
  </si>
  <si>
    <t>256/12/96</t>
  </si>
  <si>
    <t>256/32/2/9</t>
  </si>
  <si>
    <t>128/16/2/9</t>
  </si>
  <si>
    <t>256/24/192</t>
  </si>
  <si>
    <t>256/3/24</t>
  </si>
  <si>
    <t>128/8/2/9</t>
  </si>
  <si>
    <t>256/1/8</t>
  </si>
  <si>
    <t>128/8/2/9/pca</t>
  </si>
  <si>
    <t>256/4/2/9</t>
  </si>
  <si>
    <t>256/8/2/9</t>
  </si>
  <si>
    <t>256/8/2/9/pca</t>
  </si>
  <si>
    <t>256/4/2/9/pca</t>
  </si>
  <si>
    <t>HOG: Resolução/Pixels per Cell/Cells per Block/Orientations/PCA</t>
  </si>
  <si>
    <t>(linhas, colunas)</t>
  </si>
  <si>
    <t>Tipo de Treinamento</t>
  </si>
  <si>
    <t>Nº</t>
  </si>
  <si>
    <t>Desvio Padrão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</si>
</sst>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00_-;\-* #,##0.000000_-;_-* &quot;-&quot;??_-;_-@_-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Menlo"/>
      <family val="2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2" fillId="0" borderId="0" xfId="0" applyFont="1"/>
    <xf numFmtId="0" fontId="3" fillId="0" borderId="0" xfId="0" applyFont="1"/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164" fontId="0" fillId="0" borderId="5" xfId="1" applyNumberFormat="1" applyFont="1" applyBorder="1"/>
    <xf numFmtId="164" fontId="0" fillId="0" borderId="0" xfId="1" applyNumberFormat="1" applyFont="1" applyBorder="1"/>
    <xf numFmtId="164" fontId="0" fillId="0" borderId="6" xfId="1" applyNumberFormat="1" applyFont="1" applyBorder="1"/>
    <xf numFmtId="164" fontId="0" fillId="0" borderId="5" xfId="1" applyNumberFormat="1" applyFon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164" fontId="0" fillId="0" borderId="7" xfId="1" applyNumberFormat="1" applyFont="1" applyBorder="1"/>
    <xf numFmtId="164" fontId="0" fillId="0" borderId="8" xfId="1" applyNumberFormat="1" applyFont="1" applyBorder="1"/>
    <xf numFmtId="164" fontId="0" fillId="0" borderId="9" xfId="1" applyNumberFormat="1" applyFont="1" applyBorder="1"/>
    <xf numFmtId="164" fontId="0" fillId="0" borderId="7" xfId="1" applyNumberFormat="1" applyFont="1" applyBorder="1" applyAlignment="1">
      <alignment horizontal="center" vertical="center"/>
    </xf>
    <xf numFmtId="164" fontId="0" fillId="0" borderId="9" xfId="1" applyNumberFormat="1" applyFont="1" applyBorder="1" applyAlignment="1">
      <alignment horizontal="center" vertical="center"/>
    </xf>
    <xf numFmtId="0" fontId="4" fillId="0" borderId="0" xfId="0" applyFont="1"/>
    <xf numFmtId="0" fontId="4" fillId="0" borderId="16" xfId="0" applyFont="1" applyBorder="1"/>
    <xf numFmtId="0" fontId="0" fillId="2" borderId="13" xfId="0" applyFill="1" applyBorder="1"/>
    <xf numFmtId="164" fontId="0" fillId="0" borderId="2" xfId="1" applyNumberFormat="1" applyFont="1" applyBorder="1"/>
    <xf numFmtId="164" fontId="0" fillId="0" borderId="3" xfId="1" applyNumberFormat="1" applyFont="1" applyBorder="1"/>
    <xf numFmtId="164" fontId="0" fillId="0" borderId="4" xfId="1" applyNumberFormat="1" applyFont="1" applyBorder="1"/>
    <xf numFmtId="0" fontId="0" fillId="0" borderId="1" xfId="0" applyBorder="1"/>
    <xf numFmtId="0" fontId="0" fillId="0" borderId="0" xfId="0" applyAlignment="1">
      <alignment horizontal="right" vertical="center"/>
    </xf>
    <xf numFmtId="0" fontId="0" fillId="0" borderId="11" xfId="0" applyBorder="1"/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abela_f1_scores_para_excel" connectionId="2" xr16:uid="{2177B2AE-C94D-BA48-9951-1FB9960222D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abela_f1_scores_para_excel" connectionId="1" xr16:uid="{DD9EB928-1CEC-4846-8A96-A732C64E8A3F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4BF4A-F220-C54C-966C-A6FFA3FAF856}">
  <dimension ref="A1"/>
  <sheetViews>
    <sheetView workbookViewId="0">
      <selection activeCell="A3" sqref="A3"/>
    </sheetView>
  </sheetViews>
  <sheetFormatPr baseColWidth="10" defaultRowHeight="16" x14ac:dyDescent="0.2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6F520-A85C-0B49-B0FD-013FC503CE28}">
  <dimension ref="B2:R70"/>
  <sheetViews>
    <sheetView tabSelected="1" zoomScale="150" zoomScaleNormal="150" workbookViewId="0">
      <pane xSplit="1" ySplit="3" topLeftCell="B24" activePane="bottomRight" state="frozen"/>
      <selection pane="topRight" activeCell="B1" sqref="B1"/>
      <selection pane="bottomLeft" activeCell="A4" sqref="A4"/>
      <selection pane="bottomRight" activeCell="C46" sqref="C46:E46"/>
    </sheetView>
  </sheetViews>
  <sheetFormatPr baseColWidth="10" defaultRowHeight="16" x14ac:dyDescent="0.2"/>
  <cols>
    <col min="2" max="2" width="3.33203125" bestFit="1" customWidth="1"/>
    <col min="3" max="3" width="21.6640625" bestFit="1" customWidth="1"/>
    <col min="4" max="4" width="14.5" bestFit="1" customWidth="1"/>
    <col min="5" max="5" width="23.33203125" bestFit="1" customWidth="1"/>
    <col min="6" max="6" width="17.5" bestFit="1" customWidth="1"/>
    <col min="7" max="7" width="10.6640625" bestFit="1" customWidth="1"/>
    <col min="8" max="8" width="12.6640625" bestFit="1" customWidth="1"/>
    <col min="9" max="9" width="10.6640625" customWidth="1"/>
    <col min="10" max="18" width="10.83203125" customWidth="1"/>
  </cols>
  <sheetData>
    <row r="2" spans="2:18" ht="17" thickBot="1" x14ac:dyDescent="0.25">
      <c r="G2" s="44"/>
      <c r="H2" s="44"/>
    </row>
    <row r="3" spans="2:18" ht="17" thickBot="1" x14ac:dyDescent="0.25">
      <c r="B3" s="34" t="s">
        <v>80</v>
      </c>
      <c r="C3" s="13" t="s">
        <v>0</v>
      </c>
      <c r="D3" s="36" t="s">
        <v>78</v>
      </c>
      <c r="E3" s="37" t="s">
        <v>37</v>
      </c>
      <c r="F3" s="17" t="s">
        <v>79</v>
      </c>
      <c r="G3" s="37" t="s">
        <v>32</v>
      </c>
      <c r="H3" s="37" t="s">
        <v>81</v>
      </c>
      <c r="I3" s="2" t="s">
        <v>2</v>
      </c>
      <c r="J3" s="3" t="s">
        <v>3</v>
      </c>
      <c r="K3" s="3" t="s">
        <v>4</v>
      </c>
      <c r="L3" s="3" t="s">
        <v>5</v>
      </c>
      <c r="M3" s="3" t="s">
        <v>6</v>
      </c>
      <c r="N3" s="3" t="s">
        <v>7</v>
      </c>
      <c r="O3" s="3" t="s">
        <v>8</v>
      </c>
      <c r="P3" s="3" t="s">
        <v>9</v>
      </c>
      <c r="Q3" s="3" t="s">
        <v>10</v>
      </c>
      <c r="R3" s="4" t="s">
        <v>11</v>
      </c>
    </row>
    <row r="4" spans="2:18" x14ac:dyDescent="0.2">
      <c r="B4" s="40">
        <v>1</v>
      </c>
      <c r="C4" s="40" t="s">
        <v>22</v>
      </c>
      <c r="D4" s="42" t="s">
        <v>46</v>
      </c>
      <c r="E4" s="42" t="s">
        <v>57</v>
      </c>
      <c r="F4" s="38" t="s">
        <v>34</v>
      </c>
      <c r="G4" s="45">
        <f>AVERAGE(I4:R5)</f>
        <v>0.75214080273985928</v>
      </c>
      <c r="H4" s="46">
        <f>_xlfn.STDEV.S(I4:R5)</f>
        <v>2.0339823565443751E-2</v>
      </c>
      <c r="I4" s="31">
        <v>0.76066761139977901</v>
      </c>
      <c r="J4" s="32">
        <v>0.74937343358395903</v>
      </c>
      <c r="K4" s="32">
        <v>0.72222222222222199</v>
      </c>
      <c r="L4" s="32">
        <v>0.73713033953997797</v>
      </c>
      <c r="M4" s="32">
        <v>0.78477607216331702</v>
      </c>
      <c r="N4" s="32">
        <v>0.72499999999999998</v>
      </c>
      <c r="O4" s="32">
        <v>0.77142857142857102</v>
      </c>
      <c r="P4" s="32">
        <v>0.71209513378188005</v>
      </c>
      <c r="Q4" s="32">
        <v>0.73413514796644996</v>
      </c>
      <c r="R4" s="33">
        <v>0.73547472838923</v>
      </c>
    </row>
    <row r="5" spans="2:18" ht="17" thickBot="1" x14ac:dyDescent="0.25">
      <c r="B5" s="41"/>
      <c r="C5" s="41"/>
      <c r="D5" s="43"/>
      <c r="E5" s="43"/>
      <c r="F5" s="39" t="s">
        <v>35</v>
      </c>
      <c r="G5" s="43"/>
      <c r="H5" s="47"/>
      <c r="I5" s="23">
        <v>0.74555114373680298</v>
      </c>
      <c r="J5" s="24">
        <v>0.75301319883009299</v>
      </c>
      <c r="K5" s="24">
        <v>0.75840360232735105</v>
      </c>
      <c r="L5" s="24">
        <v>0.78818371028133505</v>
      </c>
      <c r="M5" s="24">
        <v>0.76308963371300997</v>
      </c>
      <c r="N5" s="24">
        <v>0.77365976083283605</v>
      </c>
      <c r="O5" s="24">
        <v>0.76057219181573799</v>
      </c>
      <c r="P5" s="24">
        <v>0.76238088269638105</v>
      </c>
      <c r="Q5" s="24">
        <v>0.74452259594734305</v>
      </c>
      <c r="R5" s="25">
        <v>0.761136074140913</v>
      </c>
    </row>
    <row r="6" spans="2:18" x14ac:dyDescent="0.2">
      <c r="B6" s="40">
        <v>2</v>
      </c>
      <c r="C6" s="40" t="s">
        <v>29</v>
      </c>
      <c r="D6" s="42" t="s">
        <v>53</v>
      </c>
      <c r="E6" s="42" t="s">
        <v>58</v>
      </c>
      <c r="F6" s="38" t="s">
        <v>34</v>
      </c>
      <c r="G6" s="45">
        <f>AVERAGE(I6:R7)</f>
        <v>0.72571687952600761</v>
      </c>
      <c r="H6" s="46">
        <f>_xlfn.STDEV.S(I6:R7)</f>
        <v>2.6901647747562717E-2</v>
      </c>
      <c r="I6" s="31">
        <v>0.69309462915600994</v>
      </c>
      <c r="J6" s="32">
        <v>0.68627450980392102</v>
      </c>
      <c r="K6" s="32">
        <v>0.71354166666666596</v>
      </c>
      <c r="L6" s="32">
        <v>0.68508896236813099</v>
      </c>
      <c r="M6" s="32">
        <v>0.71354166666666596</v>
      </c>
      <c r="N6" s="32">
        <v>0.73413514796644996</v>
      </c>
      <c r="O6" s="32">
        <v>0.71631205673758802</v>
      </c>
      <c r="P6" s="32">
        <v>0.70470229497672898</v>
      </c>
      <c r="Q6" s="32">
        <v>0.684002633311389</v>
      </c>
      <c r="R6" s="33">
        <v>0.71354166666666596</v>
      </c>
    </row>
    <row r="7" spans="2:18" ht="17" thickBot="1" x14ac:dyDescent="0.25">
      <c r="B7" s="41"/>
      <c r="C7" s="41"/>
      <c r="D7" s="43"/>
      <c r="E7" s="43"/>
      <c r="F7" s="39" t="s">
        <v>35</v>
      </c>
      <c r="G7" s="43"/>
      <c r="H7" s="47"/>
      <c r="I7" s="23">
        <v>0.74345212664326898</v>
      </c>
      <c r="J7" s="24">
        <v>0.72648747807478697</v>
      </c>
      <c r="K7" s="24">
        <v>0.73242175559093003</v>
      </c>
      <c r="L7" s="24">
        <v>0.75639466046006099</v>
      </c>
      <c r="M7" s="24">
        <v>0.73038584733937295</v>
      </c>
      <c r="N7" s="24">
        <v>0.77334227232675801</v>
      </c>
      <c r="O7" s="24">
        <v>0.75167692862841695</v>
      </c>
      <c r="P7" s="24">
        <v>0.75570652572000296</v>
      </c>
      <c r="Q7" s="24">
        <v>0.73710287236568395</v>
      </c>
      <c r="R7" s="25">
        <v>0.76313188905065699</v>
      </c>
    </row>
    <row r="8" spans="2:18" x14ac:dyDescent="0.2">
      <c r="B8" s="40">
        <v>3</v>
      </c>
      <c r="C8" s="40" t="s">
        <v>15</v>
      </c>
      <c r="D8" s="42" t="s">
        <v>39</v>
      </c>
      <c r="E8" s="42" t="s">
        <v>59</v>
      </c>
      <c r="F8" s="38" t="s">
        <v>34</v>
      </c>
      <c r="G8" s="45">
        <f>AVERAGE(I8:R9)</f>
        <v>0.72016726193676051</v>
      </c>
      <c r="H8" s="46">
        <f>_xlfn.STDEV.S(I8:R9)</f>
        <v>2.5322303443961452E-2</v>
      </c>
      <c r="I8" s="31">
        <v>0.67902423367035802</v>
      </c>
      <c r="J8" s="32">
        <v>0.68705992802378302</v>
      </c>
      <c r="K8" s="32">
        <v>0.67272132220585801</v>
      </c>
      <c r="L8" s="32">
        <v>0.72222222222222199</v>
      </c>
      <c r="M8" s="32">
        <v>0.69890361642938903</v>
      </c>
      <c r="N8" s="32">
        <v>0.71631205673758802</v>
      </c>
      <c r="O8" s="32">
        <v>0.71033574720210602</v>
      </c>
      <c r="P8" s="32">
        <v>0.70202429149797496</v>
      </c>
      <c r="Q8" s="32">
        <v>0.69531379367444901</v>
      </c>
      <c r="R8" s="33">
        <v>0.71631205673758802</v>
      </c>
    </row>
    <row r="9" spans="2:18" ht="17" thickBot="1" x14ac:dyDescent="0.25">
      <c r="B9" s="41"/>
      <c r="C9" s="41"/>
      <c r="D9" s="43"/>
      <c r="E9" s="43"/>
      <c r="F9" s="39" t="s">
        <v>35</v>
      </c>
      <c r="G9" s="43"/>
      <c r="H9" s="47"/>
      <c r="I9" s="23">
        <v>0.72047956053325002</v>
      </c>
      <c r="J9" s="24">
        <v>0.726020906016139</v>
      </c>
      <c r="K9" s="24">
        <v>0.72892670765774403</v>
      </c>
      <c r="L9" s="24">
        <v>0.74058452577492195</v>
      </c>
      <c r="M9" s="24">
        <v>0.74205316700620805</v>
      </c>
      <c r="N9" s="24">
        <v>0.757473643656981</v>
      </c>
      <c r="O9" s="24">
        <v>0.74554963107552896</v>
      </c>
      <c r="P9" s="24">
        <v>0.75930272115120201</v>
      </c>
      <c r="Q9" s="24">
        <v>0.73297968418037196</v>
      </c>
      <c r="R9" s="25">
        <v>0.74974542328154803</v>
      </c>
    </row>
    <row r="10" spans="2:18" x14ac:dyDescent="0.2">
      <c r="B10" s="40">
        <v>4</v>
      </c>
      <c r="C10" s="40" t="s">
        <v>27</v>
      </c>
      <c r="D10" s="42" t="s">
        <v>51</v>
      </c>
      <c r="E10" s="42" t="s">
        <v>60</v>
      </c>
      <c r="F10" s="38" t="s">
        <v>34</v>
      </c>
      <c r="G10" s="45">
        <f>AVERAGE(I10:R11)</f>
        <v>0.71934523646841264</v>
      </c>
      <c r="H10" s="46">
        <f>_xlfn.STDEV.S(I10:R11)</f>
        <v>4.2608311125687019E-2</v>
      </c>
      <c r="I10" s="31">
        <v>0.72482801751094394</v>
      </c>
      <c r="J10" s="32">
        <v>0.74858579509742296</v>
      </c>
      <c r="K10" s="32">
        <v>0.74858579509742296</v>
      </c>
      <c r="L10" s="32">
        <v>0.72482801751094394</v>
      </c>
      <c r="M10" s="32">
        <v>0.72344437460716504</v>
      </c>
      <c r="N10" s="32">
        <v>0.68745116424441299</v>
      </c>
      <c r="O10" s="32">
        <v>0.65817376167115005</v>
      </c>
      <c r="P10" s="32">
        <v>0.64912280701754299</v>
      </c>
      <c r="Q10" s="32">
        <v>0.60503264851090899</v>
      </c>
      <c r="R10" s="33">
        <v>0.68745116424441299</v>
      </c>
    </row>
    <row r="11" spans="2:18" ht="17" thickBot="1" x14ac:dyDescent="0.25">
      <c r="B11" s="41"/>
      <c r="C11" s="41"/>
      <c r="D11" s="43"/>
      <c r="E11" s="43"/>
      <c r="F11" s="39" t="s">
        <v>35</v>
      </c>
      <c r="G11" s="43"/>
      <c r="H11" s="47"/>
      <c r="I11" s="23">
        <v>0.71578450870083499</v>
      </c>
      <c r="J11" s="24">
        <v>0.71357529513766704</v>
      </c>
      <c r="K11" s="24">
        <v>0.74356682957583897</v>
      </c>
      <c r="L11" s="24">
        <v>0.76930317051260599</v>
      </c>
      <c r="M11" s="24">
        <v>0.73751584751536303</v>
      </c>
      <c r="N11" s="24">
        <v>0.76230085621011601</v>
      </c>
      <c r="O11" s="24">
        <v>0.73459523222822998</v>
      </c>
      <c r="P11" s="24">
        <v>0.75787951309577894</v>
      </c>
      <c r="Q11" s="24">
        <v>0.73455409771372604</v>
      </c>
      <c r="R11" s="25">
        <v>0.76032583316576496</v>
      </c>
    </row>
    <row r="12" spans="2:18" x14ac:dyDescent="0.2">
      <c r="B12" s="40">
        <v>5</v>
      </c>
      <c r="C12" s="40" t="s">
        <v>28</v>
      </c>
      <c r="D12" s="42" t="s">
        <v>52</v>
      </c>
      <c r="E12" s="42" t="s">
        <v>61</v>
      </c>
      <c r="F12" s="38" t="s">
        <v>34</v>
      </c>
      <c r="G12" s="45">
        <f>AVERAGE(I12:R13)</f>
        <v>0.71425882713403499</v>
      </c>
      <c r="H12" s="46">
        <f>_xlfn.STDEV.S(I12:R13)</f>
        <v>2.7823520756101214E-2</v>
      </c>
      <c r="I12" s="31">
        <v>0.68147794234750703</v>
      </c>
      <c r="J12" s="32">
        <v>0.68745116424441299</v>
      </c>
      <c r="K12" s="32">
        <v>0.71354166666666596</v>
      </c>
      <c r="L12" s="32">
        <v>0.76066761139977901</v>
      </c>
      <c r="M12" s="32">
        <v>0.67999999999999905</v>
      </c>
      <c r="N12" s="32">
        <v>0.75605841758947201</v>
      </c>
      <c r="O12" s="32">
        <v>0.66881934095048801</v>
      </c>
      <c r="P12" s="32">
        <v>0.74424552429667501</v>
      </c>
      <c r="Q12" s="32">
        <v>0.684002633311389</v>
      </c>
      <c r="R12" s="33">
        <v>0.70202429149797496</v>
      </c>
    </row>
    <row r="13" spans="2:18" ht="17" thickBot="1" x14ac:dyDescent="0.25">
      <c r="B13" s="41"/>
      <c r="C13" s="41"/>
      <c r="D13" s="43"/>
      <c r="E13" s="43"/>
      <c r="F13" s="39" t="s">
        <v>35</v>
      </c>
      <c r="G13" s="43"/>
      <c r="H13" s="47"/>
      <c r="I13" s="23">
        <v>0.69138351080503602</v>
      </c>
      <c r="J13" s="24">
        <v>0.70938207923305896</v>
      </c>
      <c r="K13" s="24">
        <v>0.70796480818609897</v>
      </c>
      <c r="L13" s="24">
        <v>0.73038179197688202</v>
      </c>
      <c r="M13" s="24">
        <v>0.71195792879813902</v>
      </c>
      <c r="N13" s="24">
        <v>0.74752959083878601</v>
      </c>
      <c r="O13" s="24">
        <v>0.71431191703117003</v>
      </c>
      <c r="P13" s="24">
        <v>0.75197144075552202</v>
      </c>
      <c r="Q13" s="24">
        <v>0.70797773352273596</v>
      </c>
      <c r="R13" s="25">
        <v>0.73402714922890899</v>
      </c>
    </row>
    <row r="14" spans="2:18" x14ac:dyDescent="0.2">
      <c r="B14" s="40">
        <v>6</v>
      </c>
      <c r="C14" s="40" t="s">
        <v>12</v>
      </c>
      <c r="D14" s="42" t="s">
        <v>38</v>
      </c>
      <c r="E14" s="42" t="s">
        <v>62</v>
      </c>
      <c r="F14" s="38" t="s">
        <v>34</v>
      </c>
      <c r="G14" s="45">
        <f>AVERAGE(I14:R15)</f>
        <v>0.70440188110219437</v>
      </c>
      <c r="H14" s="46">
        <f>_xlfn.STDEV.S(I14:R15)</f>
        <v>2.2513097292199576E-2</v>
      </c>
      <c r="I14" s="31">
        <v>0.69696969696969702</v>
      </c>
      <c r="J14" s="32">
        <v>0.69981238273921198</v>
      </c>
      <c r="K14" s="32">
        <v>0.71867007672634198</v>
      </c>
      <c r="L14" s="32">
        <v>0.7</v>
      </c>
      <c r="M14" s="32">
        <v>0.72793522267206401</v>
      </c>
      <c r="N14" s="32">
        <v>0.72344437460716504</v>
      </c>
      <c r="O14" s="32">
        <v>0.70202429149797496</v>
      </c>
      <c r="P14" s="32">
        <v>0.69830295411690702</v>
      </c>
      <c r="Q14" s="32">
        <v>0.65333333333333299</v>
      </c>
      <c r="R14" s="33">
        <v>0.74424552429667501</v>
      </c>
    </row>
    <row r="15" spans="2:18" ht="17" thickBot="1" x14ac:dyDescent="0.25">
      <c r="B15" s="41"/>
      <c r="C15" s="41"/>
      <c r="D15" s="43"/>
      <c r="E15" s="43"/>
      <c r="F15" s="39" t="s">
        <v>35</v>
      </c>
      <c r="G15" s="43"/>
      <c r="H15" s="47"/>
      <c r="I15" s="23">
        <v>0.71834007882068396</v>
      </c>
      <c r="J15" s="24">
        <v>0.70877849307251495</v>
      </c>
      <c r="K15" s="24">
        <v>0.69224805238036802</v>
      </c>
      <c r="L15" s="24">
        <v>0.72818315186346805</v>
      </c>
      <c r="M15" s="24">
        <v>0.69396226396754801</v>
      </c>
      <c r="N15" s="24">
        <v>0.72716523872538397</v>
      </c>
      <c r="O15" s="24">
        <v>0.67449799024188595</v>
      </c>
      <c r="P15" s="24">
        <v>0.71118320145427005</v>
      </c>
      <c r="Q15" s="24">
        <v>0.663407529163763</v>
      </c>
      <c r="R15" s="25">
        <v>0.70553376539463297</v>
      </c>
    </row>
    <row r="16" spans="2:18" x14ac:dyDescent="0.2">
      <c r="B16" s="40">
        <v>7</v>
      </c>
      <c r="C16" s="40" t="s">
        <v>13</v>
      </c>
      <c r="D16" s="42" t="s">
        <v>39</v>
      </c>
      <c r="E16" s="42" t="s">
        <v>63</v>
      </c>
      <c r="F16" s="38" t="s">
        <v>34</v>
      </c>
      <c r="G16" s="45">
        <f>AVERAGE(I16:R17)</f>
        <v>0.69309193070250585</v>
      </c>
      <c r="H16" s="46">
        <f>_xlfn.STDEV.S(I16:R17)</f>
        <v>4.8441797300561064E-2</v>
      </c>
      <c r="I16" s="31">
        <v>0.68508896236813099</v>
      </c>
      <c r="J16" s="32">
        <v>0.674185463659147</v>
      </c>
      <c r="K16" s="32">
        <v>0.627668111057615</v>
      </c>
      <c r="L16" s="32">
        <v>0.68705992802378302</v>
      </c>
      <c r="M16" s="32">
        <v>0.56799214531173203</v>
      </c>
      <c r="N16" s="32">
        <v>0.69696969696969702</v>
      </c>
      <c r="O16" s="32">
        <v>0.60500329163923605</v>
      </c>
      <c r="P16" s="32">
        <v>0.70881468586801699</v>
      </c>
      <c r="Q16" s="32">
        <v>0.67272132220585801</v>
      </c>
      <c r="R16" s="33">
        <v>0.68147794234750703</v>
      </c>
    </row>
    <row r="17" spans="2:18" ht="17" thickBot="1" x14ac:dyDescent="0.25">
      <c r="B17" s="41"/>
      <c r="C17" s="41"/>
      <c r="D17" s="43"/>
      <c r="E17" s="43"/>
      <c r="F17" s="39" t="s">
        <v>35</v>
      </c>
      <c r="G17" s="43"/>
      <c r="H17" s="47"/>
      <c r="I17" s="23">
        <v>0.69590178866210295</v>
      </c>
      <c r="J17" s="24">
        <v>0.70142920290136401</v>
      </c>
      <c r="K17" s="24">
        <v>0.70052463356089201</v>
      </c>
      <c r="L17" s="24">
        <v>0.74156901363271999</v>
      </c>
      <c r="M17" s="24">
        <v>0.71190353906082704</v>
      </c>
      <c r="N17" s="24">
        <v>0.75604662369483899</v>
      </c>
      <c r="O17" s="24">
        <v>0.716455676563448</v>
      </c>
      <c r="P17" s="24">
        <v>0.75652354453312498</v>
      </c>
      <c r="Q17" s="24">
        <v>0.72390406262219298</v>
      </c>
      <c r="R17" s="25">
        <v>0.750598979367882</v>
      </c>
    </row>
    <row r="18" spans="2:18" x14ac:dyDescent="0.2">
      <c r="B18" s="40">
        <v>8</v>
      </c>
      <c r="C18" s="40" t="s">
        <v>31</v>
      </c>
      <c r="D18" s="42" t="s">
        <v>55</v>
      </c>
      <c r="E18" s="42" t="s">
        <v>64</v>
      </c>
      <c r="F18" s="38" t="s">
        <v>34</v>
      </c>
      <c r="G18" s="45">
        <f>AVERAGE(I18:R19)</f>
        <v>0.67367085153270934</v>
      </c>
      <c r="H18" s="46">
        <f>_xlfn.STDEV.S(I18:R19)</f>
        <v>3.7790027538835258E-2</v>
      </c>
      <c r="I18" s="31">
        <v>0.58743553680262495</v>
      </c>
      <c r="J18" s="32">
        <v>0.60199004975124304</v>
      </c>
      <c r="K18" s="32">
        <v>0.64912280701754299</v>
      </c>
      <c r="L18" s="32">
        <v>0.64912280701754299</v>
      </c>
      <c r="M18" s="32">
        <v>0.66244725738396604</v>
      </c>
      <c r="N18" s="32">
        <v>0.65989607935758099</v>
      </c>
      <c r="O18" s="32">
        <v>0.67500000000000004</v>
      </c>
      <c r="P18" s="32">
        <v>0.68508896236813099</v>
      </c>
      <c r="Q18" s="32">
        <v>0.68705992802378302</v>
      </c>
      <c r="R18" s="33">
        <v>0.65989607935758099</v>
      </c>
    </row>
    <row r="19" spans="2:18" ht="17" thickBot="1" x14ac:dyDescent="0.25">
      <c r="B19" s="41"/>
      <c r="C19" s="41"/>
      <c r="D19" s="43"/>
      <c r="E19" s="43"/>
      <c r="F19" s="39" t="s">
        <v>35</v>
      </c>
      <c r="G19" s="43"/>
      <c r="H19" s="47"/>
      <c r="I19" s="23">
        <v>0.66348406588793496</v>
      </c>
      <c r="J19" s="24">
        <v>0.63603670736306095</v>
      </c>
      <c r="K19" s="24">
        <v>0.68972774274600002</v>
      </c>
      <c r="L19" s="24">
        <v>0.67767597705792404</v>
      </c>
      <c r="M19" s="24">
        <v>0.70001409811767901</v>
      </c>
      <c r="N19" s="24">
        <v>0.70397268389223899</v>
      </c>
      <c r="O19" s="24">
        <v>0.72419582612491995</v>
      </c>
      <c r="P19" s="24">
        <v>0.71671649977750296</v>
      </c>
      <c r="Q19" s="24">
        <v>0.72129329452039903</v>
      </c>
      <c r="R19" s="25">
        <v>0.723240628086532</v>
      </c>
    </row>
    <row r="20" spans="2:18" x14ac:dyDescent="0.2">
      <c r="B20" s="40">
        <v>9</v>
      </c>
      <c r="C20" s="40" t="s">
        <v>16</v>
      </c>
      <c r="D20" s="42" t="s">
        <v>41</v>
      </c>
      <c r="E20" s="42" t="s">
        <v>65</v>
      </c>
      <c r="F20" s="38" t="s">
        <v>34</v>
      </c>
      <c r="G20" s="45">
        <f>AVERAGE(I20:R21)</f>
        <v>0.66940782583503888</v>
      </c>
      <c r="H20" s="46">
        <f>_xlfn.STDEV.S(I20:R21)</f>
        <v>2.5862236663911801E-2</v>
      </c>
      <c r="I20" s="31">
        <v>0.63744335052351897</v>
      </c>
      <c r="J20" s="32">
        <v>0.65020242914979698</v>
      </c>
      <c r="K20" s="32">
        <v>0.66244725738396604</v>
      </c>
      <c r="L20" s="32">
        <v>0.66751918158567702</v>
      </c>
      <c r="M20" s="32">
        <v>0.63744335052351897</v>
      </c>
      <c r="N20" s="32">
        <v>0.66984126984126902</v>
      </c>
      <c r="O20" s="32">
        <v>0.63744335052351897</v>
      </c>
      <c r="P20" s="32">
        <v>0.63607843137254805</v>
      </c>
      <c r="Q20" s="32">
        <v>0.63744335052351897</v>
      </c>
      <c r="R20" s="33">
        <v>0.66117647058823503</v>
      </c>
    </row>
    <row r="21" spans="2:18" ht="17" thickBot="1" x14ac:dyDescent="0.25">
      <c r="B21" s="41"/>
      <c r="C21" s="41"/>
      <c r="D21" s="43"/>
      <c r="E21" s="43"/>
      <c r="F21" s="39" t="s">
        <v>35</v>
      </c>
      <c r="G21" s="43"/>
      <c r="H21" s="47"/>
      <c r="I21" s="23">
        <v>0.67145306881879396</v>
      </c>
      <c r="J21" s="24">
        <v>0.64801472129728799</v>
      </c>
      <c r="K21" s="24">
        <v>0.68959890021140902</v>
      </c>
      <c r="L21" s="24">
        <v>0.67897162431271396</v>
      </c>
      <c r="M21" s="24">
        <v>0.697252031187229</v>
      </c>
      <c r="N21" s="24">
        <v>0.69437113696521302</v>
      </c>
      <c r="O21" s="24">
        <v>0.69879934024135704</v>
      </c>
      <c r="P21" s="24">
        <v>0.69381472968409896</v>
      </c>
      <c r="Q21" s="24">
        <v>0.70891336243104497</v>
      </c>
      <c r="R21" s="25">
        <v>0.70992915953606095</v>
      </c>
    </row>
    <row r="22" spans="2:18" x14ac:dyDescent="0.2">
      <c r="B22" s="40">
        <v>10</v>
      </c>
      <c r="C22" s="40" t="s">
        <v>14</v>
      </c>
      <c r="D22" s="42" t="s">
        <v>40</v>
      </c>
      <c r="E22" s="42" t="s">
        <v>66</v>
      </c>
      <c r="F22" s="38" t="s">
        <v>34</v>
      </c>
      <c r="G22" s="45">
        <f>AVERAGE(I22:R23)</f>
        <v>0.66802945156176929</v>
      </c>
      <c r="H22" s="46">
        <f>_xlfn.STDEV.S(I22:R23)</f>
        <v>4.499541219662135E-2</v>
      </c>
      <c r="I22" s="31">
        <v>0.61636828644501196</v>
      </c>
      <c r="J22" s="32">
        <v>0.62287869264613405</v>
      </c>
      <c r="K22" s="32">
        <v>0.615830435502566</v>
      </c>
      <c r="L22" s="32">
        <v>0.68147794234750703</v>
      </c>
      <c r="M22" s="32">
        <v>0.69890361642938903</v>
      </c>
      <c r="N22" s="32">
        <v>0.73244147157190598</v>
      </c>
      <c r="O22" s="32">
        <v>0.71033574720210602</v>
      </c>
      <c r="P22" s="32">
        <v>0.78173647889584297</v>
      </c>
      <c r="Q22" s="32">
        <v>0.58071278825995798</v>
      </c>
      <c r="R22" s="33">
        <v>0.66437321698271501</v>
      </c>
    </row>
    <row r="23" spans="2:18" ht="17" thickBot="1" x14ac:dyDescent="0.25">
      <c r="B23" s="41"/>
      <c r="C23" s="41"/>
      <c r="D23" s="43"/>
      <c r="E23" s="43"/>
      <c r="F23" s="39" t="s">
        <v>35</v>
      </c>
      <c r="G23" s="43"/>
      <c r="H23" s="47"/>
      <c r="I23" s="23">
        <v>0.65704507312712501</v>
      </c>
      <c r="J23" s="24">
        <v>0.66123703582411897</v>
      </c>
      <c r="K23" s="24">
        <v>0.63946708587032497</v>
      </c>
      <c r="L23" s="24">
        <v>0.68353103578101004</v>
      </c>
      <c r="M23" s="24">
        <v>0.670321615905077</v>
      </c>
      <c r="N23" s="24">
        <v>0.69863082660204401</v>
      </c>
      <c r="O23" s="24">
        <v>0.66124008332162199</v>
      </c>
      <c r="P23" s="24">
        <v>0.68404760002630005</v>
      </c>
      <c r="Q23" s="24">
        <v>0.63820986544283598</v>
      </c>
      <c r="R23" s="25">
        <v>0.66180013305179197</v>
      </c>
    </row>
    <row r="24" spans="2:18" x14ac:dyDescent="0.2">
      <c r="B24" s="40">
        <v>11</v>
      </c>
      <c r="C24" s="40" t="s">
        <v>17</v>
      </c>
      <c r="D24" s="42" t="s">
        <v>40</v>
      </c>
      <c r="E24" s="42" t="s">
        <v>67</v>
      </c>
      <c r="F24" s="38" t="s">
        <v>34</v>
      </c>
      <c r="G24" s="45">
        <f>AVERAGE(I24:R25)</f>
        <v>0.65480581203022581</v>
      </c>
      <c r="H24" s="46">
        <f>_xlfn.STDEV.S(I24:R25)</f>
        <v>2.4188560452575024E-2</v>
      </c>
      <c r="I24" s="31">
        <v>0.65817376167115005</v>
      </c>
      <c r="J24" s="32">
        <v>0.65817376167115005</v>
      </c>
      <c r="K24" s="32">
        <v>0.69696969696969702</v>
      </c>
      <c r="L24" s="32">
        <v>0.65</v>
      </c>
      <c r="M24" s="32">
        <v>0.63541666666666596</v>
      </c>
      <c r="N24" s="32">
        <v>0.69830295411690702</v>
      </c>
      <c r="O24" s="32">
        <v>0.63133640552995396</v>
      </c>
      <c r="P24" s="32">
        <v>0.64194373401534499</v>
      </c>
      <c r="Q24" s="32">
        <v>0.64841108857336005</v>
      </c>
      <c r="R24" s="33">
        <v>0.70202429149797496</v>
      </c>
    </row>
    <row r="25" spans="2:18" ht="17" thickBot="1" x14ac:dyDescent="0.25">
      <c r="B25" s="41"/>
      <c r="C25" s="41"/>
      <c r="D25" s="43"/>
      <c r="E25" s="43"/>
      <c r="F25" s="39" t="s">
        <v>35</v>
      </c>
      <c r="G25" s="43"/>
      <c r="H25" s="47"/>
      <c r="I25" s="23">
        <v>0.64744645553426605</v>
      </c>
      <c r="J25" s="24">
        <v>0.65533262271076098</v>
      </c>
      <c r="K25" s="24">
        <v>0.65017385931641103</v>
      </c>
      <c r="L25" s="24">
        <v>0.67181798822755301</v>
      </c>
      <c r="M25" s="24">
        <v>0.62747654904475403</v>
      </c>
      <c r="N25" s="24">
        <v>0.67392985944315797</v>
      </c>
      <c r="O25" s="24">
        <v>0.62525583133943996</v>
      </c>
      <c r="P25" s="24">
        <v>0.66408095014959501</v>
      </c>
      <c r="Q25" s="24">
        <v>0.61645030804350498</v>
      </c>
      <c r="R25" s="25">
        <v>0.64339945608287197</v>
      </c>
    </row>
    <row r="26" spans="2:18" x14ac:dyDescent="0.2">
      <c r="B26" s="40">
        <v>12</v>
      </c>
      <c r="C26" s="40" t="s">
        <v>21</v>
      </c>
      <c r="D26" s="42" t="s">
        <v>45</v>
      </c>
      <c r="E26" s="42" t="s">
        <v>68</v>
      </c>
      <c r="F26" s="38" t="s">
        <v>34</v>
      </c>
      <c r="G26" s="45">
        <f>AVERAGE(I26:R27)</f>
        <v>0.6439847654189842</v>
      </c>
      <c r="H26" s="46">
        <f>_xlfn.STDEV.S(I26:R27)</f>
        <v>4.301039458005658E-2</v>
      </c>
      <c r="I26" s="31">
        <v>0.51406649616368205</v>
      </c>
      <c r="J26" s="32">
        <v>0.56727518593644299</v>
      </c>
      <c r="K26" s="32">
        <v>0.60753283747428399</v>
      </c>
      <c r="L26" s="32">
        <v>0.62429149797570804</v>
      </c>
      <c r="M26" s="32">
        <v>0.65989607935758099</v>
      </c>
      <c r="N26" s="32">
        <v>0.65334617236398596</v>
      </c>
      <c r="O26" s="32">
        <v>0.68705992802378302</v>
      </c>
      <c r="P26" s="32">
        <v>0.65817376167115005</v>
      </c>
      <c r="Q26" s="32">
        <v>0.66202472226568598</v>
      </c>
      <c r="R26" s="33">
        <v>0.64646464646464596</v>
      </c>
    </row>
    <row r="27" spans="2:18" ht="17" thickBot="1" x14ac:dyDescent="0.25">
      <c r="B27" s="41"/>
      <c r="C27" s="41"/>
      <c r="D27" s="43"/>
      <c r="E27" s="43"/>
      <c r="F27" s="39" t="s">
        <v>35</v>
      </c>
      <c r="G27" s="43"/>
      <c r="H27" s="47"/>
      <c r="I27" s="23">
        <v>0.63450601568756004</v>
      </c>
      <c r="J27" s="24">
        <v>0.60302864014615398</v>
      </c>
      <c r="K27" s="24">
        <v>0.68226048076062795</v>
      </c>
      <c r="L27" s="24">
        <v>0.65908110315901502</v>
      </c>
      <c r="M27" s="24">
        <v>0.67614817800483495</v>
      </c>
      <c r="N27" s="24">
        <v>0.65712214558896398</v>
      </c>
      <c r="O27" s="24">
        <v>0.66296875435960001</v>
      </c>
      <c r="P27" s="24">
        <v>0.66953352174782499</v>
      </c>
      <c r="Q27" s="24">
        <v>0.68044630112132198</v>
      </c>
      <c r="R27" s="25">
        <v>0.67446884010683295</v>
      </c>
    </row>
    <row r="28" spans="2:18" x14ac:dyDescent="0.2">
      <c r="B28" s="40">
        <v>13</v>
      </c>
      <c r="C28" s="40" t="s">
        <v>26</v>
      </c>
      <c r="D28" s="42" t="s">
        <v>50</v>
      </c>
      <c r="E28" s="42" t="s">
        <v>69</v>
      </c>
      <c r="F28" s="38" t="s">
        <v>34</v>
      </c>
      <c r="G28" s="45">
        <f>AVERAGE(I28:R29)</f>
        <v>0.64010097311117431</v>
      </c>
      <c r="H28" s="46">
        <f>_xlfn.STDEV.S(I28:R29)</f>
        <v>4.1996173453004666E-2</v>
      </c>
      <c r="I28" s="31">
        <v>0.58431743032593197</v>
      </c>
      <c r="J28" s="32">
        <v>0.57631198844487197</v>
      </c>
      <c r="K28" s="32">
        <v>0.58743553680262495</v>
      </c>
      <c r="L28" s="32">
        <v>0.58221237537585002</v>
      </c>
      <c r="M28" s="32">
        <v>0.63744335052351897</v>
      </c>
      <c r="N28" s="32">
        <v>0.59365079365079299</v>
      </c>
      <c r="O28" s="32">
        <v>0.65</v>
      </c>
      <c r="P28" s="32">
        <v>0.60951031333648198</v>
      </c>
      <c r="Q28" s="32">
        <v>0.64978111319574705</v>
      </c>
      <c r="R28" s="33">
        <v>0.59773727215587602</v>
      </c>
    </row>
    <row r="29" spans="2:18" ht="17" thickBot="1" x14ac:dyDescent="0.25">
      <c r="B29" s="41"/>
      <c r="C29" s="41"/>
      <c r="D29" s="43"/>
      <c r="E29" s="43"/>
      <c r="F29" s="39" t="s">
        <v>35</v>
      </c>
      <c r="G29" s="43"/>
      <c r="H29" s="47"/>
      <c r="I29" s="23">
        <v>0.65895466158716198</v>
      </c>
      <c r="J29" s="24">
        <v>0.62940121297481899</v>
      </c>
      <c r="K29" s="24">
        <v>0.67405771499898104</v>
      </c>
      <c r="L29" s="24">
        <v>0.65418447677040503</v>
      </c>
      <c r="M29" s="24">
        <v>0.68005384667172697</v>
      </c>
      <c r="N29" s="24">
        <v>0.66811638445737298</v>
      </c>
      <c r="O29" s="24">
        <v>0.69239457034431995</v>
      </c>
      <c r="P29" s="24">
        <v>0.68868755677335802</v>
      </c>
      <c r="Q29" s="24">
        <v>0.69803309765240196</v>
      </c>
      <c r="R29" s="25">
        <v>0.68973576618124399</v>
      </c>
    </row>
    <row r="30" spans="2:18" x14ac:dyDescent="0.2">
      <c r="B30" s="40">
        <v>14</v>
      </c>
      <c r="C30" s="40" t="s">
        <v>23</v>
      </c>
      <c r="D30" s="42" t="s">
        <v>47</v>
      </c>
      <c r="E30" s="42" t="s">
        <v>70</v>
      </c>
      <c r="F30" s="38" t="s">
        <v>34</v>
      </c>
      <c r="G30" s="45">
        <f>AVERAGE(I30:R31)</f>
        <v>0.56544647149897109</v>
      </c>
      <c r="H30" s="46">
        <f>_xlfn.STDEV.S(I30:R31)</f>
        <v>4.0677336500459724E-2</v>
      </c>
      <c r="I30" s="31">
        <v>0.63607843137254805</v>
      </c>
      <c r="J30" s="32">
        <v>0.59899749373433497</v>
      </c>
      <c r="K30" s="32">
        <v>0.57867017774851803</v>
      </c>
      <c r="L30" s="32">
        <v>0.59079283887468004</v>
      </c>
      <c r="M30" s="32">
        <v>0.56268735672720804</v>
      </c>
      <c r="N30" s="32">
        <v>0.63894261766602101</v>
      </c>
      <c r="O30" s="32">
        <v>0.58071278825995798</v>
      </c>
      <c r="P30" s="32">
        <v>0.58382278905856599</v>
      </c>
      <c r="Q30" s="32">
        <v>0.51461665747380003</v>
      </c>
      <c r="R30" s="33">
        <v>0.53296703296703296</v>
      </c>
    </row>
    <row r="31" spans="2:18" ht="17" thickBot="1" x14ac:dyDescent="0.25">
      <c r="B31" s="41"/>
      <c r="C31" s="41"/>
      <c r="D31" s="43"/>
      <c r="E31" s="43"/>
      <c r="F31" s="39" t="s">
        <v>35</v>
      </c>
      <c r="G31" s="43"/>
      <c r="H31" s="47"/>
      <c r="I31" s="23">
        <v>0.58235769670938897</v>
      </c>
      <c r="J31" s="24">
        <v>0.596276491641065</v>
      </c>
      <c r="K31" s="24">
        <v>0.55267936262955297</v>
      </c>
      <c r="L31" s="24">
        <v>0.59198451881828895</v>
      </c>
      <c r="M31" s="24">
        <v>0.54287458024884006</v>
      </c>
      <c r="N31" s="24">
        <v>0.56239751848340902</v>
      </c>
      <c r="O31" s="24">
        <v>0.51152858960054803</v>
      </c>
      <c r="P31" s="24">
        <v>0.547981651475554</v>
      </c>
      <c r="Q31" s="24">
        <v>0.48105007737184702</v>
      </c>
      <c r="R31" s="25">
        <v>0.52151075911825795</v>
      </c>
    </row>
    <row r="32" spans="2:18" x14ac:dyDescent="0.2">
      <c r="B32" s="40">
        <v>15</v>
      </c>
      <c r="C32" s="40" t="s">
        <v>30</v>
      </c>
      <c r="D32" s="42" t="s">
        <v>54</v>
      </c>
      <c r="E32" s="42" t="s">
        <v>71</v>
      </c>
      <c r="F32" s="38" t="s">
        <v>34</v>
      </c>
      <c r="G32" s="45">
        <f>AVERAGE(I32:R33)</f>
        <v>0.56541662532434911</v>
      </c>
      <c r="H32" s="46">
        <f>_xlfn.STDEV.S(I32:R33)</f>
        <v>3.7680764697770569E-2</v>
      </c>
      <c r="I32" s="31">
        <v>0.55000000000000004</v>
      </c>
      <c r="J32" s="32">
        <v>0.48335817188276198</v>
      </c>
      <c r="K32" s="32">
        <v>0.51242381622128397</v>
      </c>
      <c r="L32" s="32">
        <v>0.50310559006211097</v>
      </c>
      <c r="M32" s="32">
        <v>0.51242381622128397</v>
      </c>
      <c r="N32" s="32">
        <v>0.54887218045112696</v>
      </c>
      <c r="O32" s="32">
        <v>0.57473420888055005</v>
      </c>
      <c r="P32" s="32">
        <v>0.61195431074949103</v>
      </c>
      <c r="Q32" s="32">
        <v>0.625</v>
      </c>
      <c r="R32" s="33">
        <v>0.59365079365079299</v>
      </c>
    </row>
    <row r="33" spans="2:18" ht="17" thickBot="1" x14ac:dyDescent="0.25">
      <c r="B33" s="41"/>
      <c r="C33" s="41"/>
      <c r="D33" s="43"/>
      <c r="E33" s="43"/>
      <c r="F33" s="39" t="s">
        <v>35</v>
      </c>
      <c r="G33" s="43"/>
      <c r="H33" s="47"/>
      <c r="I33" s="23">
        <v>0.59021766588374003</v>
      </c>
      <c r="J33" s="24">
        <v>0.54948578442295404</v>
      </c>
      <c r="K33" s="24">
        <v>0.58684172707196203</v>
      </c>
      <c r="L33" s="24">
        <v>0.55960850773826099</v>
      </c>
      <c r="M33" s="24">
        <v>0.587903282973954</v>
      </c>
      <c r="N33" s="24">
        <v>0.57988605785630798</v>
      </c>
      <c r="O33" s="24">
        <v>0.58690045571948202</v>
      </c>
      <c r="P33" s="24">
        <v>0.58480487394884095</v>
      </c>
      <c r="Q33" s="24">
        <v>0.58900882316664804</v>
      </c>
      <c r="R33" s="25">
        <v>0.57815243958542994</v>
      </c>
    </row>
    <row r="34" spans="2:18" x14ac:dyDescent="0.2">
      <c r="B34" s="40">
        <v>16</v>
      </c>
      <c r="C34" s="40" t="s">
        <v>18</v>
      </c>
      <c r="D34" s="42" t="s">
        <v>42</v>
      </c>
      <c r="E34" s="42" t="s">
        <v>72</v>
      </c>
      <c r="F34" s="38" t="s">
        <v>34</v>
      </c>
      <c r="G34" s="45">
        <f>AVERAGE(I34:R35)</f>
        <v>0.55517156408780721</v>
      </c>
      <c r="H34" s="46">
        <f>_xlfn.STDEV.S(I34:R35)</f>
        <v>4.6436375287544358E-2</v>
      </c>
      <c r="I34" s="31">
        <v>0.64646464646464596</v>
      </c>
      <c r="J34" s="32">
        <v>0.61195431074949103</v>
      </c>
      <c r="K34" s="32">
        <v>0.58382278905856599</v>
      </c>
      <c r="L34" s="32">
        <v>0.58221237537585002</v>
      </c>
      <c r="M34" s="32">
        <v>0.56043956043956</v>
      </c>
      <c r="N34" s="32">
        <v>0.58333333333333304</v>
      </c>
      <c r="O34" s="32">
        <v>0.48519948519948503</v>
      </c>
      <c r="P34" s="32">
        <v>0.53447363780638302</v>
      </c>
      <c r="Q34" s="32">
        <v>0.52380952380952295</v>
      </c>
      <c r="R34" s="33">
        <v>0.58265875157402403</v>
      </c>
    </row>
    <row r="35" spans="2:18" ht="17" thickBot="1" x14ac:dyDescent="0.25">
      <c r="B35" s="41"/>
      <c r="C35" s="41"/>
      <c r="D35" s="43"/>
      <c r="E35" s="43"/>
      <c r="F35" s="39" t="s">
        <v>35</v>
      </c>
      <c r="G35" s="43"/>
      <c r="H35" s="47"/>
      <c r="I35" s="23">
        <v>0.57903112653910105</v>
      </c>
      <c r="J35" s="24">
        <v>0.60497800940558599</v>
      </c>
      <c r="K35" s="24">
        <v>0.56660240478870205</v>
      </c>
      <c r="L35" s="24">
        <v>0.59382190139642499</v>
      </c>
      <c r="M35" s="24">
        <v>0.51480764245510202</v>
      </c>
      <c r="N35" s="24">
        <v>0.55180974992895004</v>
      </c>
      <c r="O35" s="24">
        <v>0.485075918883007</v>
      </c>
      <c r="P35" s="24">
        <v>0.51275061889599904</v>
      </c>
      <c r="Q35" s="24">
        <v>0.47911858307379901</v>
      </c>
      <c r="R35" s="25">
        <v>0.52106691257861304</v>
      </c>
    </row>
    <row r="36" spans="2:18" x14ac:dyDescent="0.2">
      <c r="B36" s="40">
        <v>17</v>
      </c>
      <c r="C36" s="40" t="s">
        <v>24</v>
      </c>
      <c r="D36" s="42" t="s">
        <v>48</v>
      </c>
      <c r="E36" s="42" t="s">
        <v>73</v>
      </c>
      <c r="F36" s="38" t="s">
        <v>34</v>
      </c>
      <c r="G36" s="45">
        <f>AVERAGE(I36:R37)</f>
        <v>0.54369887334546341</v>
      </c>
      <c r="H36" s="46">
        <f>_xlfn.STDEV.S(I36:R37)</f>
        <v>3.8550354784593691E-2</v>
      </c>
      <c r="I36" s="31">
        <v>0.48613928329952599</v>
      </c>
      <c r="J36" s="32">
        <v>0.54545454545454497</v>
      </c>
      <c r="K36" s="32">
        <v>0.54285714285714204</v>
      </c>
      <c r="L36" s="32">
        <v>0.58333333333333304</v>
      </c>
      <c r="M36" s="32">
        <v>0.46428571428571402</v>
      </c>
      <c r="N36" s="32">
        <v>0.58071278825995798</v>
      </c>
      <c r="O36" s="32">
        <v>0.52380952380952295</v>
      </c>
      <c r="P36" s="32">
        <v>0.54403382974811498</v>
      </c>
      <c r="Q36" s="32">
        <v>0.50291847109772103</v>
      </c>
      <c r="R36" s="33">
        <v>0.50291847109772103</v>
      </c>
    </row>
    <row r="37" spans="2:18" ht="17" thickBot="1" x14ac:dyDescent="0.25">
      <c r="B37" s="41"/>
      <c r="C37" s="41"/>
      <c r="D37" s="43"/>
      <c r="E37" s="43"/>
      <c r="F37" s="39" t="s">
        <v>35</v>
      </c>
      <c r="G37" s="43"/>
      <c r="H37" s="47"/>
      <c r="I37" s="23">
        <v>0.54054385170809804</v>
      </c>
      <c r="J37" s="24">
        <v>0.61332725049788805</v>
      </c>
      <c r="K37" s="24">
        <v>0.54667734463900497</v>
      </c>
      <c r="L37" s="24">
        <v>0.60786575380164598</v>
      </c>
      <c r="M37" s="24">
        <v>0.54747145036579303</v>
      </c>
      <c r="N37" s="24">
        <v>0.58177513503760203</v>
      </c>
      <c r="O37" s="24">
        <v>0.52767778900656503</v>
      </c>
      <c r="P37" s="24">
        <v>0.56426839186043498</v>
      </c>
      <c r="Q37" s="24">
        <v>0.51617248793776704</v>
      </c>
      <c r="R37" s="25">
        <v>0.55173490881117004</v>
      </c>
    </row>
    <row r="38" spans="2:18" x14ac:dyDescent="0.2">
      <c r="B38" s="40">
        <v>18</v>
      </c>
      <c r="C38" s="40" t="s">
        <v>25</v>
      </c>
      <c r="D38" s="42" t="s">
        <v>49</v>
      </c>
      <c r="E38" s="42" t="s">
        <v>74</v>
      </c>
      <c r="F38" s="38" t="s">
        <v>34</v>
      </c>
      <c r="G38" s="45">
        <f>AVERAGE(I38:R39)</f>
        <v>0.52763223335870491</v>
      </c>
      <c r="H38" s="46">
        <f>_xlfn.STDEV.S(I38:R39)</f>
        <v>4.0767591012222618E-2</v>
      </c>
      <c r="I38" s="31">
        <v>0.47916666666666602</v>
      </c>
      <c r="J38" s="32">
        <v>0.51058823529411701</v>
      </c>
      <c r="K38" s="32">
        <v>0.53634707733068299</v>
      </c>
      <c r="L38" s="32">
        <v>0.55406911928651004</v>
      </c>
      <c r="M38" s="32">
        <v>0.52509444144630302</v>
      </c>
      <c r="N38" s="32">
        <v>0.58382278905856599</v>
      </c>
      <c r="O38" s="32">
        <v>0.49404761904761801</v>
      </c>
      <c r="P38" s="32">
        <v>0.53454545454545399</v>
      </c>
      <c r="Q38" s="32">
        <v>0.450800915331807</v>
      </c>
      <c r="R38" s="33">
        <v>0.450800915331807</v>
      </c>
    </row>
    <row r="39" spans="2:18" ht="17" thickBot="1" x14ac:dyDescent="0.25">
      <c r="B39" s="41"/>
      <c r="C39" s="41"/>
      <c r="D39" s="43"/>
      <c r="E39" s="43"/>
      <c r="F39" s="39" t="s">
        <v>35</v>
      </c>
      <c r="G39" s="43"/>
      <c r="H39" s="47"/>
      <c r="I39" s="23">
        <v>0.53239530922266398</v>
      </c>
      <c r="J39" s="24">
        <v>0.58142490941349101</v>
      </c>
      <c r="K39" s="24">
        <v>0.53794844144921306</v>
      </c>
      <c r="L39" s="24">
        <v>0.58551979104554397</v>
      </c>
      <c r="M39" s="24">
        <v>0.54295623243860802</v>
      </c>
      <c r="N39" s="24">
        <v>0.58078588284524302</v>
      </c>
      <c r="O39" s="24">
        <v>0.51837764301778899</v>
      </c>
      <c r="P39" s="24">
        <v>0.55226241541767096</v>
      </c>
      <c r="Q39" s="24">
        <v>0.48573255624102801</v>
      </c>
      <c r="R39" s="25">
        <v>0.51595825274331297</v>
      </c>
    </row>
    <row r="40" spans="2:18" x14ac:dyDescent="0.2">
      <c r="B40" s="40">
        <v>19</v>
      </c>
      <c r="C40" s="40" t="s">
        <v>20</v>
      </c>
      <c r="D40" s="42" t="s">
        <v>44</v>
      </c>
      <c r="E40" s="42" t="s">
        <v>75</v>
      </c>
      <c r="F40" s="38" t="s">
        <v>34</v>
      </c>
      <c r="G40" s="45">
        <f>AVERAGE(I40:R41)</f>
        <v>0.51481885958173934</v>
      </c>
      <c r="H40" s="46">
        <f>_xlfn.STDEV.S(I40:R41)</f>
        <v>4.3530771214728863E-2</v>
      </c>
      <c r="I40" s="31">
        <v>0.49206349206349198</v>
      </c>
      <c r="J40" s="32">
        <v>0.56188389923329596</v>
      </c>
      <c r="K40" s="32">
        <v>0.55697264641718403</v>
      </c>
      <c r="L40" s="32">
        <v>0.55063392713850101</v>
      </c>
      <c r="M40" s="32">
        <v>0.47636363636363599</v>
      </c>
      <c r="N40" s="32">
        <v>0.53296703296703296</v>
      </c>
      <c r="O40" s="32">
        <v>0.450800915331807</v>
      </c>
      <c r="P40" s="32">
        <v>0.44266616456411201</v>
      </c>
      <c r="Q40" s="32">
        <v>0.43573667711598701</v>
      </c>
      <c r="R40" s="33">
        <v>0.50291847109772103</v>
      </c>
    </row>
    <row r="41" spans="2:18" ht="17" thickBot="1" x14ac:dyDescent="0.25">
      <c r="B41" s="41"/>
      <c r="C41" s="41"/>
      <c r="D41" s="43"/>
      <c r="E41" s="43"/>
      <c r="F41" s="39" t="s">
        <v>35</v>
      </c>
      <c r="G41" s="43"/>
      <c r="H41" s="47"/>
      <c r="I41" s="23">
        <v>0.53954213370444104</v>
      </c>
      <c r="J41" s="24">
        <v>0.58697052721389897</v>
      </c>
      <c r="K41" s="24">
        <v>0.53866073151409</v>
      </c>
      <c r="L41" s="24">
        <v>0.55903134828522405</v>
      </c>
      <c r="M41" s="24">
        <v>0.51590928915231005</v>
      </c>
      <c r="N41" s="24">
        <v>0.55419442068136304</v>
      </c>
      <c r="O41" s="24">
        <v>0.48634174201135499</v>
      </c>
      <c r="P41" s="24">
        <v>0.52538665291725895</v>
      </c>
      <c r="Q41" s="24">
        <v>0.47137759035825799</v>
      </c>
      <c r="R41" s="25">
        <v>0.51595589350381799</v>
      </c>
    </row>
    <row r="42" spans="2:18" x14ac:dyDescent="0.2">
      <c r="B42" s="40">
        <v>20</v>
      </c>
      <c r="C42" s="40" t="s">
        <v>19</v>
      </c>
      <c r="D42" s="42" t="s">
        <v>43</v>
      </c>
      <c r="E42" s="42" t="s">
        <v>76</v>
      </c>
      <c r="F42" s="38" t="s">
        <v>34</v>
      </c>
      <c r="G42" s="45">
        <f>AVERAGE(I42:R43)</f>
        <v>0.45739620077511339</v>
      </c>
      <c r="H42" s="46">
        <f>_xlfn.STDEV.S(I42:R43)</f>
        <v>5.3932807822580309E-2</v>
      </c>
      <c r="I42" s="31">
        <v>0.47804619996473202</v>
      </c>
      <c r="J42" s="32">
        <v>0.48335817188276198</v>
      </c>
      <c r="K42" s="32">
        <v>0.48131197559115102</v>
      </c>
      <c r="L42" s="32">
        <v>0.57264957264957195</v>
      </c>
      <c r="M42" s="32">
        <v>0.38660209846650501</v>
      </c>
      <c r="N42" s="32">
        <v>0.450800915331807</v>
      </c>
      <c r="O42" s="32">
        <v>0.41164778374080702</v>
      </c>
      <c r="P42" s="32">
        <v>0.41164778374080702</v>
      </c>
      <c r="Q42" s="32">
        <v>0.38660209846650501</v>
      </c>
      <c r="R42" s="33">
        <v>0.38660209846650501</v>
      </c>
    </row>
    <row r="43" spans="2:18" ht="17" thickBot="1" x14ac:dyDescent="0.25">
      <c r="B43" s="41"/>
      <c r="C43" s="41"/>
      <c r="D43" s="43"/>
      <c r="E43" s="43"/>
      <c r="F43" s="39" t="s">
        <v>35</v>
      </c>
      <c r="G43" s="43"/>
      <c r="H43" s="47"/>
      <c r="I43" s="23">
        <v>0.47058296073086098</v>
      </c>
      <c r="J43" s="24">
        <v>0.56057880037465602</v>
      </c>
      <c r="K43" s="24">
        <v>0.46869900920257601</v>
      </c>
      <c r="L43" s="24">
        <v>0.53070641276230801</v>
      </c>
      <c r="M43" s="24">
        <v>0.45140171773316501</v>
      </c>
      <c r="N43" s="24">
        <v>0.49186254795224399</v>
      </c>
      <c r="O43" s="24">
        <v>0.42807732379892399</v>
      </c>
      <c r="P43" s="24">
        <v>0.45262950770911498</v>
      </c>
      <c r="Q43" s="24">
        <v>0.41433373474027402</v>
      </c>
      <c r="R43" s="25">
        <v>0.42978330219699001</v>
      </c>
    </row>
    <row r="44" spans="2:18" ht="17" thickBot="1" x14ac:dyDescent="0.25">
      <c r="G44" s="35"/>
      <c r="H44" s="35"/>
    </row>
    <row r="45" spans="2:18" x14ac:dyDescent="0.2">
      <c r="C45" s="49" t="s">
        <v>36</v>
      </c>
      <c r="D45" s="49"/>
      <c r="E45" s="49"/>
    </row>
    <row r="46" spans="2:18" x14ac:dyDescent="0.2">
      <c r="C46" s="48" t="s">
        <v>77</v>
      </c>
      <c r="D46" s="48"/>
      <c r="E46" s="48"/>
    </row>
    <row r="47" spans="2:18" x14ac:dyDescent="0.2">
      <c r="D47" s="7"/>
      <c r="E47" s="8"/>
      <c r="F47" s="8"/>
      <c r="G47" s="8"/>
      <c r="H47" s="8"/>
    </row>
    <row r="48" spans="2:18" x14ac:dyDescent="0.2">
      <c r="C48" s="28"/>
      <c r="D48" s="8"/>
      <c r="E48" s="8"/>
      <c r="F48" s="8"/>
      <c r="G48" s="8"/>
      <c r="H48" s="8"/>
    </row>
    <row r="49" spans="3:9" x14ac:dyDescent="0.2">
      <c r="C49" s="28"/>
      <c r="D49" s="8"/>
      <c r="E49" s="8"/>
      <c r="F49" s="8"/>
      <c r="G49" s="8"/>
      <c r="H49" s="8"/>
      <c r="I49" s="8"/>
    </row>
    <row r="50" spans="3:9" x14ac:dyDescent="0.2">
      <c r="C50" s="28"/>
      <c r="D50" s="8"/>
      <c r="E50" s="8"/>
      <c r="F50" s="8"/>
      <c r="G50" s="8"/>
      <c r="H50" s="8"/>
      <c r="I50" s="8"/>
    </row>
    <row r="51" spans="3:9" x14ac:dyDescent="0.2">
      <c r="C51" s="28"/>
      <c r="D51" s="8"/>
      <c r="E51" s="8"/>
      <c r="F51" s="8"/>
      <c r="G51" s="8"/>
      <c r="H51" s="8"/>
      <c r="I51" s="8"/>
    </row>
    <row r="52" spans="3:9" x14ac:dyDescent="0.2">
      <c r="C52" s="28"/>
      <c r="D52" s="8"/>
      <c r="E52" s="8"/>
      <c r="F52" s="8"/>
      <c r="G52" s="8"/>
      <c r="H52" s="8"/>
      <c r="I52" s="8"/>
    </row>
    <row r="53" spans="3:9" x14ac:dyDescent="0.2">
      <c r="C53" s="29"/>
      <c r="D53" s="8"/>
      <c r="E53" s="8"/>
      <c r="F53" s="8"/>
      <c r="G53" s="8"/>
      <c r="H53" s="8"/>
      <c r="I53" s="8"/>
    </row>
    <row r="54" spans="3:9" x14ac:dyDescent="0.2">
      <c r="C54" s="28"/>
      <c r="D54" s="8"/>
      <c r="E54" s="8"/>
      <c r="F54" s="8"/>
      <c r="G54" s="8"/>
      <c r="H54" s="8"/>
      <c r="I54" s="8"/>
    </row>
    <row r="55" spans="3:9" x14ac:dyDescent="0.2">
      <c r="C55" s="29"/>
      <c r="D55" s="8"/>
      <c r="E55" s="8"/>
      <c r="F55" s="8"/>
      <c r="G55" s="8"/>
      <c r="H55" s="8"/>
      <c r="I55" s="8"/>
    </row>
    <row r="56" spans="3:9" x14ac:dyDescent="0.2">
      <c r="C56" s="28"/>
      <c r="D56" s="8"/>
      <c r="E56" s="8"/>
      <c r="F56" s="8"/>
      <c r="G56" s="8"/>
      <c r="H56" s="8"/>
      <c r="I56" s="8"/>
    </row>
    <row r="57" spans="3:9" x14ac:dyDescent="0.2">
      <c r="C57" s="29"/>
      <c r="D57" s="8"/>
      <c r="E57" s="8"/>
      <c r="F57" s="8"/>
      <c r="G57" s="8"/>
      <c r="H57" s="8"/>
      <c r="I57" s="8"/>
    </row>
    <row r="58" spans="3:9" x14ac:dyDescent="0.2">
      <c r="C58" s="28"/>
      <c r="D58" s="8"/>
      <c r="E58" s="8"/>
      <c r="F58" s="8"/>
      <c r="G58" s="8"/>
      <c r="H58" s="8"/>
      <c r="I58" s="8"/>
    </row>
    <row r="59" spans="3:9" x14ac:dyDescent="0.2">
      <c r="C59" s="29"/>
      <c r="D59" s="8"/>
      <c r="E59" s="8"/>
      <c r="F59" s="8"/>
      <c r="G59" s="8"/>
      <c r="H59" s="8"/>
      <c r="I59" s="8"/>
    </row>
    <row r="60" spans="3:9" x14ac:dyDescent="0.2">
      <c r="D60" s="8"/>
      <c r="E60" s="8"/>
      <c r="F60" s="8"/>
      <c r="G60" s="8"/>
      <c r="H60" s="8"/>
      <c r="I60" s="8"/>
    </row>
    <row r="61" spans="3:9" x14ac:dyDescent="0.2">
      <c r="C61" s="29"/>
      <c r="D61" s="8"/>
      <c r="E61" s="8"/>
      <c r="F61" s="8"/>
      <c r="G61" s="8"/>
      <c r="H61" s="8"/>
      <c r="I61" s="8"/>
    </row>
    <row r="62" spans="3:9" x14ac:dyDescent="0.2">
      <c r="D62" s="8"/>
      <c r="E62" s="8"/>
      <c r="F62" s="8"/>
      <c r="G62" s="8"/>
      <c r="H62" s="8"/>
      <c r="I62" s="8"/>
    </row>
    <row r="63" spans="3:9" x14ac:dyDescent="0.2">
      <c r="C63" s="29"/>
      <c r="D63" s="8"/>
      <c r="E63" s="8"/>
      <c r="F63" s="8"/>
      <c r="G63" s="8"/>
      <c r="H63" s="8"/>
      <c r="I63" s="8"/>
    </row>
    <row r="64" spans="3:9" x14ac:dyDescent="0.2">
      <c r="C64" s="28"/>
      <c r="D64" s="8"/>
      <c r="E64" s="8"/>
      <c r="F64" s="8"/>
      <c r="G64" s="8"/>
      <c r="H64" s="8"/>
      <c r="I64" s="8"/>
    </row>
    <row r="65" spans="3:9" x14ac:dyDescent="0.2">
      <c r="C65" s="29"/>
      <c r="D65" s="8"/>
      <c r="E65" s="8"/>
      <c r="F65" s="8"/>
      <c r="G65" s="8"/>
      <c r="H65" s="8"/>
      <c r="I65" s="8"/>
    </row>
    <row r="66" spans="3:9" x14ac:dyDescent="0.2">
      <c r="C66" s="28"/>
      <c r="D66" s="8"/>
      <c r="E66" s="8"/>
      <c r="F66" s="8"/>
      <c r="G66" s="8"/>
      <c r="H66" s="8"/>
      <c r="I66" s="8"/>
    </row>
    <row r="67" spans="3:9" x14ac:dyDescent="0.2">
      <c r="C67" s="29"/>
      <c r="E67" s="8"/>
      <c r="F67" s="8"/>
      <c r="G67" s="8"/>
      <c r="H67" s="8"/>
      <c r="I67" s="8"/>
    </row>
    <row r="68" spans="3:9" x14ac:dyDescent="0.2">
      <c r="C68" s="28"/>
      <c r="E68" s="8"/>
      <c r="F68" s="8"/>
      <c r="G68" s="8"/>
      <c r="H68" s="8"/>
      <c r="I68" s="8"/>
    </row>
    <row r="69" spans="3:9" x14ac:dyDescent="0.2">
      <c r="C69" s="29"/>
    </row>
    <row r="70" spans="3:9" x14ac:dyDescent="0.2">
      <c r="C70" s="28"/>
    </row>
  </sheetData>
  <mergeCells count="123">
    <mergeCell ref="G42:G43"/>
    <mergeCell ref="H42:H43"/>
    <mergeCell ref="C46:E46"/>
    <mergeCell ref="C45:E45"/>
    <mergeCell ref="G36:G37"/>
    <mergeCell ref="H36:H37"/>
    <mergeCell ref="G38:G39"/>
    <mergeCell ref="H38:H39"/>
    <mergeCell ref="G40:G41"/>
    <mergeCell ref="H40:H41"/>
    <mergeCell ref="C38:C39"/>
    <mergeCell ref="C40:C41"/>
    <mergeCell ref="C42:C43"/>
    <mergeCell ref="G30:G31"/>
    <mergeCell ref="H30:H31"/>
    <mergeCell ref="G32:G33"/>
    <mergeCell ref="H32:H33"/>
    <mergeCell ref="G34:G35"/>
    <mergeCell ref="H34:H35"/>
    <mergeCell ref="G24:G25"/>
    <mergeCell ref="H24:H25"/>
    <mergeCell ref="G26:G27"/>
    <mergeCell ref="H26:H27"/>
    <mergeCell ref="G28:G29"/>
    <mergeCell ref="H28:H29"/>
    <mergeCell ref="G18:G19"/>
    <mergeCell ref="H18:H19"/>
    <mergeCell ref="G20:G21"/>
    <mergeCell ref="H20:H21"/>
    <mergeCell ref="G22:G23"/>
    <mergeCell ref="H22:H23"/>
    <mergeCell ref="H10:H11"/>
    <mergeCell ref="G12:G13"/>
    <mergeCell ref="H12:H13"/>
    <mergeCell ref="G14:G15"/>
    <mergeCell ref="H14:H15"/>
    <mergeCell ref="G16:G17"/>
    <mergeCell ref="H16:H17"/>
    <mergeCell ref="B40:B41"/>
    <mergeCell ref="B42:B43"/>
    <mergeCell ref="G2:H2"/>
    <mergeCell ref="G4:G5"/>
    <mergeCell ref="H4:H5"/>
    <mergeCell ref="G6:G7"/>
    <mergeCell ref="H6:H7"/>
    <mergeCell ref="G8:G9"/>
    <mergeCell ref="H8:H9"/>
    <mergeCell ref="G10:G11"/>
    <mergeCell ref="B28:B29"/>
    <mergeCell ref="B30:B31"/>
    <mergeCell ref="B32:B33"/>
    <mergeCell ref="B34:B35"/>
    <mergeCell ref="B36:B37"/>
    <mergeCell ref="B38:B39"/>
    <mergeCell ref="B16:B17"/>
    <mergeCell ref="B18:B19"/>
    <mergeCell ref="B20:B21"/>
    <mergeCell ref="B22:B23"/>
    <mergeCell ref="B24:B25"/>
    <mergeCell ref="B26:B27"/>
    <mergeCell ref="E40:E41"/>
    <mergeCell ref="E42:E43"/>
    <mergeCell ref="B4:B5"/>
    <mergeCell ref="B6:B7"/>
    <mergeCell ref="B8:B9"/>
    <mergeCell ref="B10:B11"/>
    <mergeCell ref="B12:B13"/>
    <mergeCell ref="B14:B15"/>
    <mergeCell ref="E28:E29"/>
    <mergeCell ref="E30:E31"/>
    <mergeCell ref="E32:E33"/>
    <mergeCell ref="E6:E7"/>
    <mergeCell ref="E8:E9"/>
    <mergeCell ref="E10:E11"/>
    <mergeCell ref="E14:E15"/>
    <mergeCell ref="E12:E13"/>
    <mergeCell ref="D32:D33"/>
    <mergeCell ref="D6:D7"/>
    <mergeCell ref="D8:D9"/>
    <mergeCell ref="D10:D11"/>
    <mergeCell ref="D12:D13"/>
    <mergeCell ref="D14:D15"/>
    <mergeCell ref="D16:D17"/>
    <mergeCell ref="D18:D19"/>
    <mergeCell ref="C14:C15"/>
    <mergeCell ref="C16:C17"/>
    <mergeCell ref="E34:E35"/>
    <mergeCell ref="E36:E37"/>
    <mergeCell ref="E38:E39"/>
    <mergeCell ref="E16:E17"/>
    <mergeCell ref="E18:E19"/>
    <mergeCell ref="E20:E21"/>
    <mergeCell ref="E22:E23"/>
    <mergeCell ref="E24:E25"/>
    <mergeCell ref="E26:E27"/>
    <mergeCell ref="D38:D39"/>
    <mergeCell ref="D40:D41"/>
    <mergeCell ref="D42:D43"/>
    <mergeCell ref="D20:D21"/>
    <mergeCell ref="D22:D23"/>
    <mergeCell ref="D24:D25"/>
    <mergeCell ref="D26:D27"/>
    <mergeCell ref="D30:D31"/>
    <mergeCell ref="D28:D29"/>
    <mergeCell ref="C22:C23"/>
    <mergeCell ref="C24:C25"/>
    <mergeCell ref="C32:C33"/>
    <mergeCell ref="C34:C35"/>
    <mergeCell ref="C36:C37"/>
    <mergeCell ref="C30:C31"/>
    <mergeCell ref="C26:C27"/>
    <mergeCell ref="C28:C29"/>
    <mergeCell ref="D34:D35"/>
    <mergeCell ref="D36:D37"/>
    <mergeCell ref="C8:C9"/>
    <mergeCell ref="C10:C11"/>
    <mergeCell ref="C12:C13"/>
    <mergeCell ref="C6:C7"/>
    <mergeCell ref="E4:E5"/>
    <mergeCell ref="D4:D5"/>
    <mergeCell ref="C4:C5"/>
    <mergeCell ref="C18:C19"/>
    <mergeCell ref="C20:C2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ED320-CF42-5947-A2DE-0536E01CD604}">
  <dimension ref="B1:Z52"/>
  <sheetViews>
    <sheetView topLeftCell="E1" workbookViewId="0">
      <selection activeCell="Z4" sqref="Z4"/>
    </sheetView>
  </sheetViews>
  <sheetFormatPr baseColWidth="10" defaultRowHeight="16" x14ac:dyDescent="0.2"/>
  <cols>
    <col min="1" max="2" width="21.6640625" bestFit="1" customWidth="1"/>
    <col min="3" max="3" width="20" bestFit="1" customWidth="1"/>
    <col min="4" max="4" width="59" customWidth="1"/>
    <col min="5" max="24" width="10" customWidth="1"/>
    <col min="25" max="25" width="10" bestFit="1" customWidth="1"/>
    <col min="26" max="26" width="13.1640625" bestFit="1" customWidth="1"/>
  </cols>
  <sheetData>
    <row r="1" spans="2:26" ht="17" thickBot="1" x14ac:dyDescent="0.25">
      <c r="D1" s="16" t="s">
        <v>36</v>
      </c>
      <c r="E1" s="53" t="s">
        <v>1</v>
      </c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</row>
    <row r="2" spans="2:26" ht="17" thickBot="1" x14ac:dyDescent="0.25">
      <c r="D2" s="16" t="s">
        <v>77</v>
      </c>
      <c r="E2" s="50" t="s">
        <v>34</v>
      </c>
      <c r="F2" s="51"/>
      <c r="G2" s="51"/>
      <c r="H2" s="51"/>
      <c r="I2" s="51"/>
      <c r="J2" s="51"/>
      <c r="K2" s="51"/>
      <c r="L2" s="51"/>
      <c r="M2" s="51"/>
      <c r="N2" s="52"/>
      <c r="O2" s="50" t="s">
        <v>35</v>
      </c>
      <c r="P2" s="51"/>
      <c r="Q2" s="51"/>
      <c r="R2" s="51"/>
      <c r="S2" s="51"/>
      <c r="T2" s="51"/>
      <c r="U2" s="51"/>
      <c r="V2" s="51"/>
      <c r="W2" s="51"/>
      <c r="X2" s="52"/>
    </row>
    <row r="3" spans="2:26" ht="17" thickBot="1" x14ac:dyDescent="0.25">
      <c r="B3" s="12" t="s">
        <v>0</v>
      </c>
      <c r="C3" s="1" t="s">
        <v>56</v>
      </c>
      <c r="D3" s="13" t="s">
        <v>37</v>
      </c>
      <c r="E3" s="2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4" t="s">
        <v>11</v>
      </c>
      <c r="O3" s="2" t="s">
        <v>2</v>
      </c>
      <c r="P3" s="3" t="s">
        <v>3</v>
      </c>
      <c r="Q3" s="3" t="s">
        <v>4</v>
      </c>
      <c r="R3" s="3" t="s">
        <v>5</v>
      </c>
      <c r="S3" s="3" t="s">
        <v>6</v>
      </c>
      <c r="T3" s="3" t="s">
        <v>7</v>
      </c>
      <c r="U3" s="3" t="s">
        <v>8</v>
      </c>
      <c r="V3" s="3" t="s">
        <v>9</v>
      </c>
      <c r="W3" s="3" t="s">
        <v>10</v>
      </c>
      <c r="X3" s="4" t="s">
        <v>11</v>
      </c>
      <c r="Y3" s="13" t="s">
        <v>32</v>
      </c>
      <c r="Z3" s="17" t="s">
        <v>33</v>
      </c>
    </row>
    <row r="4" spans="2:26" x14ac:dyDescent="0.2">
      <c r="B4" s="30" t="s">
        <v>22</v>
      </c>
      <c r="C4" s="9" t="s">
        <v>46</v>
      </c>
      <c r="D4" s="14" t="s">
        <v>57</v>
      </c>
      <c r="E4" s="18">
        <v>0.76066761139977901</v>
      </c>
      <c r="F4" s="19">
        <v>0.74937343358395903</v>
      </c>
      <c r="G4" s="19">
        <v>0.72222222222222199</v>
      </c>
      <c r="H4" s="19">
        <v>0.73713033953997797</v>
      </c>
      <c r="I4" s="19">
        <v>0.78477607216331702</v>
      </c>
      <c r="J4" s="19">
        <v>0.72499999999999998</v>
      </c>
      <c r="K4" s="19">
        <v>0.77142857142857102</v>
      </c>
      <c r="L4" s="19">
        <v>0.71209513378188005</v>
      </c>
      <c r="M4" s="19">
        <v>0.73413514796644996</v>
      </c>
      <c r="N4" s="20">
        <v>0.73547472838923</v>
      </c>
      <c r="O4" s="18">
        <v>0.74555114373680298</v>
      </c>
      <c r="P4" s="19">
        <v>0.75301319883009299</v>
      </c>
      <c r="Q4" s="19">
        <v>0.75840360232735105</v>
      </c>
      <c r="R4" s="19">
        <v>0.78818371028133505</v>
      </c>
      <c r="S4" s="19">
        <v>0.76308963371300997</v>
      </c>
      <c r="T4" s="19">
        <v>0.77365976083283605</v>
      </c>
      <c r="U4" s="19">
        <v>0.76057219181573799</v>
      </c>
      <c r="V4" s="19">
        <v>0.76238088269638105</v>
      </c>
      <c r="W4" s="19">
        <v>0.74452259594734305</v>
      </c>
      <c r="X4" s="20">
        <v>0.761136074140913</v>
      </c>
      <c r="Y4" s="21">
        <f>AVERAGE(E4:X4)</f>
        <v>0.75214080273985928</v>
      </c>
      <c r="Z4" s="22">
        <f t="shared" ref="Z4:Z23" si="0">_xlfn.STDEV.S(E4:X4)</f>
        <v>2.0339823565443751E-2</v>
      </c>
    </row>
    <row r="5" spans="2:26" x14ac:dyDescent="0.2">
      <c r="B5" s="30" t="s">
        <v>29</v>
      </c>
      <c r="C5" s="10" t="s">
        <v>53</v>
      </c>
      <c r="D5" s="14" t="s">
        <v>58</v>
      </c>
      <c r="E5" s="18">
        <v>0.69309462915600994</v>
      </c>
      <c r="F5" s="19">
        <v>0.68627450980392102</v>
      </c>
      <c r="G5" s="19">
        <v>0.71354166666666596</v>
      </c>
      <c r="H5" s="19">
        <v>0.68508896236813099</v>
      </c>
      <c r="I5" s="19">
        <v>0.71354166666666596</v>
      </c>
      <c r="J5" s="19">
        <v>0.73413514796644996</v>
      </c>
      <c r="K5" s="19">
        <v>0.71631205673758802</v>
      </c>
      <c r="L5" s="19">
        <v>0.70470229497672898</v>
      </c>
      <c r="M5" s="19">
        <v>0.684002633311389</v>
      </c>
      <c r="N5" s="20">
        <v>0.71354166666666596</v>
      </c>
      <c r="O5" s="18">
        <v>0.74345212664326898</v>
      </c>
      <c r="P5" s="19">
        <v>0.72648747807478697</v>
      </c>
      <c r="Q5" s="19">
        <v>0.73242175559093003</v>
      </c>
      <c r="R5" s="19">
        <v>0.75639466046006099</v>
      </c>
      <c r="S5" s="19">
        <v>0.73038584733937295</v>
      </c>
      <c r="T5" s="19">
        <v>0.77334227232675801</v>
      </c>
      <c r="U5" s="19">
        <v>0.75167692862841695</v>
      </c>
      <c r="V5" s="19">
        <v>0.75570652572000296</v>
      </c>
      <c r="W5" s="19">
        <v>0.73710287236568395</v>
      </c>
      <c r="X5" s="20">
        <v>0.76313188905065699</v>
      </c>
      <c r="Y5" s="21">
        <f t="shared" ref="Y5:Y23" si="1">AVERAGE(E5:X5)</f>
        <v>0.72571687952600761</v>
      </c>
      <c r="Z5" s="22">
        <f t="shared" si="0"/>
        <v>2.6901647747562717E-2</v>
      </c>
    </row>
    <row r="6" spans="2:26" x14ac:dyDescent="0.2">
      <c r="B6" s="30" t="s">
        <v>15</v>
      </c>
      <c r="C6" s="10" t="s">
        <v>39</v>
      </c>
      <c r="D6" s="14" t="s">
        <v>59</v>
      </c>
      <c r="E6" s="18">
        <v>0.67902423367035802</v>
      </c>
      <c r="F6" s="19">
        <v>0.68705992802378302</v>
      </c>
      <c r="G6" s="19">
        <v>0.67272132220585801</v>
      </c>
      <c r="H6" s="19">
        <v>0.72222222222222199</v>
      </c>
      <c r="I6" s="19">
        <v>0.69890361642938903</v>
      </c>
      <c r="J6" s="19">
        <v>0.71631205673758802</v>
      </c>
      <c r="K6" s="19">
        <v>0.71033574720210602</v>
      </c>
      <c r="L6" s="19">
        <v>0.70202429149797496</v>
      </c>
      <c r="M6" s="19">
        <v>0.69531379367444901</v>
      </c>
      <c r="N6" s="20">
        <v>0.71631205673758802</v>
      </c>
      <c r="O6" s="18">
        <v>0.72047956053325002</v>
      </c>
      <c r="P6" s="19">
        <v>0.726020906016139</v>
      </c>
      <c r="Q6" s="19">
        <v>0.72892670765774403</v>
      </c>
      <c r="R6" s="19">
        <v>0.74058452577492195</v>
      </c>
      <c r="S6" s="19">
        <v>0.74205316700620805</v>
      </c>
      <c r="T6" s="19">
        <v>0.757473643656981</v>
      </c>
      <c r="U6" s="19">
        <v>0.74554963107552896</v>
      </c>
      <c r="V6" s="19">
        <v>0.75930272115120201</v>
      </c>
      <c r="W6" s="19">
        <v>0.73297968418037196</v>
      </c>
      <c r="X6" s="20">
        <v>0.74974542328154803</v>
      </c>
      <c r="Y6" s="21">
        <f t="shared" si="1"/>
        <v>0.72016726193676051</v>
      </c>
      <c r="Z6" s="22">
        <f t="shared" si="0"/>
        <v>2.5322303443961452E-2</v>
      </c>
    </row>
    <row r="7" spans="2:26" x14ac:dyDescent="0.2">
      <c r="B7" s="30" t="s">
        <v>27</v>
      </c>
      <c r="C7" s="10" t="s">
        <v>51</v>
      </c>
      <c r="D7" s="14" t="s">
        <v>60</v>
      </c>
      <c r="E7" s="18">
        <v>0.72482801751094394</v>
      </c>
      <c r="F7" s="19">
        <v>0.74858579509742296</v>
      </c>
      <c r="G7" s="19">
        <v>0.74858579509742296</v>
      </c>
      <c r="H7" s="19">
        <v>0.72482801751094394</v>
      </c>
      <c r="I7" s="19">
        <v>0.72344437460716504</v>
      </c>
      <c r="J7" s="19">
        <v>0.68745116424441299</v>
      </c>
      <c r="K7" s="19">
        <v>0.65817376167115005</v>
      </c>
      <c r="L7" s="19">
        <v>0.64912280701754299</v>
      </c>
      <c r="M7" s="19">
        <v>0.60503264851090899</v>
      </c>
      <c r="N7" s="20">
        <v>0.68745116424441299</v>
      </c>
      <c r="O7" s="18">
        <v>0.71578450870083499</v>
      </c>
      <c r="P7" s="19">
        <v>0.71357529513766704</v>
      </c>
      <c r="Q7" s="19">
        <v>0.74356682957583897</v>
      </c>
      <c r="R7" s="19">
        <v>0.76930317051260599</v>
      </c>
      <c r="S7" s="19">
        <v>0.73751584751536303</v>
      </c>
      <c r="T7" s="19">
        <v>0.76230085621011601</v>
      </c>
      <c r="U7" s="19">
        <v>0.73459523222822998</v>
      </c>
      <c r="V7" s="19">
        <v>0.75787951309577894</v>
      </c>
      <c r="W7" s="19">
        <v>0.73455409771372604</v>
      </c>
      <c r="X7" s="20">
        <v>0.76032583316576496</v>
      </c>
      <c r="Y7" s="21">
        <f t="shared" si="1"/>
        <v>0.71934523646841264</v>
      </c>
      <c r="Z7" s="22">
        <f t="shared" si="0"/>
        <v>4.2608311125687019E-2</v>
      </c>
    </row>
    <row r="8" spans="2:26" x14ac:dyDescent="0.2">
      <c r="B8" s="30" t="s">
        <v>28</v>
      </c>
      <c r="C8" s="10" t="s">
        <v>52</v>
      </c>
      <c r="D8" s="14" t="s">
        <v>61</v>
      </c>
      <c r="E8" s="18">
        <v>0.68147794234750703</v>
      </c>
      <c r="F8" s="19">
        <v>0.68745116424441299</v>
      </c>
      <c r="G8" s="19">
        <v>0.71354166666666596</v>
      </c>
      <c r="H8" s="19">
        <v>0.76066761139977901</v>
      </c>
      <c r="I8" s="19">
        <v>0.67999999999999905</v>
      </c>
      <c r="J8" s="19">
        <v>0.75605841758947201</v>
      </c>
      <c r="K8" s="19">
        <v>0.66881934095048801</v>
      </c>
      <c r="L8" s="19">
        <v>0.74424552429667501</v>
      </c>
      <c r="M8" s="19">
        <v>0.684002633311389</v>
      </c>
      <c r="N8" s="20">
        <v>0.70202429149797496</v>
      </c>
      <c r="O8" s="18">
        <v>0.69138351080503602</v>
      </c>
      <c r="P8" s="19">
        <v>0.70938207923305896</v>
      </c>
      <c r="Q8" s="19">
        <v>0.70796480818609897</v>
      </c>
      <c r="R8" s="19">
        <v>0.73038179197688202</v>
      </c>
      <c r="S8" s="19">
        <v>0.71195792879813902</v>
      </c>
      <c r="T8" s="19">
        <v>0.74752959083878601</v>
      </c>
      <c r="U8" s="19">
        <v>0.71431191703117003</v>
      </c>
      <c r="V8" s="19">
        <v>0.75197144075552202</v>
      </c>
      <c r="W8" s="19">
        <v>0.70797773352273596</v>
      </c>
      <c r="X8" s="20">
        <v>0.73402714922890899</v>
      </c>
      <c r="Y8" s="21">
        <f t="shared" si="1"/>
        <v>0.71425882713403499</v>
      </c>
      <c r="Z8" s="22">
        <f t="shared" si="0"/>
        <v>2.7823520756101214E-2</v>
      </c>
    </row>
    <row r="9" spans="2:26" x14ac:dyDescent="0.2">
      <c r="B9" s="30" t="s">
        <v>12</v>
      </c>
      <c r="C9" s="10" t="s">
        <v>38</v>
      </c>
      <c r="D9" s="14" t="s">
        <v>62</v>
      </c>
      <c r="E9" s="18">
        <v>0.69696969696969702</v>
      </c>
      <c r="F9" s="19">
        <v>0.69981238273921198</v>
      </c>
      <c r="G9" s="19">
        <v>0.71867007672634198</v>
      </c>
      <c r="H9" s="19">
        <v>0.7</v>
      </c>
      <c r="I9" s="19">
        <v>0.72793522267206401</v>
      </c>
      <c r="J9" s="19">
        <v>0.72344437460716504</v>
      </c>
      <c r="K9" s="19">
        <v>0.70202429149797496</v>
      </c>
      <c r="L9" s="19">
        <v>0.69830295411690702</v>
      </c>
      <c r="M9" s="19">
        <v>0.65333333333333299</v>
      </c>
      <c r="N9" s="20">
        <v>0.74424552429667501</v>
      </c>
      <c r="O9" s="18">
        <v>0.71834007882068396</v>
      </c>
      <c r="P9" s="19">
        <v>0.70877849307251495</v>
      </c>
      <c r="Q9" s="19">
        <v>0.69224805238036802</v>
      </c>
      <c r="R9" s="19">
        <v>0.72818315186346805</v>
      </c>
      <c r="S9" s="19">
        <v>0.69396226396754801</v>
      </c>
      <c r="T9" s="19">
        <v>0.72716523872538397</v>
      </c>
      <c r="U9" s="19">
        <v>0.67449799024188595</v>
      </c>
      <c r="V9" s="19">
        <v>0.71118320145427005</v>
      </c>
      <c r="W9" s="19">
        <v>0.663407529163763</v>
      </c>
      <c r="X9" s="20">
        <v>0.70553376539463297</v>
      </c>
      <c r="Y9" s="21">
        <f t="shared" si="1"/>
        <v>0.70440188110219437</v>
      </c>
      <c r="Z9" s="22">
        <f t="shared" si="0"/>
        <v>2.2513097292199576E-2</v>
      </c>
    </row>
    <row r="10" spans="2:26" x14ac:dyDescent="0.2">
      <c r="B10" s="30" t="s">
        <v>13</v>
      </c>
      <c r="C10" s="10" t="s">
        <v>39</v>
      </c>
      <c r="D10" s="14" t="s">
        <v>63</v>
      </c>
      <c r="E10" s="18">
        <v>0.68508896236813099</v>
      </c>
      <c r="F10" s="19">
        <v>0.674185463659147</v>
      </c>
      <c r="G10" s="19">
        <v>0.627668111057615</v>
      </c>
      <c r="H10" s="19">
        <v>0.68705992802378302</v>
      </c>
      <c r="I10" s="19">
        <v>0.56799214531173203</v>
      </c>
      <c r="J10" s="19">
        <v>0.69696969696969702</v>
      </c>
      <c r="K10" s="19">
        <v>0.60500329163923605</v>
      </c>
      <c r="L10" s="19">
        <v>0.70881468586801699</v>
      </c>
      <c r="M10" s="19">
        <v>0.67272132220585801</v>
      </c>
      <c r="N10" s="20">
        <v>0.68147794234750703</v>
      </c>
      <c r="O10" s="18">
        <v>0.69590178866210295</v>
      </c>
      <c r="P10" s="19">
        <v>0.70142920290136401</v>
      </c>
      <c r="Q10" s="19">
        <v>0.70052463356089201</v>
      </c>
      <c r="R10" s="19">
        <v>0.74156901363271999</v>
      </c>
      <c r="S10" s="19">
        <v>0.71190353906082704</v>
      </c>
      <c r="T10" s="19">
        <v>0.75604662369483899</v>
      </c>
      <c r="U10" s="19">
        <v>0.716455676563448</v>
      </c>
      <c r="V10" s="19">
        <v>0.75652354453312498</v>
      </c>
      <c r="W10" s="19">
        <v>0.72390406262219298</v>
      </c>
      <c r="X10" s="20">
        <v>0.750598979367882</v>
      </c>
      <c r="Y10" s="21">
        <f t="shared" si="1"/>
        <v>0.69309193070250585</v>
      </c>
      <c r="Z10" s="22">
        <f t="shared" si="0"/>
        <v>4.8441797300561064E-2</v>
      </c>
    </row>
    <row r="11" spans="2:26" x14ac:dyDescent="0.2">
      <c r="B11" s="30" t="s">
        <v>31</v>
      </c>
      <c r="C11" s="10" t="s">
        <v>55</v>
      </c>
      <c r="D11" s="14" t="s">
        <v>64</v>
      </c>
      <c r="E11" s="18">
        <v>0.58743553680262495</v>
      </c>
      <c r="F11" s="19">
        <v>0.60199004975124304</v>
      </c>
      <c r="G11" s="19">
        <v>0.64912280701754299</v>
      </c>
      <c r="H11" s="19">
        <v>0.64912280701754299</v>
      </c>
      <c r="I11" s="19">
        <v>0.66244725738396604</v>
      </c>
      <c r="J11" s="19">
        <v>0.65989607935758099</v>
      </c>
      <c r="K11" s="19">
        <v>0.67500000000000004</v>
      </c>
      <c r="L11" s="19">
        <v>0.68508896236813099</v>
      </c>
      <c r="M11" s="19">
        <v>0.68705992802378302</v>
      </c>
      <c r="N11" s="20">
        <v>0.65989607935758099</v>
      </c>
      <c r="O11" s="18">
        <v>0.66348406588793496</v>
      </c>
      <c r="P11" s="19">
        <v>0.63603670736306095</v>
      </c>
      <c r="Q11" s="19">
        <v>0.68972774274600002</v>
      </c>
      <c r="R11" s="19">
        <v>0.67767597705792404</v>
      </c>
      <c r="S11" s="19">
        <v>0.70001409811767901</v>
      </c>
      <c r="T11" s="19">
        <v>0.70397268389223899</v>
      </c>
      <c r="U11" s="19">
        <v>0.72419582612491995</v>
      </c>
      <c r="V11" s="19">
        <v>0.71671649977750296</v>
      </c>
      <c r="W11" s="19">
        <v>0.72129329452039903</v>
      </c>
      <c r="X11" s="20">
        <v>0.723240628086532</v>
      </c>
      <c r="Y11" s="21">
        <f t="shared" si="1"/>
        <v>0.67367085153270934</v>
      </c>
      <c r="Z11" s="22">
        <f t="shared" si="0"/>
        <v>3.7790027538835258E-2</v>
      </c>
    </row>
    <row r="12" spans="2:26" x14ac:dyDescent="0.2">
      <c r="B12" s="30" t="s">
        <v>16</v>
      </c>
      <c r="C12" s="10" t="s">
        <v>41</v>
      </c>
      <c r="D12" s="14" t="s">
        <v>65</v>
      </c>
      <c r="E12" s="18">
        <v>0.63744335052351897</v>
      </c>
      <c r="F12" s="19">
        <v>0.65020242914979698</v>
      </c>
      <c r="G12" s="19">
        <v>0.66244725738396604</v>
      </c>
      <c r="H12" s="19">
        <v>0.66751918158567702</v>
      </c>
      <c r="I12" s="19">
        <v>0.63744335052351897</v>
      </c>
      <c r="J12" s="19">
        <v>0.66984126984126902</v>
      </c>
      <c r="K12" s="19">
        <v>0.63744335052351897</v>
      </c>
      <c r="L12" s="19">
        <v>0.63607843137254805</v>
      </c>
      <c r="M12" s="19">
        <v>0.63744335052351897</v>
      </c>
      <c r="N12" s="20">
        <v>0.66117647058823503</v>
      </c>
      <c r="O12" s="18">
        <v>0.67145306881879396</v>
      </c>
      <c r="P12" s="19">
        <v>0.64801472129728799</v>
      </c>
      <c r="Q12" s="19">
        <v>0.68959890021140902</v>
      </c>
      <c r="R12" s="19">
        <v>0.67897162431271396</v>
      </c>
      <c r="S12" s="19">
        <v>0.697252031187229</v>
      </c>
      <c r="T12" s="19">
        <v>0.69437113696521302</v>
      </c>
      <c r="U12" s="19">
        <v>0.69879934024135704</v>
      </c>
      <c r="V12" s="19">
        <v>0.69381472968409896</v>
      </c>
      <c r="W12" s="19">
        <v>0.70891336243104497</v>
      </c>
      <c r="X12" s="20">
        <v>0.70992915953606095</v>
      </c>
      <c r="Y12" s="21">
        <f t="shared" si="1"/>
        <v>0.66940782583503888</v>
      </c>
      <c r="Z12" s="22">
        <f t="shared" si="0"/>
        <v>2.5862236663911801E-2</v>
      </c>
    </row>
    <row r="13" spans="2:26" x14ac:dyDescent="0.2">
      <c r="B13" s="30" t="s">
        <v>14</v>
      </c>
      <c r="C13" s="10" t="s">
        <v>40</v>
      </c>
      <c r="D13" s="14" t="s">
        <v>66</v>
      </c>
      <c r="E13" s="18">
        <v>0.61636828644501196</v>
      </c>
      <c r="F13" s="19">
        <v>0.62287869264613405</v>
      </c>
      <c r="G13" s="19">
        <v>0.615830435502566</v>
      </c>
      <c r="H13" s="19">
        <v>0.68147794234750703</v>
      </c>
      <c r="I13" s="19">
        <v>0.69890361642938903</v>
      </c>
      <c r="J13" s="19">
        <v>0.73244147157190598</v>
      </c>
      <c r="K13" s="19">
        <v>0.71033574720210602</v>
      </c>
      <c r="L13" s="19">
        <v>0.78173647889584297</v>
      </c>
      <c r="M13" s="19">
        <v>0.58071278825995798</v>
      </c>
      <c r="N13" s="20">
        <v>0.66437321698271501</v>
      </c>
      <c r="O13" s="18">
        <v>0.65704507312712501</v>
      </c>
      <c r="P13" s="19">
        <v>0.66123703582411897</v>
      </c>
      <c r="Q13" s="19">
        <v>0.63946708587032497</v>
      </c>
      <c r="R13" s="19">
        <v>0.68353103578101004</v>
      </c>
      <c r="S13" s="19">
        <v>0.670321615905077</v>
      </c>
      <c r="T13" s="19">
        <v>0.69863082660204401</v>
      </c>
      <c r="U13" s="19">
        <v>0.66124008332162199</v>
      </c>
      <c r="V13" s="19">
        <v>0.68404760002630005</v>
      </c>
      <c r="W13" s="19">
        <v>0.63820986544283598</v>
      </c>
      <c r="X13" s="20">
        <v>0.66180013305179197</v>
      </c>
      <c r="Y13" s="21">
        <f t="shared" si="1"/>
        <v>0.66802945156176929</v>
      </c>
      <c r="Z13" s="22">
        <f t="shared" si="0"/>
        <v>4.499541219662135E-2</v>
      </c>
    </row>
    <row r="14" spans="2:26" x14ac:dyDescent="0.2">
      <c r="B14" s="30" t="s">
        <v>17</v>
      </c>
      <c r="C14" s="10" t="s">
        <v>40</v>
      </c>
      <c r="D14" s="14" t="s">
        <v>67</v>
      </c>
      <c r="E14" s="18">
        <v>0.65817376167115005</v>
      </c>
      <c r="F14" s="19">
        <v>0.65817376167115005</v>
      </c>
      <c r="G14" s="19">
        <v>0.69696969696969702</v>
      </c>
      <c r="H14" s="19">
        <v>0.65</v>
      </c>
      <c r="I14" s="19">
        <v>0.63541666666666596</v>
      </c>
      <c r="J14" s="19">
        <v>0.69830295411690702</v>
      </c>
      <c r="K14" s="19">
        <v>0.63133640552995396</v>
      </c>
      <c r="L14" s="19">
        <v>0.64194373401534499</v>
      </c>
      <c r="M14" s="19">
        <v>0.64841108857336005</v>
      </c>
      <c r="N14" s="20">
        <v>0.70202429149797496</v>
      </c>
      <c r="O14" s="18">
        <v>0.64744645553426605</v>
      </c>
      <c r="P14" s="19">
        <v>0.65533262271076098</v>
      </c>
      <c r="Q14" s="19">
        <v>0.65017385931641103</v>
      </c>
      <c r="R14" s="19">
        <v>0.67181798822755301</v>
      </c>
      <c r="S14" s="19">
        <v>0.62747654904475403</v>
      </c>
      <c r="T14" s="19">
        <v>0.67392985944315797</v>
      </c>
      <c r="U14" s="19">
        <v>0.62525583133943996</v>
      </c>
      <c r="V14" s="19">
        <v>0.66408095014959501</v>
      </c>
      <c r="W14" s="19">
        <v>0.61645030804350498</v>
      </c>
      <c r="X14" s="20">
        <v>0.64339945608287197</v>
      </c>
      <c r="Y14" s="21">
        <f t="shared" si="1"/>
        <v>0.65480581203022581</v>
      </c>
      <c r="Z14" s="22">
        <f t="shared" si="0"/>
        <v>2.4188560452575024E-2</v>
      </c>
    </row>
    <row r="15" spans="2:26" x14ac:dyDescent="0.2">
      <c r="B15" s="30" t="s">
        <v>21</v>
      </c>
      <c r="C15" s="10" t="s">
        <v>45</v>
      </c>
      <c r="D15" s="14" t="s">
        <v>68</v>
      </c>
      <c r="E15" s="18">
        <v>0.51406649616368205</v>
      </c>
      <c r="F15" s="19">
        <v>0.56727518593644299</v>
      </c>
      <c r="G15" s="19">
        <v>0.60753283747428399</v>
      </c>
      <c r="H15" s="19">
        <v>0.62429149797570804</v>
      </c>
      <c r="I15" s="19">
        <v>0.65989607935758099</v>
      </c>
      <c r="J15" s="19">
        <v>0.65334617236398596</v>
      </c>
      <c r="K15" s="19">
        <v>0.68705992802378302</v>
      </c>
      <c r="L15" s="19">
        <v>0.65817376167115005</v>
      </c>
      <c r="M15" s="19">
        <v>0.66202472226568598</v>
      </c>
      <c r="N15" s="20">
        <v>0.64646464646464596</v>
      </c>
      <c r="O15" s="18">
        <v>0.63450601568756004</v>
      </c>
      <c r="P15" s="19">
        <v>0.60302864014615398</v>
      </c>
      <c r="Q15" s="19">
        <v>0.68226048076062795</v>
      </c>
      <c r="R15" s="19">
        <v>0.65908110315901502</v>
      </c>
      <c r="S15" s="19">
        <v>0.67614817800483495</v>
      </c>
      <c r="T15" s="19">
        <v>0.65712214558896398</v>
      </c>
      <c r="U15" s="19">
        <v>0.66296875435960001</v>
      </c>
      <c r="V15" s="19">
        <v>0.66953352174782499</v>
      </c>
      <c r="W15" s="19">
        <v>0.68044630112132198</v>
      </c>
      <c r="X15" s="20">
        <v>0.67446884010683295</v>
      </c>
      <c r="Y15" s="21">
        <f t="shared" si="1"/>
        <v>0.6439847654189842</v>
      </c>
      <c r="Z15" s="22">
        <f t="shared" si="0"/>
        <v>4.301039458005658E-2</v>
      </c>
    </row>
    <row r="16" spans="2:26" x14ac:dyDescent="0.2">
      <c r="B16" s="5" t="s">
        <v>26</v>
      </c>
      <c r="C16" s="10" t="s">
        <v>50</v>
      </c>
      <c r="D16" s="14" t="s">
        <v>69</v>
      </c>
      <c r="E16" s="18">
        <v>0.58431743032593197</v>
      </c>
      <c r="F16" s="19">
        <v>0.57631198844487197</v>
      </c>
      <c r="G16" s="19">
        <v>0.58743553680262495</v>
      </c>
      <c r="H16" s="19">
        <v>0.58221237537585002</v>
      </c>
      <c r="I16" s="19">
        <v>0.63744335052351897</v>
      </c>
      <c r="J16" s="19">
        <v>0.59365079365079299</v>
      </c>
      <c r="K16" s="19">
        <v>0.65</v>
      </c>
      <c r="L16" s="19">
        <v>0.60951031333648198</v>
      </c>
      <c r="M16" s="19">
        <v>0.64978111319574705</v>
      </c>
      <c r="N16" s="20">
        <v>0.59773727215587602</v>
      </c>
      <c r="O16" s="18">
        <v>0.65895466158716198</v>
      </c>
      <c r="P16" s="19">
        <v>0.62940121297481899</v>
      </c>
      <c r="Q16" s="19">
        <v>0.67405771499898104</v>
      </c>
      <c r="R16" s="19">
        <v>0.65418447677040503</v>
      </c>
      <c r="S16" s="19">
        <v>0.68005384667172697</v>
      </c>
      <c r="T16" s="19">
        <v>0.66811638445737298</v>
      </c>
      <c r="U16" s="19">
        <v>0.69239457034431995</v>
      </c>
      <c r="V16" s="19">
        <v>0.68868755677335802</v>
      </c>
      <c r="W16" s="19">
        <v>0.69803309765240196</v>
      </c>
      <c r="X16" s="20">
        <v>0.68973576618124399</v>
      </c>
      <c r="Y16" s="21">
        <f t="shared" si="1"/>
        <v>0.64010097311117431</v>
      </c>
      <c r="Z16" s="22">
        <f t="shared" si="0"/>
        <v>4.1996173453004666E-2</v>
      </c>
    </row>
    <row r="17" spans="2:26" x14ac:dyDescent="0.2">
      <c r="B17" s="5" t="s">
        <v>23</v>
      </c>
      <c r="C17" s="10" t="s">
        <v>47</v>
      </c>
      <c r="D17" s="14" t="s">
        <v>70</v>
      </c>
      <c r="E17" s="18">
        <v>0.63607843137254805</v>
      </c>
      <c r="F17" s="19">
        <v>0.59899749373433497</v>
      </c>
      <c r="G17" s="19">
        <v>0.57867017774851803</v>
      </c>
      <c r="H17" s="19">
        <v>0.59079283887468004</v>
      </c>
      <c r="I17" s="19">
        <v>0.56268735672720804</v>
      </c>
      <c r="J17" s="19">
        <v>0.63894261766602101</v>
      </c>
      <c r="K17" s="19">
        <v>0.58071278825995798</v>
      </c>
      <c r="L17" s="19">
        <v>0.58382278905856599</v>
      </c>
      <c r="M17" s="19">
        <v>0.51461665747380003</v>
      </c>
      <c r="N17" s="20">
        <v>0.53296703296703296</v>
      </c>
      <c r="O17" s="18">
        <v>0.58235769670938897</v>
      </c>
      <c r="P17" s="19">
        <v>0.596276491641065</v>
      </c>
      <c r="Q17" s="19">
        <v>0.55267936262955297</v>
      </c>
      <c r="R17" s="19">
        <v>0.59198451881828895</v>
      </c>
      <c r="S17" s="19">
        <v>0.54287458024884006</v>
      </c>
      <c r="T17" s="19">
        <v>0.56239751848340902</v>
      </c>
      <c r="U17" s="19">
        <v>0.51152858960054803</v>
      </c>
      <c r="V17" s="19">
        <v>0.547981651475554</v>
      </c>
      <c r="W17" s="19">
        <v>0.48105007737184702</v>
      </c>
      <c r="X17" s="20">
        <v>0.52151075911825795</v>
      </c>
      <c r="Y17" s="21">
        <f t="shared" si="1"/>
        <v>0.56544647149897109</v>
      </c>
      <c r="Z17" s="22">
        <f t="shared" si="0"/>
        <v>4.0677336500459724E-2</v>
      </c>
    </row>
    <row r="18" spans="2:26" x14ac:dyDescent="0.2">
      <c r="B18" s="5" t="s">
        <v>30</v>
      </c>
      <c r="C18" s="10" t="s">
        <v>54</v>
      </c>
      <c r="D18" s="14" t="s">
        <v>71</v>
      </c>
      <c r="E18" s="18">
        <v>0.55000000000000004</v>
      </c>
      <c r="F18" s="19">
        <v>0.48335817188276198</v>
      </c>
      <c r="G18" s="19">
        <v>0.51242381622128397</v>
      </c>
      <c r="H18" s="19">
        <v>0.50310559006211097</v>
      </c>
      <c r="I18" s="19">
        <v>0.51242381622128397</v>
      </c>
      <c r="J18" s="19">
        <v>0.54887218045112696</v>
      </c>
      <c r="K18" s="19">
        <v>0.57473420888055005</v>
      </c>
      <c r="L18" s="19">
        <v>0.61195431074949103</v>
      </c>
      <c r="M18" s="19">
        <v>0.625</v>
      </c>
      <c r="N18" s="20">
        <v>0.59365079365079299</v>
      </c>
      <c r="O18" s="18">
        <v>0.59021766588374003</v>
      </c>
      <c r="P18" s="19">
        <v>0.54948578442295404</v>
      </c>
      <c r="Q18" s="19">
        <v>0.58684172707196203</v>
      </c>
      <c r="R18" s="19">
        <v>0.55960850773826099</v>
      </c>
      <c r="S18" s="19">
        <v>0.587903282973954</v>
      </c>
      <c r="T18" s="19">
        <v>0.57988605785630798</v>
      </c>
      <c r="U18" s="19">
        <v>0.58690045571948202</v>
      </c>
      <c r="V18" s="19">
        <v>0.58480487394884095</v>
      </c>
      <c r="W18" s="19">
        <v>0.58900882316664804</v>
      </c>
      <c r="X18" s="20">
        <v>0.57815243958542994</v>
      </c>
      <c r="Y18" s="21">
        <f t="shared" si="1"/>
        <v>0.56541662532434911</v>
      </c>
      <c r="Z18" s="22">
        <f t="shared" si="0"/>
        <v>3.7680764697770569E-2</v>
      </c>
    </row>
    <row r="19" spans="2:26" x14ac:dyDescent="0.2">
      <c r="B19" s="5" t="s">
        <v>18</v>
      </c>
      <c r="C19" s="10" t="s">
        <v>42</v>
      </c>
      <c r="D19" s="14" t="s">
        <v>72</v>
      </c>
      <c r="E19" s="18">
        <v>0.64646464646464596</v>
      </c>
      <c r="F19" s="19">
        <v>0.61195431074949103</v>
      </c>
      <c r="G19" s="19">
        <v>0.58382278905856599</v>
      </c>
      <c r="H19" s="19">
        <v>0.58221237537585002</v>
      </c>
      <c r="I19" s="19">
        <v>0.56043956043956</v>
      </c>
      <c r="J19" s="19">
        <v>0.58333333333333304</v>
      </c>
      <c r="K19" s="19">
        <v>0.48519948519948503</v>
      </c>
      <c r="L19" s="19">
        <v>0.53447363780638302</v>
      </c>
      <c r="M19" s="19">
        <v>0.52380952380952295</v>
      </c>
      <c r="N19" s="20">
        <v>0.58265875157402403</v>
      </c>
      <c r="O19" s="18">
        <v>0.57903112653910105</v>
      </c>
      <c r="P19" s="19">
        <v>0.60497800940558599</v>
      </c>
      <c r="Q19" s="19">
        <v>0.56660240478870205</v>
      </c>
      <c r="R19" s="19">
        <v>0.59382190139642499</v>
      </c>
      <c r="S19" s="19">
        <v>0.51480764245510202</v>
      </c>
      <c r="T19" s="19">
        <v>0.55180974992895004</v>
      </c>
      <c r="U19" s="19">
        <v>0.485075918883007</v>
      </c>
      <c r="V19" s="19">
        <v>0.51275061889599904</v>
      </c>
      <c r="W19" s="19">
        <v>0.47911858307379901</v>
      </c>
      <c r="X19" s="20">
        <v>0.52106691257861304</v>
      </c>
      <c r="Y19" s="21">
        <f t="shared" si="1"/>
        <v>0.55517156408780721</v>
      </c>
      <c r="Z19" s="22">
        <f t="shared" si="0"/>
        <v>4.6436375287544358E-2</v>
      </c>
    </row>
    <row r="20" spans="2:26" x14ac:dyDescent="0.2">
      <c r="B20" s="5" t="s">
        <v>24</v>
      </c>
      <c r="C20" s="10" t="s">
        <v>48</v>
      </c>
      <c r="D20" s="14" t="s">
        <v>73</v>
      </c>
      <c r="E20" s="18">
        <v>0.48613928329952599</v>
      </c>
      <c r="F20" s="19">
        <v>0.54545454545454497</v>
      </c>
      <c r="G20" s="19">
        <v>0.54285714285714204</v>
      </c>
      <c r="H20" s="19">
        <v>0.58333333333333304</v>
      </c>
      <c r="I20" s="19">
        <v>0.46428571428571402</v>
      </c>
      <c r="J20" s="19">
        <v>0.58071278825995798</v>
      </c>
      <c r="K20" s="19">
        <v>0.52380952380952295</v>
      </c>
      <c r="L20" s="19">
        <v>0.54403382974811498</v>
      </c>
      <c r="M20" s="19">
        <v>0.50291847109772103</v>
      </c>
      <c r="N20" s="20">
        <v>0.50291847109772103</v>
      </c>
      <c r="O20" s="18">
        <v>0.54054385170809804</v>
      </c>
      <c r="P20" s="19">
        <v>0.61332725049788805</v>
      </c>
      <c r="Q20" s="19">
        <v>0.54667734463900497</v>
      </c>
      <c r="R20" s="19">
        <v>0.60786575380164598</v>
      </c>
      <c r="S20" s="19">
        <v>0.54747145036579303</v>
      </c>
      <c r="T20" s="19">
        <v>0.58177513503760203</v>
      </c>
      <c r="U20" s="19">
        <v>0.52767778900656503</v>
      </c>
      <c r="V20" s="19">
        <v>0.56426839186043498</v>
      </c>
      <c r="W20" s="19">
        <v>0.51617248793776704</v>
      </c>
      <c r="X20" s="20">
        <v>0.55173490881117004</v>
      </c>
      <c r="Y20" s="21">
        <f t="shared" si="1"/>
        <v>0.54369887334546341</v>
      </c>
      <c r="Z20" s="22">
        <f t="shared" si="0"/>
        <v>3.8550354784593691E-2</v>
      </c>
    </row>
    <row r="21" spans="2:26" x14ac:dyDescent="0.2">
      <c r="B21" s="5" t="s">
        <v>25</v>
      </c>
      <c r="C21" s="10" t="s">
        <v>49</v>
      </c>
      <c r="D21" s="14" t="s">
        <v>74</v>
      </c>
      <c r="E21" s="18">
        <v>0.47916666666666602</v>
      </c>
      <c r="F21" s="19">
        <v>0.51058823529411701</v>
      </c>
      <c r="G21" s="19">
        <v>0.53634707733068299</v>
      </c>
      <c r="H21" s="19">
        <v>0.55406911928651004</v>
      </c>
      <c r="I21" s="19">
        <v>0.52509444144630302</v>
      </c>
      <c r="J21" s="19">
        <v>0.58382278905856599</v>
      </c>
      <c r="K21" s="19">
        <v>0.49404761904761801</v>
      </c>
      <c r="L21" s="19">
        <v>0.53454545454545399</v>
      </c>
      <c r="M21" s="19">
        <v>0.450800915331807</v>
      </c>
      <c r="N21" s="20">
        <v>0.450800915331807</v>
      </c>
      <c r="O21" s="18">
        <v>0.53239530922266398</v>
      </c>
      <c r="P21" s="19">
        <v>0.58142490941349101</v>
      </c>
      <c r="Q21" s="19">
        <v>0.53794844144921306</v>
      </c>
      <c r="R21" s="19">
        <v>0.58551979104554397</v>
      </c>
      <c r="S21" s="19">
        <v>0.54295623243860802</v>
      </c>
      <c r="T21" s="19">
        <v>0.58078588284524302</v>
      </c>
      <c r="U21" s="19">
        <v>0.51837764301778899</v>
      </c>
      <c r="V21" s="19">
        <v>0.55226241541767096</v>
      </c>
      <c r="W21" s="19">
        <v>0.48573255624102801</v>
      </c>
      <c r="X21" s="20">
        <v>0.51595825274331297</v>
      </c>
      <c r="Y21" s="21">
        <f t="shared" si="1"/>
        <v>0.52763223335870491</v>
      </c>
      <c r="Z21" s="22">
        <f t="shared" si="0"/>
        <v>4.0767591012222618E-2</v>
      </c>
    </row>
    <row r="22" spans="2:26" x14ac:dyDescent="0.2">
      <c r="B22" s="5" t="s">
        <v>20</v>
      </c>
      <c r="C22" s="10" t="s">
        <v>44</v>
      </c>
      <c r="D22" s="14" t="s">
        <v>75</v>
      </c>
      <c r="E22" s="18">
        <v>0.49206349206349198</v>
      </c>
      <c r="F22" s="19">
        <v>0.56188389923329596</v>
      </c>
      <c r="G22" s="19">
        <v>0.55697264641718403</v>
      </c>
      <c r="H22" s="19">
        <v>0.55063392713850101</v>
      </c>
      <c r="I22" s="19">
        <v>0.47636363636363599</v>
      </c>
      <c r="J22" s="19">
        <v>0.53296703296703296</v>
      </c>
      <c r="K22" s="19">
        <v>0.450800915331807</v>
      </c>
      <c r="L22" s="19">
        <v>0.44266616456411201</v>
      </c>
      <c r="M22" s="19">
        <v>0.43573667711598701</v>
      </c>
      <c r="N22" s="20">
        <v>0.50291847109772103</v>
      </c>
      <c r="O22" s="18">
        <v>0.53954213370444104</v>
      </c>
      <c r="P22" s="19">
        <v>0.58697052721389897</v>
      </c>
      <c r="Q22" s="19">
        <v>0.53866073151409</v>
      </c>
      <c r="R22" s="19">
        <v>0.55903134828522405</v>
      </c>
      <c r="S22" s="19">
        <v>0.51590928915231005</v>
      </c>
      <c r="T22" s="19">
        <v>0.55419442068136304</v>
      </c>
      <c r="U22" s="19">
        <v>0.48634174201135499</v>
      </c>
      <c r="V22" s="19">
        <v>0.52538665291725895</v>
      </c>
      <c r="W22" s="19">
        <v>0.47137759035825799</v>
      </c>
      <c r="X22" s="20">
        <v>0.51595589350381799</v>
      </c>
      <c r="Y22" s="21">
        <f t="shared" si="1"/>
        <v>0.51481885958173934</v>
      </c>
      <c r="Z22" s="22">
        <f t="shared" si="0"/>
        <v>4.3530771214728863E-2</v>
      </c>
    </row>
    <row r="23" spans="2:26" ht="17" thickBot="1" x14ac:dyDescent="0.25">
      <c r="B23" s="6" t="s">
        <v>19</v>
      </c>
      <c r="C23" s="11" t="s">
        <v>43</v>
      </c>
      <c r="D23" s="15" t="s">
        <v>76</v>
      </c>
      <c r="E23" s="23">
        <v>0.47804619996473202</v>
      </c>
      <c r="F23" s="24">
        <v>0.48335817188276198</v>
      </c>
      <c r="G23" s="24">
        <v>0.48131197559115102</v>
      </c>
      <c r="H23" s="24">
        <v>0.57264957264957195</v>
      </c>
      <c r="I23" s="24">
        <v>0.38660209846650501</v>
      </c>
      <c r="J23" s="24">
        <v>0.450800915331807</v>
      </c>
      <c r="K23" s="24">
        <v>0.41164778374080702</v>
      </c>
      <c r="L23" s="24">
        <v>0.41164778374080702</v>
      </c>
      <c r="M23" s="24">
        <v>0.38660209846650501</v>
      </c>
      <c r="N23" s="25">
        <v>0.38660209846650501</v>
      </c>
      <c r="O23" s="23">
        <v>0.47058296073086098</v>
      </c>
      <c r="P23" s="24">
        <v>0.56057880037465602</v>
      </c>
      <c r="Q23" s="24">
        <v>0.46869900920257601</v>
      </c>
      <c r="R23" s="24">
        <v>0.53070641276230801</v>
      </c>
      <c r="S23" s="24">
        <v>0.45140171773316501</v>
      </c>
      <c r="T23" s="24">
        <v>0.49186254795224399</v>
      </c>
      <c r="U23" s="24">
        <v>0.42807732379892399</v>
      </c>
      <c r="V23" s="24">
        <v>0.45262950770911498</v>
      </c>
      <c r="W23" s="24">
        <v>0.41433373474027402</v>
      </c>
      <c r="X23" s="25">
        <v>0.42978330219699001</v>
      </c>
      <c r="Y23" s="26">
        <f t="shared" si="1"/>
        <v>0.45739620077511339</v>
      </c>
      <c r="Z23" s="27">
        <f t="shared" si="0"/>
        <v>5.3932807822580309E-2</v>
      </c>
    </row>
    <row r="29" spans="2:26" x14ac:dyDescent="0.2">
      <c r="C29" s="7"/>
      <c r="D29" s="8"/>
    </row>
    <row r="30" spans="2:26" x14ac:dyDescent="0.2">
      <c r="B30" s="28"/>
      <c r="C30" s="8"/>
      <c r="D30" s="8"/>
    </row>
    <row r="31" spans="2:26" x14ac:dyDescent="0.2">
      <c r="B31" s="28"/>
      <c r="C31" s="8"/>
      <c r="D31" s="8"/>
      <c r="E31" s="8"/>
    </row>
    <row r="32" spans="2:26" x14ac:dyDescent="0.2">
      <c r="B32" s="28"/>
      <c r="C32" s="8"/>
      <c r="D32" s="8"/>
      <c r="E32" s="8"/>
    </row>
    <row r="33" spans="2:5" x14ac:dyDescent="0.2">
      <c r="B33" s="28"/>
      <c r="C33" s="8"/>
      <c r="D33" s="8"/>
      <c r="E33" s="8"/>
    </row>
    <row r="34" spans="2:5" x14ac:dyDescent="0.2">
      <c r="B34" s="28"/>
      <c r="C34" s="8"/>
      <c r="D34" s="8"/>
      <c r="E34" s="8"/>
    </row>
    <row r="35" spans="2:5" x14ac:dyDescent="0.2">
      <c r="B35" s="29"/>
      <c r="C35" s="8"/>
      <c r="D35" s="8"/>
      <c r="E35" s="8"/>
    </row>
    <row r="36" spans="2:5" x14ac:dyDescent="0.2">
      <c r="B36" s="28"/>
      <c r="C36" s="8"/>
      <c r="D36" s="8"/>
      <c r="E36" s="8"/>
    </row>
    <row r="37" spans="2:5" x14ac:dyDescent="0.2">
      <c r="B37" s="29"/>
      <c r="C37" s="8"/>
      <c r="D37" s="8"/>
      <c r="E37" s="8"/>
    </row>
    <row r="38" spans="2:5" x14ac:dyDescent="0.2">
      <c r="B38" s="28"/>
      <c r="C38" s="8"/>
      <c r="D38" s="8"/>
      <c r="E38" s="8"/>
    </row>
    <row r="39" spans="2:5" x14ac:dyDescent="0.2">
      <c r="B39" s="29"/>
      <c r="C39" s="8"/>
      <c r="D39" s="8"/>
      <c r="E39" s="8"/>
    </row>
    <row r="40" spans="2:5" x14ac:dyDescent="0.2">
      <c r="B40" s="28"/>
      <c r="C40" s="8"/>
      <c r="D40" s="8"/>
      <c r="E40" s="8"/>
    </row>
    <row r="41" spans="2:5" x14ac:dyDescent="0.2">
      <c r="B41" s="29"/>
      <c r="C41" s="8"/>
      <c r="D41" s="8"/>
      <c r="E41" s="8"/>
    </row>
    <row r="42" spans="2:5" x14ac:dyDescent="0.2">
      <c r="C42" s="8"/>
      <c r="D42" s="8"/>
      <c r="E42" s="8"/>
    </row>
    <row r="43" spans="2:5" x14ac:dyDescent="0.2">
      <c r="B43" s="29"/>
      <c r="C43" s="8"/>
      <c r="D43" s="8"/>
      <c r="E43" s="8"/>
    </row>
    <row r="44" spans="2:5" x14ac:dyDescent="0.2">
      <c r="C44" s="8"/>
      <c r="D44" s="8"/>
      <c r="E44" s="8"/>
    </row>
    <row r="45" spans="2:5" x14ac:dyDescent="0.2">
      <c r="B45" s="29"/>
      <c r="C45" s="8"/>
      <c r="D45" s="8"/>
      <c r="E45" s="8"/>
    </row>
    <row r="46" spans="2:5" x14ac:dyDescent="0.2">
      <c r="B46" s="28"/>
      <c r="C46" s="8"/>
      <c r="D46" s="8"/>
      <c r="E46" s="8"/>
    </row>
    <row r="47" spans="2:5" x14ac:dyDescent="0.2">
      <c r="B47" s="29"/>
      <c r="C47" s="8"/>
      <c r="D47" s="8"/>
      <c r="E47" s="8"/>
    </row>
    <row r="48" spans="2:5" x14ac:dyDescent="0.2">
      <c r="B48" s="28"/>
      <c r="C48" s="8"/>
      <c r="D48" s="8"/>
      <c r="E48" s="8"/>
    </row>
    <row r="49" spans="2:5" x14ac:dyDescent="0.2">
      <c r="B49" s="29"/>
      <c r="D49" s="8"/>
      <c r="E49" s="8"/>
    </row>
    <row r="50" spans="2:5" x14ac:dyDescent="0.2">
      <c r="B50" s="28"/>
      <c r="D50" s="8"/>
      <c r="E50" s="8"/>
    </row>
    <row r="51" spans="2:5" x14ac:dyDescent="0.2">
      <c r="B51" s="29"/>
    </row>
    <row r="52" spans="2:5" x14ac:dyDescent="0.2">
      <c r="B52" s="28"/>
    </row>
  </sheetData>
  <sortState xmlns:xlrd2="http://schemas.microsoft.com/office/spreadsheetml/2017/richdata2" ref="B30:B52">
    <sortCondition ref="B30:B52"/>
  </sortState>
  <mergeCells count="3">
    <mergeCell ref="E2:N2"/>
    <mergeCell ref="O2:X2"/>
    <mergeCell ref="E1:X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Planilha3</vt:lpstr>
      <vt:lpstr>Apresentacao</vt:lpstr>
      <vt:lpstr>Planilha2</vt:lpstr>
      <vt:lpstr>Apresentacao!tabela_f1_scores_para_excel</vt:lpstr>
      <vt:lpstr>Planilha2!tabela_f1_scores_para_excel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César Faria</dc:creator>
  <cp:lastModifiedBy>Gil César Faria</cp:lastModifiedBy>
  <dcterms:created xsi:type="dcterms:W3CDTF">2025-09-14T21:27:55Z</dcterms:created>
  <dcterms:modified xsi:type="dcterms:W3CDTF">2025-11-12T01:33:18Z</dcterms:modified>
</cp:coreProperties>
</file>