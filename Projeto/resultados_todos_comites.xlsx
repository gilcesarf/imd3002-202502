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gilcesarf/git/repositories/imd/imd3002-202502/Projeto/"/>
    </mc:Choice>
  </mc:AlternateContent>
  <xr:revisionPtr revIDLastSave="0" documentId="13_ncr:1_{3B0EEBFC-1628-3443-A4DB-65FA734B6769}" xr6:coauthVersionLast="47" xr6:coauthVersionMax="47" xr10:uidLastSave="{00000000-0000-0000-0000-000000000000}"/>
  <bookViews>
    <workbookView xWindow="0" yWindow="880" windowWidth="41120" windowHeight="25700" activeTab="4" xr2:uid="{DB75B333-2FE5-1348-BF63-C184A4857D39}"/>
  </bookViews>
  <sheets>
    <sheet name="Bagging" sheetId="2" r:id="rId1"/>
    <sheet name="RandomForest" sheetId="9" r:id="rId2"/>
    <sheet name="Voting" sheetId="7" r:id="rId3"/>
    <sheet name="Stacking" sheetId="8" r:id="rId4"/>
    <sheet name="Top1Configs" sheetId="10" r:id="rId5"/>
    <sheet name="DadosCrus" sheetId="1" r:id="rId6"/>
  </sheets>
  <definedNames>
    <definedName name="resultados_todos_modelos" localSheetId="5">DadosCrus!$A$1:$J$769</definedName>
  </definedNames>
  <calcPr calcId="191029"/>
  <pivotCaches>
    <pivotCache cacheId="2" r:id="rId7"/>
    <pivotCache cacheId="3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7" i="10" l="1"/>
  <c r="H41" i="10"/>
  <c r="G40" i="10"/>
  <c r="F39" i="10"/>
  <c r="E38" i="10"/>
  <c r="O28" i="10"/>
  <c r="H28" i="10"/>
  <c r="G28" i="10"/>
  <c r="F28" i="10"/>
  <c r="E28" i="10"/>
  <c r="N27" i="10"/>
  <c r="H27" i="10"/>
  <c r="G27" i="10"/>
  <c r="F27" i="10"/>
  <c r="M26" i="10"/>
  <c r="L26" i="10"/>
  <c r="K26" i="10"/>
  <c r="J26" i="10"/>
  <c r="M25" i="10"/>
  <c r="L25" i="10"/>
  <c r="K25" i="10"/>
  <c r="J25" i="10"/>
  <c r="M24" i="10"/>
  <c r="L24" i="10"/>
  <c r="K24" i="10"/>
  <c r="J24" i="10"/>
  <c r="M23" i="10"/>
  <c r="L23" i="10"/>
  <c r="K23" i="10"/>
  <c r="J23" i="10"/>
  <c r="M22" i="10"/>
  <c r="L22" i="10"/>
  <c r="K22" i="10"/>
  <c r="J22" i="10"/>
  <c r="M21" i="10"/>
  <c r="L21" i="10"/>
  <c r="K21" i="10"/>
  <c r="J21" i="10"/>
  <c r="M20" i="10"/>
  <c r="L20" i="10"/>
  <c r="K20" i="10"/>
  <c r="J20" i="10"/>
  <c r="M19" i="10"/>
  <c r="L19" i="10"/>
  <c r="K19" i="10"/>
  <c r="J19" i="10"/>
  <c r="M18" i="10"/>
  <c r="L18" i="10"/>
  <c r="K18" i="10"/>
  <c r="J18" i="10"/>
  <c r="M17" i="10"/>
  <c r="L17" i="10"/>
  <c r="K17" i="10"/>
  <c r="J17" i="10"/>
  <c r="M16" i="10"/>
  <c r="L16" i="10"/>
  <c r="K16" i="10"/>
  <c r="J16" i="10"/>
  <c r="M15" i="10"/>
  <c r="L15" i="10"/>
  <c r="K15" i="10"/>
  <c r="J15" i="10"/>
  <c r="M14" i="10"/>
  <c r="L14" i="10"/>
  <c r="K14" i="10"/>
  <c r="J14" i="10"/>
  <c r="M13" i="10"/>
  <c r="L13" i="10"/>
  <c r="K13" i="10"/>
  <c r="J13" i="10"/>
  <c r="M12" i="10"/>
  <c r="L12" i="10"/>
  <c r="K12" i="10"/>
  <c r="J12" i="10"/>
  <c r="M11" i="10"/>
  <c r="L11" i="10"/>
  <c r="K11" i="10"/>
  <c r="J11" i="10"/>
  <c r="M10" i="10"/>
  <c r="L10" i="10"/>
  <c r="K10" i="10"/>
  <c r="J10" i="10"/>
  <c r="M9" i="10"/>
  <c r="L9" i="10"/>
  <c r="K9" i="10"/>
  <c r="J9" i="10"/>
  <c r="M8" i="10"/>
  <c r="L8" i="10"/>
  <c r="K8" i="10"/>
  <c r="J8" i="10"/>
  <c r="M7" i="10"/>
  <c r="L7" i="10"/>
  <c r="K7" i="10"/>
  <c r="J7" i="10"/>
  <c r="M6" i="10"/>
  <c r="L6" i="10"/>
  <c r="K6" i="10"/>
  <c r="J6" i="10"/>
  <c r="M5" i="10"/>
  <c r="L5" i="10"/>
  <c r="K5" i="10"/>
  <c r="J5" i="10"/>
  <c r="M4" i="10"/>
  <c r="L4" i="10"/>
  <c r="K4" i="10"/>
  <c r="J4" i="10"/>
  <c r="M3" i="10"/>
  <c r="L3" i="10"/>
  <c r="K3" i="10"/>
  <c r="J3" i="10"/>
  <c r="L27" i="10" l="1"/>
  <c r="K27" i="10"/>
  <c r="M27" i="10"/>
  <c r="K34" i="10" s="1"/>
  <c r="K40" i="10" s="1"/>
  <c r="F41" i="10" s="1"/>
  <c r="J27" i="10"/>
  <c r="K31" i="10" s="1"/>
  <c r="K37" i="10" s="1"/>
  <c r="F38" i="10" s="1"/>
  <c r="M33" i="10"/>
  <c r="M39" i="10" s="1"/>
  <c r="H40" i="10" s="1"/>
  <c r="J32" i="10"/>
  <c r="J38" i="10" s="1"/>
  <c r="E39" i="10" s="1"/>
  <c r="N28" i="10"/>
  <c r="B31" i="10" s="1"/>
  <c r="J33" i="10"/>
  <c r="J39" i="10" s="1"/>
  <c r="E40" i="10" s="1"/>
  <c r="J34" i="10"/>
  <c r="J40" i="10" s="1"/>
  <c r="E41" i="10" s="1"/>
  <c r="M31" i="10"/>
  <c r="M37" i="10" s="1"/>
  <c r="H38" i="10" s="1"/>
  <c r="L31" i="10"/>
  <c r="L37" i="10" s="1"/>
  <c r="G38" i="10" s="1"/>
  <c r="L32" i="10"/>
  <c r="L38" i="10" s="1"/>
  <c r="G39" i="10" s="1"/>
  <c r="K33" i="10" l="1"/>
  <c r="K39" i="10" s="1"/>
  <c r="F40" i="10" s="1"/>
  <c r="L34" i="10"/>
  <c r="L40" i="10" s="1"/>
  <c r="G41" i="10" s="1"/>
  <c r="M32" i="10"/>
  <c r="M38" i="10" s="1"/>
  <c r="H39" i="10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A498B59-09FF-8E47-BF6F-240036CD0CA2}" name="resultados_todos_modelos" type="6" refreshedVersion="8" background="1" saveData="1">
    <textPr sourceFile="/Users/gilcesarf/git/repositories/imd/imd3002-202502/Projeto/resultados_todos_modelos.csv" tab="0" comma="1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<sst xmlns="http://schemas.openxmlformats.org/spreadsheetml/2006/main" count="5013" uniqueCount="98">
  <si>
    <t>dataset</t>
  </si>
  <si>
    <t>model</t>
  </si>
  <si>
    <t>model_name</t>
  </si>
  <si>
    <t>config_rank</t>
  </si>
  <si>
    <t>params</t>
  </si>
  <si>
    <t>training_type</t>
  </si>
  <si>
    <t>f1_score</t>
  </si>
  <si>
    <t>f1_std</t>
  </si>
  <si>
    <t>scale_data</t>
  </si>
  <si>
    <t>execution_time</t>
  </si>
  <si>
    <t>hogfeat_128_16_4_9_pca</t>
  </si>
  <si>
    <t>Bagging</t>
  </si>
  <si>
    <t>{'estimatorModel': 'knn', 'n_estimators': 10}</t>
  </si>
  <si>
    <t>holdout</t>
  </si>
  <si>
    <t>False</t>
  </si>
  <si>
    <t>crossvalidation</t>
  </si>
  <si>
    <t>{'estimatorModel': 'knn', 'n_estimators': 20}</t>
  </si>
  <si>
    <t>{'estimatorModel': 'knn', 'n_estimators': 30}</t>
  </si>
  <si>
    <t>{'estimatorModel': 'dtree', 'n_estimators': 10}</t>
  </si>
  <si>
    <t>{'estimatorModel': 'dtree', 'n_estimators': 20}</t>
  </si>
  <si>
    <t>{'estimatorModel': 'dtree', 'n_estimators': 30}</t>
  </si>
  <si>
    <t>{'estimatorModel': 'nb', 'n_estimators': 10}</t>
  </si>
  <si>
    <t>{'estimatorModel': 'nb', 'n_estimators': 20}</t>
  </si>
  <si>
    <t>{'estimatorModel': 'nb', 'n_estimators': 30}</t>
  </si>
  <si>
    <t>{'estimatorModel': 'mlp', 'n_estimators': 10}</t>
  </si>
  <si>
    <t>{'estimatorModel': 'mlp', 'n_estimators': 20}</t>
  </si>
  <si>
    <t>{'estimatorModel': 'mlp', 'n_estimators': 30}</t>
  </si>
  <si>
    <t>Random Forest</t>
  </si>
  <si>
    <t>{'criterion': 'gini', 'n_estimators': 10}</t>
  </si>
  <si>
    <t>{'criterion': 'gini', 'n_estimators': 20}</t>
  </si>
  <si>
    <t>{'criterion': 'gini', 'n_estimators': 30}</t>
  </si>
  <si>
    <t>{'criterion': 'gini', 'n_estimators': 100}</t>
  </si>
  <si>
    <t>{'criterion': 'entropy', 'n_estimators': 10}</t>
  </si>
  <si>
    <t>{'criterion': 'entropy', 'n_estimators': 20}</t>
  </si>
  <si>
    <t>{'criterion': 'entropy', 'n_estimators': 30}</t>
  </si>
  <si>
    <t>{'criterion': 'entropy', 'n_estimators': 100}</t>
  </si>
  <si>
    <t>{'criterion': 'log_loss', 'n_estimators': 10}</t>
  </si>
  <si>
    <t>{'criterion': 'log_loss', 'n_estimators': 20}</t>
  </si>
  <si>
    <t>{'criterion': 'log_loss', 'n_estimators': 30}</t>
  </si>
  <si>
    <t>{'criterion': 'log_loss', 'n_estimators': 100}</t>
  </si>
  <si>
    <t>Voting</t>
  </si>
  <si>
    <t>{'n_estimators': 5}</t>
  </si>
  <si>
    <t>{'n_estimators': 10}</t>
  </si>
  <si>
    <t>{'n_estimators': 15}</t>
  </si>
  <si>
    <t>{'n_estimators': 20}</t>
  </si>
  <si>
    <t>Stacking</t>
  </si>
  <si>
    <t>hogfeat_256_64_2_18</t>
  </si>
  <si>
    <t>hogfeat_256_64_2_9</t>
  </si>
  <si>
    <t>hogfeat_128_16_4_9</t>
  </si>
  <si>
    <t>hogfeat_256_32_2_9_pca</t>
  </si>
  <si>
    <t>hogfeat_128_16_2_9_pca</t>
  </si>
  <si>
    <t>hogfeat_128_32_2_9</t>
  </si>
  <si>
    <t>lbpfeat_256_6_48</t>
  </si>
  <si>
    <t>lbpfeat_256_12_96</t>
  </si>
  <si>
    <t>hogfeat_256_32_2_9</t>
  </si>
  <si>
    <t>hogfeat_128_16_2_9</t>
  </si>
  <si>
    <t>lbpfeat_256_24_192</t>
  </si>
  <si>
    <t>Média de f1_score</t>
  </si>
  <si>
    <t>Total Geral</t>
  </si>
  <si>
    <t>DesvPad de f1_score</t>
  </si>
  <si>
    <t>Média de execution_time</t>
  </si>
  <si>
    <t>DesvPad de execution_time</t>
  </si>
  <si>
    <t>Friedman_P_Valor</t>
  </si>
  <si>
    <t>Matriz Nemenyi - Bagging</t>
  </si>
  <si>
    <t>config_1</t>
  </si>
  <si>
    <t>config_2</t>
  </si>
  <si>
    <t>config_3</t>
  </si>
  <si>
    <t>config_4</t>
  </si>
  <si>
    <t>config_5</t>
  </si>
  <si>
    <t>config_6</t>
  </si>
  <si>
    <t>config_7</t>
  </si>
  <si>
    <t>config_8</t>
  </si>
  <si>
    <t>config_9</t>
  </si>
  <si>
    <t>config_10</t>
  </si>
  <si>
    <t>config_11</t>
  </si>
  <si>
    <t>config_12</t>
  </si>
  <si>
    <t>Matriz Nemenyi - Random Forest</t>
  </si>
  <si>
    <t>Matriz Nemenyi - Stacking</t>
  </si>
  <si>
    <t>Matriz Nemenyi - Voting</t>
  </si>
  <si>
    <t>shape</t>
  </si>
  <si>
    <t>(800, 1765)</t>
  </si>
  <si>
    <t>(800, 118)</t>
  </si>
  <si>
    <t>(800, 3601)</t>
  </si>
  <si>
    <t>(800, 104)</t>
  </si>
  <si>
    <t>(800, 325)</t>
  </si>
  <si>
    <t>(800, 94)</t>
  </si>
  <si>
    <t>(800, 649)</t>
  </si>
  <si>
    <t>(800, 99)</t>
  </si>
  <si>
    <t>(800, 195)</t>
  </si>
  <si>
    <t>(800, 51)</t>
  </si>
  <si>
    <t>Média</t>
  </si>
  <si>
    <t>Desvio Padrão</t>
  </si>
  <si>
    <t>Friedman Value</t>
  </si>
  <si>
    <t>Friedman P Value:</t>
  </si>
  <si>
    <t>Bagging 12</t>
  </si>
  <si>
    <t>Random Forest 12</t>
  </si>
  <si>
    <t>Voting 1</t>
  </si>
  <si>
    <t>Stacking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</si>
</sst>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#,##0.0000000000000000"/>
    <numFmt numFmtId="165" formatCode="0.0000000000000000"/>
    <numFmt numFmtId="166" formatCode="0.000"/>
    <numFmt numFmtId="167" formatCode="_-* #,##0.00000000000000000000000000000_-;\-* #,##0.00000000000000000000000000000_-;_-* &quot;-&quot;??_-;_-@_-"/>
    <numFmt numFmtId="168" formatCode="#,##0.0000000000000000_ ;\-#,##0.0000000000000000\ "/>
    <numFmt numFmtId="169" formatCode="_-* #,##0.000000000000000_-;\-* #,##0.000000000000000_-;_-* &quot;-&quot;??_-;_-@_-"/>
  </numFmts>
  <fonts count="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pivotButton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2" fontId="0" fillId="0" borderId="0" xfId="0" applyNumberFormat="1"/>
    <xf numFmtId="167" fontId="0" fillId="0" borderId="0" xfId="1" applyNumberFormat="1" applyFont="1"/>
    <xf numFmtId="0" fontId="2" fillId="2" borderId="0" xfId="0" applyFont="1" applyFill="1"/>
    <xf numFmtId="0" fontId="2" fillId="0" borderId="0" xfId="0" applyFont="1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5" xfId="0" applyFont="1" applyBorder="1"/>
    <xf numFmtId="0" fontId="2" fillId="0" borderId="6" xfId="0" applyFont="1" applyBorder="1"/>
    <xf numFmtId="0" fontId="0" fillId="0" borderId="7" xfId="0" applyBorder="1"/>
    <xf numFmtId="168" fontId="0" fillId="0" borderId="0" xfId="0" applyNumberFormat="1"/>
    <xf numFmtId="0" fontId="2" fillId="0" borderId="9" xfId="0" applyFont="1" applyBorder="1"/>
    <xf numFmtId="0" fontId="0" fillId="0" borderId="10" xfId="0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0" fillId="0" borderId="14" xfId="0" applyBorder="1"/>
    <xf numFmtId="168" fontId="3" fillId="0" borderId="5" xfId="0" applyNumberFormat="1" applyFont="1" applyBorder="1"/>
    <xf numFmtId="168" fontId="3" fillId="0" borderId="6" xfId="0" applyNumberFormat="1" applyFont="1" applyBorder="1"/>
    <xf numFmtId="168" fontId="3" fillId="0" borderId="8" xfId="0" applyNumberFormat="1" applyFont="1" applyBorder="1"/>
    <xf numFmtId="168" fontId="3" fillId="0" borderId="0" xfId="0" applyNumberFormat="1" applyFont="1"/>
    <xf numFmtId="43" fontId="3" fillId="0" borderId="0" xfId="1" applyFont="1" applyFill="1" applyBorder="1"/>
    <xf numFmtId="0" fontId="4" fillId="0" borderId="12" xfId="0" applyFont="1" applyBorder="1"/>
    <xf numFmtId="168" fontId="3" fillId="0" borderId="12" xfId="0" applyNumberFormat="1" applyFont="1" applyBorder="1"/>
    <xf numFmtId="168" fontId="3" fillId="0" borderId="13" xfId="0" applyNumberFormat="1" applyFont="1" applyBorder="1"/>
    <xf numFmtId="168" fontId="3" fillId="0" borderId="15" xfId="0" applyNumberFormat="1" applyFont="1" applyBorder="1"/>
    <xf numFmtId="43" fontId="0" fillId="0" borderId="0" xfId="0" applyNumberFormat="1"/>
    <xf numFmtId="169" fontId="0" fillId="0" borderId="0" xfId="0" applyNumberFormat="1"/>
    <xf numFmtId="164" fontId="5" fillId="0" borderId="0" xfId="0" applyNumberFormat="1" applyFont="1"/>
  </cellXfs>
  <cellStyles count="2">
    <cellStyle name="Normal" xfId="0" builtinId="0"/>
    <cellStyle name="Vírgula" xfId="1" builtinId="3"/>
  </cellStyles>
  <dxfs count="5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il César Faria" refreshedDate="45970.993309027777" createdVersion="8" refreshedVersion="8" minRefreshableVersion="3" recordCount="768" xr:uid="{86866A5B-EBC5-7C40-993A-E7A5205A2861}">
  <cacheSource type="worksheet">
    <worksheetSource ref="A1:J769" sheet="DadosCrus"/>
  </cacheSource>
  <cacheFields count="10">
    <cacheField name="dataset" numFmtId="0">
      <sharedItems count="12">
        <s v="hogfeat_128_16_4_9_pca"/>
        <s v="hogfeat_256_64_2_18"/>
        <s v="hogfeat_256_64_2_9"/>
        <s v="hogfeat_128_16_4_9"/>
        <s v="hogfeat_256_32_2_9_pca"/>
        <s v="hogfeat_128_16_2_9_pca"/>
        <s v="hogfeat_128_32_2_9"/>
        <s v="lbpfeat_256_6_48"/>
        <s v="lbpfeat_256_12_96"/>
        <s v="hogfeat_256_32_2_9"/>
        <s v="hogfeat_128_16_2_9"/>
        <s v="lbpfeat_256_24_192"/>
      </sharedItems>
    </cacheField>
    <cacheField name="model" numFmtId="0">
      <sharedItems count="4">
        <s v="Bagging"/>
        <s v="Random Forest"/>
        <s v="Voting"/>
        <s v="Stacking"/>
      </sharedItems>
    </cacheField>
    <cacheField name="model_name" numFmtId="0">
      <sharedItems count="4">
        <s v="Bagging"/>
        <s v="Random Forest"/>
        <s v="Voting"/>
        <s v="Stacking"/>
      </sharedItems>
    </cacheField>
    <cacheField name="config_rank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params" numFmtId="0">
      <sharedItems count="28">
        <s v="{'estimatorModel': 'knn', 'n_estimators': 10}"/>
        <s v="{'estimatorModel': 'knn', 'n_estimators': 20}"/>
        <s v="{'estimatorModel': 'knn', 'n_estimators': 30}"/>
        <s v="{'estimatorModel': 'dtree', 'n_estimators': 10}"/>
        <s v="{'estimatorModel': 'dtree', 'n_estimators': 20}"/>
        <s v="{'estimatorModel': 'dtree', 'n_estimators': 30}"/>
        <s v="{'estimatorModel': 'nb', 'n_estimators': 10}"/>
        <s v="{'estimatorModel': 'nb', 'n_estimators': 20}"/>
        <s v="{'estimatorModel': 'nb', 'n_estimators': 30}"/>
        <s v="{'estimatorModel': 'mlp', 'n_estimators': 10}"/>
        <s v="{'estimatorModel': 'mlp', 'n_estimators': 20}"/>
        <s v="{'estimatorModel': 'mlp', 'n_estimators': 30}"/>
        <s v="{'criterion': 'gini', 'n_estimators': 10}"/>
        <s v="{'criterion': 'gini', 'n_estimators': 20}"/>
        <s v="{'criterion': 'gini', 'n_estimators': 30}"/>
        <s v="{'criterion': 'gini', 'n_estimators': 100}"/>
        <s v="{'criterion': 'entropy', 'n_estimators': 10}"/>
        <s v="{'criterion': 'entropy', 'n_estimators': 20}"/>
        <s v="{'criterion': 'entropy', 'n_estimators': 30}"/>
        <s v="{'criterion': 'entropy', 'n_estimators': 100}"/>
        <s v="{'criterion': 'log_loss', 'n_estimators': 10}"/>
        <s v="{'criterion': 'log_loss', 'n_estimators': 20}"/>
        <s v="{'criterion': 'log_loss', 'n_estimators': 30}"/>
        <s v="{'criterion': 'log_loss', 'n_estimators': 100}"/>
        <s v="{'n_estimators': 5}"/>
        <s v="{'n_estimators': 10}"/>
        <s v="{'n_estimators': 15}"/>
        <s v="{'n_estimators': 20}"/>
      </sharedItems>
    </cacheField>
    <cacheField name="training_type" numFmtId="0">
      <sharedItems count="2">
        <s v="holdout"/>
        <s v="crossvalidation"/>
      </sharedItems>
    </cacheField>
    <cacheField name="f1_score" numFmtId="0">
      <sharedItems containsSemiMixedTypes="0" containsString="0" containsNumber="1" minValue="0.46951411235111401" maxValue="0.81861355441974704"/>
    </cacheField>
    <cacheField name="f1_std" numFmtId="0">
      <sharedItems containsSemiMixedTypes="0" containsString="0" containsNumber="1" minValue="0" maxValue="7.7118243702564898E-2"/>
    </cacheField>
    <cacheField name="scale_data" numFmtId="0">
      <sharedItems/>
    </cacheField>
    <cacheField name="execution_time" numFmtId="0">
      <sharedItems containsSemiMixedTypes="0" containsString="0" containsNumber="1" minValue="2.7738809585571199E-2" maxValue="642.585424184798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il César Faria" refreshedDate="45972.601732754629" createdVersion="8" refreshedVersion="8" minRefreshableVersion="3" recordCount="768" xr:uid="{26E79D23-E339-2E4B-9C42-EED0462B5865}">
  <cacheSource type="worksheet">
    <worksheetSource name="resultados_todos_modelos" sheet="DadosCrus"/>
  </cacheSource>
  <cacheFields count="10">
    <cacheField name="dataset" numFmtId="0">
      <sharedItems/>
    </cacheField>
    <cacheField name="model" numFmtId="0">
      <sharedItems count="4">
        <s v="Bagging"/>
        <s v="Random Forest"/>
        <s v="Voting"/>
        <s v="Stacking"/>
      </sharedItems>
    </cacheField>
    <cacheField name="model_name" numFmtId="0">
      <sharedItems count="4">
        <s v="Bagging"/>
        <s v="Random Forest"/>
        <s v="Voting"/>
        <s v="Stacking"/>
      </sharedItems>
    </cacheField>
    <cacheField name="config_rank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params" numFmtId="0">
      <sharedItems count="28">
        <s v="{'estimatorModel': 'knn', 'n_estimators': 10}"/>
        <s v="{'estimatorModel': 'knn', 'n_estimators': 20}"/>
        <s v="{'estimatorModel': 'knn', 'n_estimators': 30}"/>
        <s v="{'estimatorModel': 'dtree', 'n_estimators': 10}"/>
        <s v="{'estimatorModel': 'dtree', 'n_estimators': 20}"/>
        <s v="{'estimatorModel': 'dtree', 'n_estimators': 30}"/>
        <s v="{'estimatorModel': 'nb', 'n_estimators': 10}"/>
        <s v="{'estimatorModel': 'nb', 'n_estimators': 20}"/>
        <s v="{'estimatorModel': 'nb', 'n_estimators': 30}"/>
        <s v="{'estimatorModel': 'mlp', 'n_estimators': 10}"/>
        <s v="{'estimatorModel': 'mlp', 'n_estimators': 20}"/>
        <s v="{'estimatorModel': 'mlp', 'n_estimators': 30}"/>
        <s v="{'criterion': 'gini', 'n_estimators': 10}"/>
        <s v="{'criterion': 'gini', 'n_estimators': 20}"/>
        <s v="{'criterion': 'gini', 'n_estimators': 30}"/>
        <s v="{'criterion': 'gini', 'n_estimators': 100}"/>
        <s v="{'criterion': 'entropy', 'n_estimators': 10}"/>
        <s v="{'criterion': 'entropy', 'n_estimators': 20}"/>
        <s v="{'criterion': 'entropy', 'n_estimators': 30}"/>
        <s v="{'criterion': 'entropy', 'n_estimators': 100}"/>
        <s v="{'criterion': 'log_loss', 'n_estimators': 10}"/>
        <s v="{'criterion': 'log_loss', 'n_estimators': 20}"/>
        <s v="{'criterion': 'log_loss', 'n_estimators': 30}"/>
        <s v="{'criterion': 'log_loss', 'n_estimators': 100}"/>
        <s v="{'n_estimators': 5}"/>
        <s v="{'n_estimators': 10}"/>
        <s v="{'n_estimators': 15}"/>
        <s v="{'n_estimators': 20}"/>
      </sharedItems>
    </cacheField>
    <cacheField name="training_type" numFmtId="0">
      <sharedItems/>
    </cacheField>
    <cacheField name="f1_score" numFmtId="0">
      <sharedItems containsSemiMixedTypes="0" containsString="0" containsNumber="1" minValue="0.46951411235111401" maxValue="0.81861355441974704"/>
    </cacheField>
    <cacheField name="f1_std" numFmtId="0">
      <sharedItems containsSemiMixedTypes="0" containsString="0" containsNumber="1" minValue="0" maxValue="7.7118243702564898E-2"/>
    </cacheField>
    <cacheField name="scale_data" numFmtId="0">
      <sharedItems/>
    </cacheField>
    <cacheField name="execution_time" numFmtId="0">
      <sharedItems containsSemiMixedTypes="0" containsString="0" containsNumber="1" minValue="2.7738809585571199E-2" maxValue="642.585424184798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68">
  <r>
    <x v="0"/>
    <x v="0"/>
    <x v="0"/>
    <x v="0"/>
    <x v="0"/>
    <x v="0"/>
    <n v="0.74856138107416803"/>
    <n v="0"/>
    <s v="False"/>
    <n v="0.409672021865844"/>
  </r>
  <r>
    <x v="0"/>
    <x v="0"/>
    <x v="0"/>
    <x v="0"/>
    <x v="0"/>
    <x v="1"/>
    <n v="0.71866241235804595"/>
    <n v="3.01406966789107E-2"/>
    <s v="False"/>
    <n v="0.63030576705932595"/>
  </r>
  <r>
    <x v="0"/>
    <x v="0"/>
    <x v="0"/>
    <x v="1"/>
    <x v="1"/>
    <x v="0"/>
    <n v="0.77421165790730995"/>
    <n v="0"/>
    <s v="False"/>
    <n v="8.0774068832397405E-2"/>
  </r>
  <r>
    <x v="0"/>
    <x v="0"/>
    <x v="0"/>
    <x v="1"/>
    <x v="1"/>
    <x v="1"/>
    <n v="0.72632302044588004"/>
    <n v="3.94836949814334E-2"/>
    <s v="False"/>
    <n v="1.2626600265502901"/>
  </r>
  <r>
    <x v="0"/>
    <x v="0"/>
    <x v="0"/>
    <x v="2"/>
    <x v="2"/>
    <x v="0"/>
    <n v="0.76768926249451497"/>
    <n v="0"/>
    <s v="False"/>
    <n v="9.0486049652099595E-2"/>
  </r>
  <r>
    <x v="0"/>
    <x v="0"/>
    <x v="0"/>
    <x v="2"/>
    <x v="2"/>
    <x v="1"/>
    <n v="0.72868355532523599"/>
    <n v="3.5628748279743001E-2"/>
    <s v="False"/>
    <n v="1.84807300567626"/>
  </r>
  <r>
    <x v="0"/>
    <x v="0"/>
    <x v="0"/>
    <x v="3"/>
    <x v="3"/>
    <x v="0"/>
    <n v="0.73824245757385198"/>
    <n v="0"/>
    <s v="False"/>
    <n v="5.4774045944213798E-2"/>
  </r>
  <r>
    <x v="0"/>
    <x v="0"/>
    <x v="0"/>
    <x v="3"/>
    <x v="3"/>
    <x v="1"/>
    <n v="0.72754762778555504"/>
    <n v="4.0883211713833197E-2"/>
    <s v="False"/>
    <n v="0.63232111930847101"/>
  </r>
  <r>
    <x v="0"/>
    <x v="0"/>
    <x v="0"/>
    <x v="4"/>
    <x v="4"/>
    <x v="0"/>
    <n v="0.73205989980822594"/>
    <n v="0"/>
    <s v="False"/>
    <n v="8.1265926361083901E-2"/>
  </r>
  <r>
    <x v="0"/>
    <x v="0"/>
    <x v="0"/>
    <x v="4"/>
    <x v="4"/>
    <x v="1"/>
    <n v="0.746914189267878"/>
    <n v="4.6171272579404003E-2"/>
    <s v="False"/>
    <n v="1.1371769905090301"/>
  </r>
  <r>
    <x v="0"/>
    <x v="0"/>
    <x v="0"/>
    <x v="5"/>
    <x v="5"/>
    <x v="0"/>
    <n v="0.71331316781898102"/>
    <n v="0"/>
    <s v="False"/>
    <n v="0.10065793991088801"/>
  </r>
  <r>
    <x v="0"/>
    <x v="0"/>
    <x v="0"/>
    <x v="5"/>
    <x v="5"/>
    <x v="1"/>
    <n v="0.75020760442151402"/>
    <n v="3.4160233225754601E-2"/>
    <s v="False"/>
    <n v="1.6207320690155"/>
  </r>
  <r>
    <x v="0"/>
    <x v="0"/>
    <x v="0"/>
    <x v="6"/>
    <x v="6"/>
    <x v="0"/>
    <n v="0.68838014395243297"/>
    <n v="0"/>
    <s v="False"/>
    <n v="2.7738809585571199E-2"/>
  </r>
  <r>
    <x v="0"/>
    <x v="0"/>
    <x v="0"/>
    <x v="6"/>
    <x v="6"/>
    <x v="1"/>
    <n v="0.71933507712313205"/>
    <n v="3.5105351655196598E-2"/>
    <s v="False"/>
    <n v="0.37841200828552202"/>
  </r>
  <r>
    <x v="0"/>
    <x v="0"/>
    <x v="0"/>
    <x v="7"/>
    <x v="7"/>
    <x v="0"/>
    <n v="0.70718239351071699"/>
    <n v="0"/>
    <s v="False"/>
    <n v="4.3839216232299798E-2"/>
  </r>
  <r>
    <x v="0"/>
    <x v="0"/>
    <x v="0"/>
    <x v="7"/>
    <x v="7"/>
    <x v="1"/>
    <n v="0.72215137874130597"/>
    <n v="3.3733069474528102E-2"/>
    <s v="False"/>
    <n v="0.65002894401550204"/>
  </r>
  <r>
    <x v="0"/>
    <x v="0"/>
    <x v="0"/>
    <x v="8"/>
    <x v="8"/>
    <x v="0"/>
    <n v="0.71959756956674803"/>
    <n v="0"/>
    <s v="False"/>
    <n v="5.55231571197509E-2"/>
  </r>
  <r>
    <x v="0"/>
    <x v="0"/>
    <x v="0"/>
    <x v="8"/>
    <x v="8"/>
    <x v="1"/>
    <n v="0.70505075240468496"/>
    <n v="3.7600153730856602E-2"/>
    <s v="False"/>
    <n v="0.86319208145141602"/>
  </r>
  <r>
    <x v="0"/>
    <x v="0"/>
    <x v="0"/>
    <x v="9"/>
    <x v="9"/>
    <x v="0"/>
    <n v="0.75606650421966004"/>
    <n v="0"/>
    <s v="False"/>
    <n v="1.64777183532714"/>
  </r>
  <r>
    <x v="0"/>
    <x v="0"/>
    <x v="0"/>
    <x v="9"/>
    <x v="9"/>
    <x v="1"/>
    <n v="0.77984960401929704"/>
    <n v="4.4213380818776502E-2"/>
    <s v="False"/>
    <n v="31.551607131958001"/>
  </r>
  <r>
    <x v="0"/>
    <x v="0"/>
    <x v="0"/>
    <x v="10"/>
    <x v="10"/>
    <x v="0"/>
    <n v="0.786755454690237"/>
    <n v="0"/>
    <s v="False"/>
    <n v="3.4775700569152801"/>
  </r>
  <r>
    <x v="0"/>
    <x v="0"/>
    <x v="0"/>
    <x v="10"/>
    <x v="10"/>
    <x v="1"/>
    <n v="0.79372542264597501"/>
    <n v="3.8545305369711798E-2"/>
    <s v="False"/>
    <n v="63.597707033157299"/>
  </r>
  <r>
    <x v="0"/>
    <x v="0"/>
    <x v="0"/>
    <x v="11"/>
    <x v="11"/>
    <x v="0"/>
    <n v="0.77528409090909001"/>
    <n v="0"/>
    <s v="False"/>
    <n v="5.45424103736877"/>
  </r>
  <r>
    <x v="0"/>
    <x v="0"/>
    <x v="0"/>
    <x v="11"/>
    <x v="11"/>
    <x v="1"/>
    <n v="0.78234771207136"/>
    <n v="2.7237162148255601E-2"/>
    <s v="False"/>
    <n v="95.972770214080796"/>
  </r>
  <r>
    <x v="0"/>
    <x v="1"/>
    <x v="1"/>
    <x v="0"/>
    <x v="12"/>
    <x v="0"/>
    <n v="0.74440495851519795"/>
    <n v="0"/>
    <s v="False"/>
    <n v="9.5932960510253906E-2"/>
  </r>
  <r>
    <x v="0"/>
    <x v="1"/>
    <x v="1"/>
    <x v="0"/>
    <x v="12"/>
    <x v="1"/>
    <n v="0.744793491724551"/>
    <n v="5.5748839090101102E-2"/>
    <s v="False"/>
    <n v="1.60715532302856"/>
  </r>
  <r>
    <x v="0"/>
    <x v="1"/>
    <x v="1"/>
    <x v="1"/>
    <x v="13"/>
    <x v="0"/>
    <n v="0.74456336455190197"/>
    <n v="0"/>
    <s v="False"/>
    <n v="9.0823173522949205E-2"/>
  </r>
  <r>
    <x v="0"/>
    <x v="1"/>
    <x v="1"/>
    <x v="1"/>
    <x v="13"/>
    <x v="1"/>
    <n v="0.73542184590743298"/>
    <n v="4.3294481526964197E-2"/>
    <s v="False"/>
    <n v="1.6390628814697199"/>
  </r>
  <r>
    <x v="0"/>
    <x v="1"/>
    <x v="1"/>
    <x v="2"/>
    <x v="14"/>
    <x v="0"/>
    <n v="0.71340068922305699"/>
    <n v="0"/>
    <s v="False"/>
    <n v="9.2965841293334905E-2"/>
  </r>
  <r>
    <x v="0"/>
    <x v="1"/>
    <x v="1"/>
    <x v="2"/>
    <x v="14"/>
    <x v="1"/>
    <n v="0.73799387445322495"/>
    <n v="4.22628291526808E-2"/>
    <s v="False"/>
    <n v="1.59663009643554"/>
  </r>
  <r>
    <x v="0"/>
    <x v="1"/>
    <x v="1"/>
    <x v="3"/>
    <x v="15"/>
    <x v="0"/>
    <n v="0.67601960784313697"/>
    <n v="0"/>
    <s v="False"/>
    <n v="9.2242956161498996E-2"/>
  </r>
  <r>
    <x v="0"/>
    <x v="1"/>
    <x v="1"/>
    <x v="3"/>
    <x v="15"/>
    <x v="1"/>
    <n v="0.73672918847765001"/>
    <n v="3.3948755870273899E-2"/>
    <s v="False"/>
    <n v="1.61759209632873"/>
  </r>
  <r>
    <x v="0"/>
    <x v="1"/>
    <x v="1"/>
    <x v="4"/>
    <x v="16"/>
    <x v="0"/>
    <n v="0.75698663605322003"/>
    <n v="0"/>
    <s v="False"/>
    <n v="9.5652103424072196E-2"/>
  </r>
  <r>
    <x v="0"/>
    <x v="1"/>
    <x v="1"/>
    <x v="4"/>
    <x v="16"/>
    <x v="1"/>
    <n v="0.75764567392477"/>
    <n v="3.5120761112026298E-2"/>
    <s v="False"/>
    <n v="1.6326918601989699"/>
  </r>
  <r>
    <x v="0"/>
    <x v="1"/>
    <x v="1"/>
    <x v="5"/>
    <x v="17"/>
    <x v="0"/>
    <n v="0.76324404761904696"/>
    <n v="0"/>
    <s v="False"/>
    <n v="8.8942050933837793E-2"/>
  </r>
  <r>
    <x v="0"/>
    <x v="1"/>
    <x v="1"/>
    <x v="5"/>
    <x v="17"/>
    <x v="1"/>
    <n v="0.74386058622243301"/>
    <n v="3.6932664308748399E-2"/>
    <s v="False"/>
    <n v="1.63228106498718"/>
  </r>
  <r>
    <x v="0"/>
    <x v="1"/>
    <x v="1"/>
    <x v="6"/>
    <x v="18"/>
    <x v="0"/>
    <n v="0.70718239351071699"/>
    <n v="0"/>
    <s v="False"/>
    <n v="9.4287872314453097E-2"/>
  </r>
  <r>
    <x v="0"/>
    <x v="1"/>
    <x v="1"/>
    <x v="6"/>
    <x v="18"/>
    <x v="1"/>
    <n v="0.73532522897187302"/>
    <n v="5.7893515295957099E-2"/>
    <s v="False"/>
    <n v="1.63243579864501"/>
  </r>
  <r>
    <x v="0"/>
    <x v="1"/>
    <x v="1"/>
    <x v="7"/>
    <x v="19"/>
    <x v="0"/>
    <n v="0.70677093596059104"/>
    <n v="0"/>
    <s v="False"/>
    <n v="8.7195873260498005E-2"/>
  </r>
  <r>
    <x v="0"/>
    <x v="1"/>
    <x v="1"/>
    <x v="7"/>
    <x v="19"/>
    <x v="1"/>
    <n v="0.73792929173265798"/>
    <n v="4.0424532667026801E-2"/>
    <s v="False"/>
    <n v="1.6474628448486299"/>
  </r>
  <r>
    <x v="0"/>
    <x v="1"/>
    <x v="1"/>
    <x v="8"/>
    <x v="20"/>
    <x v="0"/>
    <n v="0.71330973243623796"/>
    <n v="0"/>
    <s v="False"/>
    <n v="9.0810060501098605E-2"/>
  </r>
  <r>
    <x v="0"/>
    <x v="1"/>
    <x v="1"/>
    <x v="8"/>
    <x v="20"/>
    <x v="1"/>
    <n v="0.73893865063418096"/>
    <n v="3.86718845318006E-2"/>
    <s v="False"/>
    <n v="1.6631400585174501"/>
  </r>
  <r>
    <x v="0"/>
    <x v="1"/>
    <x v="1"/>
    <x v="9"/>
    <x v="21"/>
    <x v="0"/>
    <n v="0.70084852294154598"/>
    <n v="0"/>
    <s v="False"/>
    <n v="9.54868793487548E-2"/>
  </r>
  <r>
    <x v="0"/>
    <x v="1"/>
    <x v="1"/>
    <x v="9"/>
    <x v="21"/>
    <x v="1"/>
    <n v="0.75147452927563496"/>
    <n v="4.1260582614928501E-2"/>
    <s v="False"/>
    <n v="1.6144819259643499"/>
  </r>
  <r>
    <x v="0"/>
    <x v="1"/>
    <x v="1"/>
    <x v="10"/>
    <x v="22"/>
    <x v="0"/>
    <n v="0.72577781269641695"/>
    <n v="0"/>
    <s v="False"/>
    <n v="8.9813947677612305E-2"/>
  </r>
  <r>
    <x v="0"/>
    <x v="1"/>
    <x v="1"/>
    <x v="10"/>
    <x v="22"/>
    <x v="1"/>
    <n v="0.74635529163247605"/>
    <n v="4.87078248491883E-2"/>
    <s v="False"/>
    <n v="1.6535060405731199"/>
  </r>
  <r>
    <x v="0"/>
    <x v="1"/>
    <x v="1"/>
    <x v="11"/>
    <x v="23"/>
    <x v="0"/>
    <n v="0.73783143939393903"/>
    <n v="0"/>
    <s v="False"/>
    <n v="9.2460155487060505E-2"/>
  </r>
  <r>
    <x v="0"/>
    <x v="1"/>
    <x v="1"/>
    <x v="11"/>
    <x v="23"/>
    <x v="1"/>
    <n v="0.73497998447403201"/>
    <n v="4.7745474137889501E-2"/>
    <s v="False"/>
    <n v="1.63584184646606"/>
  </r>
  <r>
    <x v="0"/>
    <x v="2"/>
    <x v="2"/>
    <x v="0"/>
    <x v="24"/>
    <x v="0"/>
    <n v="0.79230480480480403"/>
    <n v="0"/>
    <s v="False"/>
    <n v="0.264409780502319"/>
  </r>
  <r>
    <x v="0"/>
    <x v="2"/>
    <x v="2"/>
    <x v="0"/>
    <x v="24"/>
    <x v="1"/>
    <n v="0.78269021953567397"/>
    <n v="5.0440261950311399E-2"/>
    <s v="False"/>
    <n v="6.8829648494720397"/>
  </r>
  <r>
    <x v="0"/>
    <x v="2"/>
    <x v="2"/>
    <x v="1"/>
    <x v="25"/>
    <x v="0"/>
    <n v="0.77971721721721698"/>
    <n v="0"/>
    <s v="False"/>
    <n v="0.41133308410644498"/>
  </r>
  <r>
    <x v="0"/>
    <x v="2"/>
    <x v="2"/>
    <x v="1"/>
    <x v="25"/>
    <x v="1"/>
    <n v="0.79120434406368301"/>
    <n v="3.3731854400850997E-2"/>
    <s v="False"/>
    <n v="8.5856239795684797"/>
  </r>
  <r>
    <x v="0"/>
    <x v="2"/>
    <x v="2"/>
    <x v="2"/>
    <x v="26"/>
    <x v="0"/>
    <n v="0.81791861114435005"/>
    <n v="0"/>
    <s v="False"/>
    <n v="0.58051323890686002"/>
  </r>
  <r>
    <x v="0"/>
    <x v="2"/>
    <x v="2"/>
    <x v="2"/>
    <x v="26"/>
    <x v="1"/>
    <n v="0.79750927048613196"/>
    <n v="3.7581399518288698E-2"/>
    <s v="False"/>
    <n v="10.657071113586399"/>
  </r>
  <r>
    <x v="0"/>
    <x v="2"/>
    <x v="2"/>
    <x v="3"/>
    <x v="27"/>
    <x v="0"/>
    <n v="0.81038442940038602"/>
    <n v="0"/>
    <s v="False"/>
    <n v="0.95503163337707497"/>
  </r>
  <r>
    <x v="0"/>
    <x v="2"/>
    <x v="2"/>
    <x v="3"/>
    <x v="27"/>
    <x v="1"/>
    <n v="0.80106770640831404"/>
    <n v="2.5014725156786599E-2"/>
    <s v="False"/>
    <n v="12.485375881195001"/>
  </r>
  <r>
    <x v="0"/>
    <x v="3"/>
    <x v="3"/>
    <x v="0"/>
    <x v="24"/>
    <x v="0"/>
    <n v="0.81861355441974704"/>
    <n v="0"/>
    <s v="False"/>
    <n v="1.90856909751892"/>
  </r>
  <r>
    <x v="0"/>
    <x v="3"/>
    <x v="3"/>
    <x v="0"/>
    <x v="24"/>
    <x v="1"/>
    <n v="0.78518965577909605"/>
    <n v="3.2231605543286697E-2"/>
    <s v="False"/>
    <n v="30.324907064437799"/>
  </r>
  <r>
    <x v="0"/>
    <x v="3"/>
    <x v="3"/>
    <x v="1"/>
    <x v="25"/>
    <x v="0"/>
    <n v="0.76857591425967697"/>
    <n v="0"/>
    <s v="False"/>
    <n v="2.1322989463806099"/>
  </r>
  <r>
    <x v="0"/>
    <x v="3"/>
    <x v="3"/>
    <x v="1"/>
    <x v="25"/>
    <x v="1"/>
    <n v="0.80625033652657796"/>
    <n v="3.1685210038848E-2"/>
    <s v="False"/>
    <n v="40.388350963592501"/>
  </r>
  <r>
    <x v="0"/>
    <x v="3"/>
    <x v="3"/>
    <x v="2"/>
    <x v="26"/>
    <x v="0"/>
    <n v="0.77500000000000002"/>
    <n v="0"/>
    <s v="False"/>
    <n v="2.8536629676818799"/>
  </r>
  <r>
    <x v="0"/>
    <x v="3"/>
    <x v="3"/>
    <x v="2"/>
    <x v="26"/>
    <x v="1"/>
    <n v="0.80242410979961798"/>
    <n v="2.3977121583192498E-2"/>
    <s v="False"/>
    <n v="52.192323923110898"/>
  </r>
  <r>
    <x v="0"/>
    <x v="3"/>
    <x v="3"/>
    <x v="3"/>
    <x v="27"/>
    <x v="0"/>
    <n v="0.76934106012347103"/>
    <n v="0"/>
    <s v="False"/>
    <n v="3.6223940849304199"/>
  </r>
  <r>
    <x v="0"/>
    <x v="3"/>
    <x v="3"/>
    <x v="3"/>
    <x v="27"/>
    <x v="1"/>
    <n v="0.78883304663332698"/>
    <n v="3.93531253600303E-2"/>
    <s v="False"/>
    <n v="66.611352205276404"/>
  </r>
  <r>
    <x v="1"/>
    <x v="0"/>
    <x v="0"/>
    <x v="0"/>
    <x v="0"/>
    <x v="0"/>
    <n v="0.62538971367974505"/>
    <n v="0"/>
    <s v="False"/>
    <n v="0.13503599166870101"/>
  </r>
  <r>
    <x v="1"/>
    <x v="0"/>
    <x v="0"/>
    <x v="0"/>
    <x v="0"/>
    <x v="1"/>
    <n v="0.59561426061196399"/>
    <n v="7.64533834414831E-2"/>
    <s v="False"/>
    <n v="1.6303560733795099"/>
  </r>
  <r>
    <x v="1"/>
    <x v="0"/>
    <x v="0"/>
    <x v="1"/>
    <x v="1"/>
    <x v="0"/>
    <n v="0.62836538461538405"/>
    <n v="0"/>
    <s v="False"/>
    <n v="0.234845876693725"/>
  </r>
  <r>
    <x v="1"/>
    <x v="0"/>
    <x v="0"/>
    <x v="1"/>
    <x v="1"/>
    <x v="1"/>
    <n v="0.582059536334807"/>
    <n v="6.5341908440474605E-2"/>
    <s v="False"/>
    <n v="3.7102711200714098"/>
  </r>
  <r>
    <x v="1"/>
    <x v="0"/>
    <x v="0"/>
    <x v="2"/>
    <x v="2"/>
    <x v="0"/>
    <n v="0.63621959300585695"/>
    <n v="0"/>
    <s v="False"/>
    <n v="0.36441016197204501"/>
  </r>
  <r>
    <x v="1"/>
    <x v="0"/>
    <x v="0"/>
    <x v="2"/>
    <x v="2"/>
    <x v="1"/>
    <n v="0.58323756436645702"/>
    <n v="7.4984420414711206E-2"/>
    <s v="False"/>
    <n v="4.9920909404754603"/>
  </r>
  <r>
    <x v="1"/>
    <x v="0"/>
    <x v="0"/>
    <x v="3"/>
    <x v="3"/>
    <x v="0"/>
    <n v="0.71204365079364995"/>
    <n v="0"/>
    <s v="False"/>
    <n v="0.17827105522155701"/>
  </r>
  <r>
    <x v="1"/>
    <x v="0"/>
    <x v="0"/>
    <x v="3"/>
    <x v="3"/>
    <x v="1"/>
    <n v="0.746776522879673"/>
    <n v="5.0069445941028003E-2"/>
    <s v="False"/>
    <n v="2.7462530136108398"/>
  </r>
  <r>
    <x v="1"/>
    <x v="0"/>
    <x v="0"/>
    <x v="4"/>
    <x v="4"/>
    <x v="0"/>
    <n v="0.73807864903164799"/>
    <n v="0"/>
    <s v="False"/>
    <n v="0.30549716949462802"/>
  </r>
  <r>
    <x v="1"/>
    <x v="0"/>
    <x v="0"/>
    <x v="4"/>
    <x v="4"/>
    <x v="1"/>
    <n v="0.78030974187015401"/>
    <n v="3.2778310281739699E-2"/>
    <s v="False"/>
    <n v="5.3128859996795601"/>
  </r>
  <r>
    <x v="1"/>
    <x v="0"/>
    <x v="0"/>
    <x v="5"/>
    <x v="5"/>
    <x v="0"/>
    <n v="0.76324509803921503"/>
    <n v="0"/>
    <s v="False"/>
    <n v="0.42922210693359297"/>
  </r>
  <r>
    <x v="1"/>
    <x v="0"/>
    <x v="0"/>
    <x v="5"/>
    <x v="5"/>
    <x v="1"/>
    <n v="0.77148606291574595"/>
    <n v="2.96489495774486E-2"/>
    <s v="False"/>
    <n v="7.8075547218322701"/>
  </r>
  <r>
    <x v="1"/>
    <x v="0"/>
    <x v="0"/>
    <x v="6"/>
    <x v="6"/>
    <x v="0"/>
    <n v="0.75702368823229704"/>
    <n v="0"/>
    <s v="False"/>
    <n v="6.2578916549682603E-2"/>
  </r>
  <r>
    <x v="1"/>
    <x v="0"/>
    <x v="0"/>
    <x v="6"/>
    <x v="6"/>
    <x v="1"/>
    <n v="0.73077673453271097"/>
    <n v="3.6740038143191101E-2"/>
    <s v="False"/>
    <n v="0.61334490776062001"/>
  </r>
  <r>
    <x v="1"/>
    <x v="0"/>
    <x v="0"/>
    <x v="7"/>
    <x v="7"/>
    <x v="0"/>
    <n v="0.75078431372549004"/>
    <n v="0"/>
    <s v="False"/>
    <n v="8.8772773742675698E-2"/>
  </r>
  <r>
    <x v="1"/>
    <x v="0"/>
    <x v="0"/>
    <x v="7"/>
    <x v="7"/>
    <x v="1"/>
    <n v="0.736996204682696"/>
    <n v="3.1279590153051103E-2"/>
    <s v="False"/>
    <n v="1.0038478374481199"/>
  </r>
  <r>
    <x v="1"/>
    <x v="0"/>
    <x v="0"/>
    <x v="8"/>
    <x v="8"/>
    <x v="0"/>
    <n v="0.76324404761904696"/>
    <n v="0"/>
    <s v="False"/>
    <n v="0.115524768829345"/>
  </r>
  <r>
    <x v="1"/>
    <x v="0"/>
    <x v="0"/>
    <x v="8"/>
    <x v="8"/>
    <x v="1"/>
    <n v="0.736889717483726"/>
    <n v="3.5072360563026997E-2"/>
    <s v="False"/>
    <n v="1.39247798919677"/>
  </r>
  <r>
    <x v="1"/>
    <x v="0"/>
    <x v="0"/>
    <x v="9"/>
    <x v="9"/>
    <x v="0"/>
    <n v="0.80610414437972899"/>
    <n v="0"/>
    <s v="False"/>
    <n v="10.713216066360401"/>
  </r>
  <r>
    <x v="1"/>
    <x v="0"/>
    <x v="0"/>
    <x v="9"/>
    <x v="9"/>
    <x v="1"/>
    <n v="0.80617553850502"/>
    <n v="2.76244444860985E-2"/>
    <s v="False"/>
    <n v="136.06725287437399"/>
  </r>
  <r>
    <x v="1"/>
    <x v="0"/>
    <x v="0"/>
    <x v="10"/>
    <x v="10"/>
    <x v="0"/>
    <n v="0.76768926249451497"/>
    <n v="0"/>
    <s v="False"/>
    <n v="15.4129781723022"/>
  </r>
  <r>
    <x v="1"/>
    <x v="0"/>
    <x v="0"/>
    <x v="10"/>
    <x v="10"/>
    <x v="1"/>
    <n v="0.80878689669388604"/>
    <n v="2.3382213308283401E-2"/>
    <s v="False"/>
    <n v="287.06236267089798"/>
  </r>
  <r>
    <x v="1"/>
    <x v="0"/>
    <x v="0"/>
    <x v="11"/>
    <x v="11"/>
    <x v="0"/>
    <n v="0.773122291766971"/>
    <n v="0"/>
    <s v="False"/>
    <n v="27.7938599586486"/>
  </r>
  <r>
    <x v="1"/>
    <x v="0"/>
    <x v="0"/>
    <x v="11"/>
    <x v="11"/>
    <x v="1"/>
    <n v="0.80381752031832499"/>
    <n v="3.2186283462828702E-2"/>
    <s v="False"/>
    <n v="429.380456209182"/>
  </r>
  <r>
    <x v="1"/>
    <x v="1"/>
    <x v="1"/>
    <x v="0"/>
    <x v="12"/>
    <x v="0"/>
    <n v="0.77549249530956799"/>
    <n v="0"/>
    <s v="False"/>
    <n v="0.11334204673767"/>
  </r>
  <r>
    <x v="1"/>
    <x v="1"/>
    <x v="1"/>
    <x v="0"/>
    <x v="12"/>
    <x v="1"/>
    <n v="0.78151807618120706"/>
    <n v="2.79101116364368E-2"/>
    <s v="False"/>
    <n v="1.82988286018371"/>
  </r>
  <r>
    <x v="1"/>
    <x v="1"/>
    <x v="1"/>
    <x v="1"/>
    <x v="13"/>
    <x v="0"/>
    <n v="0.78190922077413805"/>
    <n v="0"/>
    <s v="False"/>
    <n v="0.110435247421264"/>
  </r>
  <r>
    <x v="1"/>
    <x v="1"/>
    <x v="1"/>
    <x v="1"/>
    <x v="13"/>
    <x v="1"/>
    <n v="0.75923333450499197"/>
    <n v="3.0853383341139001E-2"/>
    <s v="False"/>
    <n v="1.8443961143493599"/>
  </r>
  <r>
    <x v="1"/>
    <x v="1"/>
    <x v="1"/>
    <x v="2"/>
    <x v="14"/>
    <x v="0"/>
    <n v="0.80062656641604002"/>
    <n v="0"/>
    <s v="False"/>
    <n v="0.11284208297729401"/>
  </r>
  <r>
    <x v="1"/>
    <x v="1"/>
    <x v="1"/>
    <x v="2"/>
    <x v="14"/>
    <x v="1"/>
    <n v="0.76537351021272804"/>
    <n v="4.75806595641977E-2"/>
    <s v="False"/>
    <n v="1.8582670688629099"/>
  </r>
  <r>
    <x v="1"/>
    <x v="1"/>
    <x v="1"/>
    <x v="3"/>
    <x v="15"/>
    <x v="0"/>
    <n v="0.76933773216031198"/>
    <n v="0"/>
    <s v="False"/>
    <n v="0.10797381401062001"/>
  </r>
  <r>
    <x v="1"/>
    <x v="1"/>
    <x v="1"/>
    <x v="3"/>
    <x v="15"/>
    <x v="1"/>
    <n v="0.76790834856916201"/>
    <n v="3.5117147403464499E-2"/>
    <s v="False"/>
    <n v="1.8524749279022199"/>
  </r>
  <r>
    <x v="1"/>
    <x v="1"/>
    <x v="1"/>
    <x v="4"/>
    <x v="16"/>
    <x v="0"/>
    <n v="0.78194433559308696"/>
    <n v="0"/>
    <s v="False"/>
    <n v="0.123360157012939"/>
  </r>
  <r>
    <x v="1"/>
    <x v="1"/>
    <x v="1"/>
    <x v="4"/>
    <x v="16"/>
    <x v="1"/>
    <n v="0.78787480654686903"/>
    <n v="3.3230937519868498E-2"/>
    <s v="False"/>
    <n v="2.1099832057952801"/>
  </r>
  <r>
    <x v="1"/>
    <x v="1"/>
    <x v="1"/>
    <x v="5"/>
    <x v="17"/>
    <x v="0"/>
    <n v="0.77570588235294102"/>
    <n v="0"/>
    <s v="False"/>
    <n v="0.124799966812133"/>
  </r>
  <r>
    <x v="1"/>
    <x v="1"/>
    <x v="1"/>
    <x v="5"/>
    <x v="17"/>
    <x v="1"/>
    <n v="0.78054260829497801"/>
    <n v="2.9125852340259901E-2"/>
    <s v="False"/>
    <n v="2.1112949848175"/>
  </r>
  <r>
    <x v="1"/>
    <x v="1"/>
    <x v="1"/>
    <x v="6"/>
    <x v="18"/>
    <x v="0"/>
    <n v="0.77570588235294102"/>
    <n v="0"/>
    <s v="False"/>
    <n v="0.132071018218994"/>
  </r>
  <r>
    <x v="1"/>
    <x v="1"/>
    <x v="1"/>
    <x v="6"/>
    <x v="18"/>
    <x v="1"/>
    <n v="0.79022622171913304"/>
    <n v="2.3039286441044401E-2"/>
    <s v="False"/>
    <n v="2.0911507606506299"/>
  </r>
  <r>
    <x v="1"/>
    <x v="1"/>
    <x v="1"/>
    <x v="7"/>
    <x v="19"/>
    <x v="0"/>
    <n v="0.78190922077413805"/>
    <n v="0"/>
    <s v="False"/>
    <n v="0.12479591369628899"/>
  </r>
  <r>
    <x v="1"/>
    <x v="1"/>
    <x v="1"/>
    <x v="7"/>
    <x v="19"/>
    <x v="1"/>
    <n v="0.78286653005361795"/>
    <n v="2.7163088217105998E-2"/>
    <s v="False"/>
    <n v="2.0849940776824898"/>
  </r>
  <r>
    <x v="1"/>
    <x v="1"/>
    <x v="1"/>
    <x v="8"/>
    <x v="20"/>
    <x v="0"/>
    <n v="0.75702368823229704"/>
    <n v="0"/>
    <s v="False"/>
    <n v="0.118870019912719"/>
  </r>
  <r>
    <x v="1"/>
    <x v="1"/>
    <x v="1"/>
    <x v="8"/>
    <x v="20"/>
    <x v="1"/>
    <n v="0.78293974582980796"/>
    <n v="3.28741314619636E-2"/>
    <s v="False"/>
    <n v="2.1072509288787802"/>
  </r>
  <r>
    <x v="1"/>
    <x v="1"/>
    <x v="1"/>
    <x v="9"/>
    <x v="21"/>
    <x v="0"/>
    <n v="0.75702368823229704"/>
    <n v="0"/>
    <s v="False"/>
    <n v="0.121270895004272"/>
  </r>
  <r>
    <x v="1"/>
    <x v="1"/>
    <x v="1"/>
    <x v="9"/>
    <x v="21"/>
    <x v="1"/>
    <n v="0.799301966272841"/>
    <n v="3.3256626781588902E-2"/>
    <s v="False"/>
    <n v="2.0977790355682302"/>
  </r>
  <r>
    <x v="1"/>
    <x v="1"/>
    <x v="1"/>
    <x v="10"/>
    <x v="22"/>
    <x v="0"/>
    <n v="0.79437155101561496"/>
    <n v="0"/>
    <s v="False"/>
    <n v="0.12082099914550699"/>
  </r>
  <r>
    <x v="1"/>
    <x v="1"/>
    <x v="1"/>
    <x v="10"/>
    <x v="22"/>
    <x v="1"/>
    <n v="0.78405974828914504"/>
    <n v="3.2362731777437002E-2"/>
    <s v="False"/>
    <n v="2.0946290493011399"/>
  </r>
  <r>
    <x v="1"/>
    <x v="1"/>
    <x v="1"/>
    <x v="11"/>
    <x v="23"/>
    <x v="0"/>
    <n v="0.80683553122178997"/>
    <n v="0"/>
    <s v="False"/>
    <n v="0.118462085723876"/>
  </r>
  <r>
    <x v="1"/>
    <x v="1"/>
    <x v="1"/>
    <x v="11"/>
    <x v="23"/>
    <x v="1"/>
    <n v="0.79273579584006204"/>
    <n v="2.5304538412332701E-2"/>
    <s v="False"/>
    <n v="2.10078692436218"/>
  </r>
  <r>
    <x v="1"/>
    <x v="2"/>
    <x v="2"/>
    <x v="0"/>
    <x v="24"/>
    <x v="0"/>
    <n v="0.75982027724048995"/>
    <n v="0"/>
    <s v="False"/>
    <n v="2.5503897666931099"/>
  </r>
  <r>
    <x v="1"/>
    <x v="2"/>
    <x v="2"/>
    <x v="0"/>
    <x v="24"/>
    <x v="1"/>
    <n v="0.78625558345486202"/>
    <n v="4.0745295592557601E-2"/>
    <s v="False"/>
    <n v="26.177162885665801"/>
  </r>
  <r>
    <x v="1"/>
    <x v="2"/>
    <x v="2"/>
    <x v="1"/>
    <x v="25"/>
    <x v="0"/>
    <n v="0.75029999999999997"/>
    <n v="0"/>
    <s v="False"/>
    <n v="2.8405511379241899"/>
  </r>
  <r>
    <x v="1"/>
    <x v="2"/>
    <x v="2"/>
    <x v="1"/>
    <x v="25"/>
    <x v="1"/>
    <n v="0.76489105309278205"/>
    <n v="3.1434848724783797E-2"/>
    <s v="False"/>
    <n v="35.354609966277998"/>
  </r>
  <r>
    <x v="1"/>
    <x v="2"/>
    <x v="2"/>
    <x v="2"/>
    <x v="26"/>
    <x v="0"/>
    <n v="0.75132746521969695"/>
    <n v="0"/>
    <s v="False"/>
    <n v="2.5782580375671298"/>
  </r>
  <r>
    <x v="1"/>
    <x v="2"/>
    <x v="2"/>
    <x v="2"/>
    <x v="26"/>
    <x v="1"/>
    <n v="0.77726012690262702"/>
    <n v="4.35547342899704E-2"/>
    <s v="False"/>
    <n v="41.807337045669499"/>
  </r>
  <r>
    <x v="1"/>
    <x v="2"/>
    <x v="2"/>
    <x v="3"/>
    <x v="27"/>
    <x v="0"/>
    <n v="0.74443626247749894"/>
    <n v="0"/>
    <s v="False"/>
    <n v="3.7752182483672998"/>
  </r>
  <r>
    <x v="1"/>
    <x v="2"/>
    <x v="2"/>
    <x v="3"/>
    <x v="27"/>
    <x v="1"/>
    <n v="0.77867764503834003"/>
    <n v="4.7122769682218603E-2"/>
    <s v="False"/>
    <n v="54.614656925201402"/>
  </r>
  <r>
    <x v="1"/>
    <x v="3"/>
    <x v="3"/>
    <x v="0"/>
    <x v="24"/>
    <x v="0"/>
    <n v="0.77421165790730995"/>
    <n v="0"/>
    <s v="False"/>
    <n v="7.9099712371826101"/>
  </r>
  <r>
    <x v="1"/>
    <x v="3"/>
    <x v="3"/>
    <x v="0"/>
    <x v="24"/>
    <x v="1"/>
    <n v="0.79896662525489404"/>
    <n v="2.8611833457309201E-2"/>
    <s v="False"/>
    <n v="117.73647999763401"/>
  </r>
  <r>
    <x v="1"/>
    <x v="3"/>
    <x v="3"/>
    <x v="1"/>
    <x v="25"/>
    <x v="0"/>
    <n v="0.78716269841269804"/>
    <n v="0"/>
    <s v="False"/>
    <n v="10.56427693367"/>
  </r>
  <r>
    <x v="1"/>
    <x v="3"/>
    <x v="3"/>
    <x v="1"/>
    <x v="25"/>
    <x v="1"/>
    <n v="0.80759372646573202"/>
    <n v="2.6563976947741E-2"/>
    <s v="False"/>
    <n v="156.51922893524099"/>
  </r>
  <r>
    <x v="1"/>
    <x v="3"/>
    <x v="3"/>
    <x v="2"/>
    <x v="26"/>
    <x v="0"/>
    <n v="0.80610414437972899"/>
    <n v="0"/>
    <s v="False"/>
    <n v="10.716888904571499"/>
  </r>
  <r>
    <x v="1"/>
    <x v="3"/>
    <x v="3"/>
    <x v="2"/>
    <x v="26"/>
    <x v="1"/>
    <n v="0.80141393865090405"/>
    <n v="2.38749571142657E-2"/>
    <s v="False"/>
    <n v="197.900776863098"/>
  </r>
  <r>
    <x v="1"/>
    <x v="3"/>
    <x v="3"/>
    <x v="3"/>
    <x v="27"/>
    <x v="0"/>
    <n v="0.76817093286696603"/>
    <n v="0"/>
    <s v="False"/>
    <n v="13.9049479961395"/>
  </r>
  <r>
    <x v="1"/>
    <x v="3"/>
    <x v="3"/>
    <x v="3"/>
    <x v="27"/>
    <x v="1"/>
    <n v="0.81354737882525296"/>
    <n v="2.0191341890352699E-2"/>
    <s v="False"/>
    <n v="260.16616821289"/>
  </r>
  <r>
    <x v="2"/>
    <x v="0"/>
    <x v="0"/>
    <x v="0"/>
    <x v="0"/>
    <x v="0"/>
    <n v="0.57743651897908599"/>
    <n v="0"/>
    <s v="False"/>
    <n v="7.6554059982299805E-2"/>
  </r>
  <r>
    <x v="2"/>
    <x v="0"/>
    <x v="0"/>
    <x v="0"/>
    <x v="0"/>
    <x v="1"/>
    <n v="0.52606952421675102"/>
    <n v="5.2268678124408698E-2"/>
    <s v="False"/>
    <n v="0.95922899246215798"/>
  </r>
  <r>
    <x v="2"/>
    <x v="0"/>
    <x v="0"/>
    <x v="1"/>
    <x v="1"/>
    <x v="0"/>
    <n v="0.58083139456847499"/>
    <n v="0"/>
    <s v="False"/>
    <n v="0.13805198669433499"/>
  </r>
  <r>
    <x v="2"/>
    <x v="0"/>
    <x v="0"/>
    <x v="1"/>
    <x v="1"/>
    <x v="1"/>
    <n v="0.54156857873487696"/>
    <n v="7.7118243702564898E-2"/>
    <s v="False"/>
    <n v="2.3074381351470898"/>
  </r>
  <r>
    <x v="2"/>
    <x v="0"/>
    <x v="0"/>
    <x v="2"/>
    <x v="2"/>
    <x v="0"/>
    <n v="0.55334492863853901"/>
    <n v="0"/>
    <s v="False"/>
    <n v="0.19500780105590801"/>
  </r>
  <r>
    <x v="2"/>
    <x v="0"/>
    <x v="0"/>
    <x v="2"/>
    <x v="2"/>
    <x v="1"/>
    <n v="0.53110675116063299"/>
    <n v="6.99200077807626E-2"/>
    <s v="False"/>
    <n v="2.70166611671447"/>
  </r>
  <r>
    <x v="2"/>
    <x v="0"/>
    <x v="0"/>
    <x v="3"/>
    <x v="3"/>
    <x v="0"/>
    <n v="0.69453275529865099"/>
    <n v="0"/>
    <s v="False"/>
    <n v="0.10965013504028299"/>
  </r>
  <r>
    <x v="2"/>
    <x v="0"/>
    <x v="0"/>
    <x v="3"/>
    <x v="3"/>
    <x v="1"/>
    <n v="0.75910721015171001"/>
    <n v="4.8597599286506102E-2"/>
    <s v="False"/>
    <n v="1.5245330333709699"/>
  </r>
  <r>
    <x v="2"/>
    <x v="0"/>
    <x v="0"/>
    <x v="4"/>
    <x v="4"/>
    <x v="0"/>
    <n v="0.75055109431585498"/>
    <n v="0"/>
    <s v="False"/>
    <n v="0.19469022750854401"/>
  </r>
  <r>
    <x v="2"/>
    <x v="0"/>
    <x v="0"/>
    <x v="4"/>
    <x v="4"/>
    <x v="1"/>
    <n v="0.74917639409317804"/>
    <n v="2.92085181676194E-2"/>
    <s v="False"/>
    <n v="2.7847700119018501"/>
  </r>
  <r>
    <x v="2"/>
    <x v="0"/>
    <x v="0"/>
    <x v="5"/>
    <x v="5"/>
    <x v="0"/>
    <n v="0.74420443349753695"/>
    <n v="0"/>
    <s v="False"/>
    <n v="0.217926025390625"/>
  </r>
  <r>
    <x v="2"/>
    <x v="0"/>
    <x v="0"/>
    <x v="5"/>
    <x v="5"/>
    <x v="1"/>
    <n v="0.78891027350901199"/>
    <n v="3.4554571270852097E-2"/>
    <s v="False"/>
    <n v="4.0365331172943097"/>
  </r>
  <r>
    <x v="2"/>
    <x v="0"/>
    <x v="0"/>
    <x v="6"/>
    <x v="6"/>
    <x v="0"/>
    <n v="0.75687300931933399"/>
    <n v="0"/>
    <s v="False"/>
    <n v="4.9138069152831997E-2"/>
  </r>
  <r>
    <x v="2"/>
    <x v="0"/>
    <x v="0"/>
    <x v="6"/>
    <x v="6"/>
    <x v="1"/>
    <n v="0.74157070687322002"/>
    <n v="3.7945683952048698E-2"/>
    <s v="False"/>
    <n v="0.50945425033569303"/>
  </r>
  <r>
    <x v="2"/>
    <x v="0"/>
    <x v="0"/>
    <x v="7"/>
    <x v="7"/>
    <x v="0"/>
    <n v="0.77563370364575102"/>
    <n v="0"/>
    <s v="False"/>
    <n v="6.9032192230224595E-2"/>
  </r>
  <r>
    <x v="2"/>
    <x v="0"/>
    <x v="0"/>
    <x v="7"/>
    <x v="7"/>
    <x v="1"/>
    <n v="0.744128439523982"/>
    <n v="3.5125425690338302E-2"/>
    <s v="False"/>
    <n v="0.80291104316711404"/>
  </r>
  <r>
    <x v="2"/>
    <x v="0"/>
    <x v="0"/>
    <x v="8"/>
    <x v="8"/>
    <x v="0"/>
    <n v="0.77570488721804498"/>
    <n v="0"/>
    <s v="False"/>
    <n v="7.9433202743530204E-2"/>
  </r>
  <r>
    <x v="2"/>
    <x v="0"/>
    <x v="0"/>
    <x v="8"/>
    <x v="8"/>
    <x v="1"/>
    <n v="0.73794872176701798"/>
    <n v="4.09514330246388E-2"/>
    <s v="False"/>
    <n v="1.0663599967956501"/>
  </r>
  <r>
    <x v="2"/>
    <x v="0"/>
    <x v="0"/>
    <x v="9"/>
    <x v="9"/>
    <x v="0"/>
    <n v="0.74960317460317405"/>
    <n v="0"/>
    <s v="False"/>
    <n v="9.7275459766387904"/>
  </r>
  <r>
    <x v="2"/>
    <x v="0"/>
    <x v="0"/>
    <x v="9"/>
    <x v="9"/>
    <x v="1"/>
    <n v="0.79116317396046498"/>
    <n v="3.22785729573579E-2"/>
    <s v="False"/>
    <n v="141.26222896575899"/>
  </r>
  <r>
    <x v="2"/>
    <x v="0"/>
    <x v="0"/>
    <x v="10"/>
    <x v="10"/>
    <x v="0"/>
    <n v="0.76051797464291404"/>
    <n v="0"/>
    <s v="False"/>
    <n v="16.782362222671502"/>
  </r>
  <r>
    <x v="2"/>
    <x v="0"/>
    <x v="0"/>
    <x v="10"/>
    <x v="10"/>
    <x v="1"/>
    <n v="0.77708819529043605"/>
    <n v="3.3370869252658898E-2"/>
    <s v="False"/>
    <n v="307.40409708022997"/>
  </r>
  <r>
    <x v="2"/>
    <x v="0"/>
    <x v="0"/>
    <x v="11"/>
    <x v="11"/>
    <x v="0"/>
    <n v="0.76113331202045997"/>
    <n v="0"/>
    <s v="False"/>
    <n v="19.1141259670257"/>
  </r>
  <r>
    <x v="2"/>
    <x v="0"/>
    <x v="0"/>
    <x v="11"/>
    <x v="11"/>
    <x v="1"/>
    <n v="0.79139449853874599"/>
    <n v="3.51136325977814E-2"/>
    <s v="False"/>
    <n v="450.590893030166"/>
  </r>
  <r>
    <x v="2"/>
    <x v="1"/>
    <x v="1"/>
    <x v="0"/>
    <x v="12"/>
    <x v="0"/>
    <n v="0.76324404761904696"/>
    <n v="0"/>
    <s v="False"/>
    <n v="0.108271121978759"/>
  </r>
  <r>
    <x v="2"/>
    <x v="1"/>
    <x v="1"/>
    <x v="0"/>
    <x v="12"/>
    <x v="1"/>
    <n v="0.76913454978420803"/>
    <n v="3.8309602140452502E-2"/>
    <s v="False"/>
    <n v="1.73383116722106"/>
  </r>
  <r>
    <x v="2"/>
    <x v="1"/>
    <x v="1"/>
    <x v="1"/>
    <x v="13"/>
    <x v="0"/>
    <n v="0.74456336455190197"/>
    <n v="0"/>
    <s v="False"/>
    <n v="9.5191955566406194E-2"/>
  </r>
  <r>
    <x v="2"/>
    <x v="1"/>
    <x v="1"/>
    <x v="1"/>
    <x v="13"/>
    <x v="1"/>
    <n v="0.772022631075023"/>
    <n v="3.4268029316892698E-2"/>
    <s v="False"/>
    <n v="1.7876119613647401"/>
  </r>
  <r>
    <x v="2"/>
    <x v="1"/>
    <x v="1"/>
    <x v="2"/>
    <x v="14"/>
    <x v="0"/>
    <n v="0.788165726817042"/>
    <n v="0"/>
    <s v="False"/>
    <n v="0.10185194015502901"/>
  </r>
  <r>
    <x v="2"/>
    <x v="1"/>
    <x v="1"/>
    <x v="2"/>
    <x v="14"/>
    <x v="1"/>
    <n v="0.77700924814780203"/>
    <n v="2.1643674660335802E-2"/>
    <s v="False"/>
    <n v="1.7459127902984599"/>
  </r>
  <r>
    <x v="2"/>
    <x v="1"/>
    <x v="1"/>
    <x v="3"/>
    <x v="15"/>
    <x v="0"/>
    <n v="0.77570588235294102"/>
    <n v="0"/>
    <s v="False"/>
    <n v="9.4010829925537095E-2"/>
  </r>
  <r>
    <x v="2"/>
    <x v="1"/>
    <x v="1"/>
    <x v="3"/>
    <x v="15"/>
    <x v="1"/>
    <n v="0.77451460947697404"/>
    <n v="3.86238754624336E-2"/>
    <s v="False"/>
    <n v="1.7136251926422099"/>
  </r>
  <r>
    <x v="2"/>
    <x v="1"/>
    <x v="1"/>
    <x v="4"/>
    <x v="16"/>
    <x v="0"/>
    <n v="0.78190922077413805"/>
    <n v="0"/>
    <s v="False"/>
    <n v="0.112310886383056"/>
  </r>
  <r>
    <x v="2"/>
    <x v="1"/>
    <x v="1"/>
    <x v="4"/>
    <x v="16"/>
    <x v="1"/>
    <n v="0.78693680666035304"/>
    <n v="3.6611683622544001E-2"/>
    <s v="False"/>
    <n v="1.87169408798217"/>
  </r>
  <r>
    <x v="2"/>
    <x v="1"/>
    <x v="1"/>
    <x v="5"/>
    <x v="17"/>
    <x v="0"/>
    <n v="0.78190922077413805"/>
    <n v="0"/>
    <s v="False"/>
    <n v="0.10668683052062899"/>
  </r>
  <r>
    <x v="2"/>
    <x v="1"/>
    <x v="1"/>
    <x v="5"/>
    <x v="17"/>
    <x v="1"/>
    <n v="0.79414306466542595"/>
    <n v="2.3247843196580398E-2"/>
    <s v="False"/>
    <n v="1.88168716430664"/>
  </r>
  <r>
    <x v="2"/>
    <x v="1"/>
    <x v="1"/>
    <x v="6"/>
    <x v="18"/>
    <x v="0"/>
    <n v="0.76324509803921503"/>
    <n v="0"/>
    <s v="False"/>
    <n v="0.110249996185302"/>
  </r>
  <r>
    <x v="2"/>
    <x v="1"/>
    <x v="1"/>
    <x v="6"/>
    <x v="18"/>
    <x v="1"/>
    <n v="0.79179621655731203"/>
    <n v="2.2160469924371401E-2"/>
    <s v="False"/>
    <n v="1.86865305900573"/>
  </r>
  <r>
    <x v="2"/>
    <x v="1"/>
    <x v="1"/>
    <x v="7"/>
    <x v="19"/>
    <x v="0"/>
    <n v="0.80062745098039201"/>
    <n v="0"/>
    <s v="False"/>
    <n v="9.8361730575561496E-2"/>
  </r>
  <r>
    <x v="2"/>
    <x v="1"/>
    <x v="1"/>
    <x v="7"/>
    <x v="19"/>
    <x v="1"/>
    <n v="0.77694941229050896"/>
    <n v="1.8299781150434801E-2"/>
    <s v="False"/>
    <n v="1.9092588424682599"/>
  </r>
  <r>
    <x v="2"/>
    <x v="1"/>
    <x v="1"/>
    <x v="8"/>
    <x v="20"/>
    <x v="0"/>
    <n v="0.77549598488426996"/>
    <n v="0"/>
    <s v="False"/>
    <n v="9.9390983581542899E-2"/>
  </r>
  <r>
    <x v="2"/>
    <x v="1"/>
    <x v="1"/>
    <x v="8"/>
    <x v="20"/>
    <x v="1"/>
    <n v="0.78286193410845994"/>
    <n v="2.7684690028985999E-2"/>
    <s v="False"/>
    <n v="1.9485898017883301"/>
  </r>
  <r>
    <x v="2"/>
    <x v="1"/>
    <x v="1"/>
    <x v="9"/>
    <x v="21"/>
    <x v="0"/>
    <n v="0.78816666666666602"/>
    <n v="0"/>
    <s v="False"/>
    <n v="0.109827995300292"/>
  </r>
  <r>
    <x v="2"/>
    <x v="1"/>
    <x v="1"/>
    <x v="9"/>
    <x v="21"/>
    <x v="1"/>
    <n v="0.78567922269441803"/>
    <n v="2.3766446961257199E-2"/>
    <s v="False"/>
    <n v="1.88085389137268"/>
  </r>
  <r>
    <x v="2"/>
    <x v="1"/>
    <x v="1"/>
    <x v="10"/>
    <x v="22"/>
    <x v="0"/>
    <n v="0.77570488721804498"/>
    <n v="0"/>
    <s v="False"/>
    <n v="0.10517406463623"/>
  </r>
  <r>
    <x v="2"/>
    <x v="1"/>
    <x v="1"/>
    <x v="10"/>
    <x v="22"/>
    <x v="1"/>
    <n v="0.80164329501687104"/>
    <n v="2.2943455451096401E-2"/>
    <s v="False"/>
    <n v="1.8713572025298999"/>
  </r>
  <r>
    <x v="2"/>
    <x v="1"/>
    <x v="1"/>
    <x v="11"/>
    <x v="23"/>
    <x v="0"/>
    <n v="0.79427419354838702"/>
    <n v="0"/>
    <s v="False"/>
    <n v="0.10646009445190401"/>
  </r>
  <r>
    <x v="2"/>
    <x v="1"/>
    <x v="1"/>
    <x v="11"/>
    <x v="23"/>
    <x v="1"/>
    <n v="0.78542475185655503"/>
    <n v="3.3676123740546203E-2"/>
    <s v="False"/>
    <n v="1.8435730934143"/>
  </r>
  <r>
    <x v="2"/>
    <x v="2"/>
    <x v="2"/>
    <x v="0"/>
    <x v="24"/>
    <x v="0"/>
    <n v="0.75101842461122303"/>
    <n v="0"/>
    <s v="False"/>
    <n v="1.2422859668731601"/>
  </r>
  <r>
    <x v="2"/>
    <x v="2"/>
    <x v="2"/>
    <x v="0"/>
    <x v="24"/>
    <x v="1"/>
    <n v="0.77608081236406801"/>
    <n v="3.3055640744546297E-2"/>
    <s v="False"/>
    <n v="26.286783933639501"/>
  </r>
  <r>
    <x v="2"/>
    <x v="2"/>
    <x v="2"/>
    <x v="1"/>
    <x v="25"/>
    <x v="0"/>
    <n v="0.73631556683587096"/>
    <n v="0"/>
    <s v="False"/>
    <n v="1.2792720794677701"/>
  </r>
  <r>
    <x v="2"/>
    <x v="2"/>
    <x v="2"/>
    <x v="1"/>
    <x v="25"/>
    <x v="1"/>
    <n v="0.75409295051004699"/>
    <n v="3.7742663721939899E-2"/>
    <s v="False"/>
    <n v="31.0788879394531"/>
  </r>
  <r>
    <x v="2"/>
    <x v="2"/>
    <x v="2"/>
    <x v="2"/>
    <x v="26"/>
    <x v="0"/>
    <n v="0.72345291155957203"/>
    <n v="0"/>
    <s v="False"/>
    <n v="2.2937698364257799"/>
  </r>
  <r>
    <x v="2"/>
    <x v="2"/>
    <x v="2"/>
    <x v="2"/>
    <x v="26"/>
    <x v="1"/>
    <n v="0.75990297098498005"/>
    <n v="2.7729856591745299E-2"/>
    <s v="False"/>
    <n v="38.586838006973203"/>
  </r>
  <r>
    <x v="2"/>
    <x v="2"/>
    <x v="2"/>
    <x v="3"/>
    <x v="27"/>
    <x v="0"/>
    <n v="0.73364741418955604"/>
    <n v="0"/>
    <s v="False"/>
    <n v="2.78076815605163"/>
  </r>
  <r>
    <x v="2"/>
    <x v="2"/>
    <x v="2"/>
    <x v="3"/>
    <x v="27"/>
    <x v="1"/>
    <n v="0.77647964321914897"/>
    <n v="3.3805489081699697E-2"/>
    <s v="False"/>
    <n v="48.718331098556497"/>
  </r>
  <r>
    <x v="2"/>
    <x v="3"/>
    <x v="3"/>
    <x v="0"/>
    <x v="24"/>
    <x v="0"/>
    <n v="0.76496763261496004"/>
    <n v="0"/>
    <s v="False"/>
    <n v="6.4563300609588596"/>
  </r>
  <r>
    <x v="2"/>
    <x v="3"/>
    <x v="3"/>
    <x v="0"/>
    <x v="24"/>
    <x v="1"/>
    <n v="0.78122158771141104"/>
    <n v="3.98471393574127E-2"/>
    <s v="False"/>
    <n v="112.384995937347"/>
  </r>
  <r>
    <x v="2"/>
    <x v="3"/>
    <x v="3"/>
    <x v="1"/>
    <x v="25"/>
    <x v="0"/>
    <n v="0.76113331202045997"/>
    <n v="0"/>
    <s v="False"/>
    <n v="8.8221499919891304"/>
  </r>
  <r>
    <x v="2"/>
    <x v="3"/>
    <x v="3"/>
    <x v="1"/>
    <x v="25"/>
    <x v="1"/>
    <n v="0.78265738174296695"/>
    <n v="2.49352919971659E-2"/>
    <s v="False"/>
    <n v="148.619025945663"/>
  </r>
  <r>
    <x v="2"/>
    <x v="3"/>
    <x v="3"/>
    <x v="2"/>
    <x v="26"/>
    <x v="0"/>
    <n v="0.74912406434145495"/>
    <n v="0"/>
    <s v="False"/>
    <n v="10.450655937194799"/>
  </r>
  <r>
    <x v="2"/>
    <x v="3"/>
    <x v="3"/>
    <x v="2"/>
    <x v="26"/>
    <x v="1"/>
    <n v="0.79356442743357103"/>
    <n v="3.8397305459352403E-2"/>
    <s v="False"/>
    <n v="183.548376083374"/>
  </r>
  <r>
    <x v="2"/>
    <x v="3"/>
    <x v="3"/>
    <x v="3"/>
    <x v="27"/>
    <x v="0"/>
    <n v="0.77490353266476797"/>
    <n v="0"/>
    <s v="False"/>
    <n v="11.0551259517669"/>
  </r>
  <r>
    <x v="2"/>
    <x v="3"/>
    <x v="3"/>
    <x v="3"/>
    <x v="27"/>
    <x v="1"/>
    <n v="0.783848591723876"/>
    <n v="2.9433248427328799E-2"/>
    <s v="False"/>
    <n v="235.973227024078"/>
  </r>
  <r>
    <x v="3"/>
    <x v="0"/>
    <x v="0"/>
    <x v="0"/>
    <x v="0"/>
    <x v="0"/>
    <n v="0.52719459890512499"/>
    <n v="0"/>
    <s v="False"/>
    <n v="0.53688502311706499"/>
  </r>
  <r>
    <x v="3"/>
    <x v="0"/>
    <x v="0"/>
    <x v="0"/>
    <x v="0"/>
    <x v="1"/>
    <n v="0.51001071409765897"/>
    <n v="4.6173426786343501E-2"/>
    <s v="False"/>
    <n v="6.3601567745208696"/>
  </r>
  <r>
    <x v="3"/>
    <x v="0"/>
    <x v="0"/>
    <x v="1"/>
    <x v="1"/>
    <x v="0"/>
    <n v="0.496948236879864"/>
    <n v="0"/>
    <s v="False"/>
    <n v="1.12420606613159"/>
  </r>
  <r>
    <x v="3"/>
    <x v="0"/>
    <x v="0"/>
    <x v="1"/>
    <x v="1"/>
    <x v="1"/>
    <n v="0.52399558430134796"/>
    <n v="4.4810435164102699E-2"/>
    <s v="False"/>
    <n v="13.3274228572845"/>
  </r>
  <r>
    <x v="3"/>
    <x v="0"/>
    <x v="0"/>
    <x v="2"/>
    <x v="2"/>
    <x v="0"/>
    <n v="0.48723921289710698"/>
    <n v="0"/>
    <s v="False"/>
    <n v="1.60786509513854"/>
  </r>
  <r>
    <x v="3"/>
    <x v="0"/>
    <x v="0"/>
    <x v="2"/>
    <x v="2"/>
    <x v="1"/>
    <n v="0.48539737226332402"/>
    <n v="5.94202287795405E-2"/>
    <s v="False"/>
    <n v="19.716748952865601"/>
  </r>
  <r>
    <x v="3"/>
    <x v="0"/>
    <x v="0"/>
    <x v="3"/>
    <x v="3"/>
    <x v="0"/>
    <n v="0.67591534971053002"/>
    <n v="0"/>
    <s v="False"/>
    <n v="0.85153222084045399"/>
  </r>
  <r>
    <x v="3"/>
    <x v="0"/>
    <x v="0"/>
    <x v="3"/>
    <x v="3"/>
    <x v="1"/>
    <n v="0.70482333112010298"/>
    <n v="4.0443169883545002E-2"/>
    <s v="False"/>
    <n v="14.203930854797299"/>
  </r>
  <r>
    <x v="3"/>
    <x v="0"/>
    <x v="0"/>
    <x v="4"/>
    <x v="4"/>
    <x v="0"/>
    <n v="0.72534380371933105"/>
    <n v="0"/>
    <s v="False"/>
    <n v="1.38074398040771"/>
  </r>
  <r>
    <x v="3"/>
    <x v="0"/>
    <x v="0"/>
    <x v="4"/>
    <x v="4"/>
    <x v="1"/>
    <n v="0.72331347054918704"/>
    <n v="5.4251514023037302E-2"/>
    <s v="False"/>
    <n v="27.998891115188599"/>
  </r>
  <r>
    <x v="3"/>
    <x v="0"/>
    <x v="0"/>
    <x v="5"/>
    <x v="5"/>
    <x v="0"/>
    <n v="0.71946885690692397"/>
    <n v="0"/>
    <s v="False"/>
    <n v="2.1541607379913299"/>
  </r>
  <r>
    <x v="3"/>
    <x v="0"/>
    <x v="0"/>
    <x v="5"/>
    <x v="5"/>
    <x v="1"/>
    <n v="0.720950499930054"/>
    <n v="5.0037801431834297E-2"/>
    <s v="False"/>
    <n v="41.585646152496302"/>
  </r>
  <r>
    <x v="3"/>
    <x v="0"/>
    <x v="0"/>
    <x v="6"/>
    <x v="6"/>
    <x v="0"/>
    <n v="0.74456336455190197"/>
    <n v="0"/>
    <s v="False"/>
    <n v="9.8255157470703097E-2"/>
  </r>
  <r>
    <x v="3"/>
    <x v="0"/>
    <x v="0"/>
    <x v="6"/>
    <x v="6"/>
    <x v="1"/>
    <n v="0.73240313398974299"/>
    <n v="2.11195408086308E-2"/>
    <s v="False"/>
    <n v="1.5671141147613501"/>
  </r>
  <r>
    <x v="3"/>
    <x v="0"/>
    <x v="0"/>
    <x v="7"/>
    <x v="7"/>
    <x v="0"/>
    <n v="0.73824245757385198"/>
    <n v="0"/>
    <s v="False"/>
    <n v="0.15003085136413499"/>
  </r>
  <r>
    <x v="3"/>
    <x v="0"/>
    <x v="0"/>
    <x v="7"/>
    <x v="7"/>
    <x v="1"/>
    <n v="0.72980916081226099"/>
    <n v="2.7374009398058698E-2"/>
    <s v="False"/>
    <n v="2.6184408664703298"/>
  </r>
  <r>
    <x v="3"/>
    <x v="0"/>
    <x v="0"/>
    <x v="8"/>
    <x v="8"/>
    <x v="0"/>
    <n v="0.732062188468935"/>
    <n v="0"/>
    <s v="False"/>
    <n v="0.222342729568481"/>
  </r>
  <r>
    <x v="3"/>
    <x v="0"/>
    <x v="0"/>
    <x v="8"/>
    <x v="8"/>
    <x v="1"/>
    <n v="0.73580556121962903"/>
    <n v="2.4400054502913101E-2"/>
    <s v="False"/>
    <n v="3.6548938751220699"/>
  </r>
  <r>
    <x v="3"/>
    <x v="0"/>
    <x v="0"/>
    <x v="9"/>
    <x v="9"/>
    <x v="0"/>
    <n v="0.77528409090909001"/>
    <n v="0"/>
    <s v="False"/>
    <n v="11.657587289810101"/>
  </r>
  <r>
    <x v="3"/>
    <x v="0"/>
    <x v="0"/>
    <x v="9"/>
    <x v="9"/>
    <x v="1"/>
    <n v="0.79472996680736496"/>
    <n v="3.7398666324605701E-2"/>
    <s v="False"/>
    <n v="176.961018085479"/>
  </r>
  <r>
    <x v="3"/>
    <x v="0"/>
    <x v="0"/>
    <x v="10"/>
    <x v="10"/>
    <x v="0"/>
    <n v="0.76166786112438201"/>
    <n v="0"/>
    <s v="False"/>
    <n v="23.531684160232501"/>
  </r>
  <r>
    <x v="3"/>
    <x v="0"/>
    <x v="0"/>
    <x v="10"/>
    <x v="10"/>
    <x v="1"/>
    <n v="0.78184994519691398"/>
    <n v="3.4537034572147199E-2"/>
    <s v="False"/>
    <n v="353.199065208435"/>
  </r>
  <r>
    <x v="3"/>
    <x v="0"/>
    <x v="0"/>
    <x v="11"/>
    <x v="11"/>
    <x v="0"/>
    <n v="0.76916009852216705"/>
    <n v="0"/>
    <s v="False"/>
    <n v="32.7301251888275"/>
  </r>
  <r>
    <x v="3"/>
    <x v="0"/>
    <x v="0"/>
    <x v="11"/>
    <x v="11"/>
    <x v="1"/>
    <n v="0.78689711691745901"/>
    <n v="2.33698591243982E-2"/>
    <s v="False"/>
    <n v="535.25929713249195"/>
  </r>
  <r>
    <x v="3"/>
    <x v="1"/>
    <x v="1"/>
    <x v="0"/>
    <x v="12"/>
    <x v="0"/>
    <n v="0.72577452667814102"/>
    <n v="0"/>
    <s v="False"/>
    <n v="0.15859603881835899"/>
  </r>
  <r>
    <x v="3"/>
    <x v="1"/>
    <x v="1"/>
    <x v="0"/>
    <x v="12"/>
    <x v="1"/>
    <n v="0.738926047399175"/>
    <n v="5.0172724120893603E-2"/>
    <s v="False"/>
    <n v="2.7861440181732098"/>
  </r>
  <r>
    <x v="3"/>
    <x v="1"/>
    <x v="1"/>
    <x v="1"/>
    <x v="13"/>
    <x v="0"/>
    <n v="0.75070411516194602"/>
    <n v="0"/>
    <s v="False"/>
    <n v="0.165879011154174"/>
  </r>
  <r>
    <x v="3"/>
    <x v="1"/>
    <x v="1"/>
    <x v="1"/>
    <x v="13"/>
    <x v="1"/>
    <n v="0.74573637106444202"/>
    <n v="5.7015995508069198E-2"/>
    <s v="False"/>
    <n v="2.7798078060150102"/>
  </r>
  <r>
    <x v="3"/>
    <x v="1"/>
    <x v="1"/>
    <x v="2"/>
    <x v="14"/>
    <x v="0"/>
    <n v="0.73205989980822594"/>
    <n v="0"/>
    <s v="False"/>
    <n v="0.157841205596923"/>
  </r>
  <r>
    <x v="3"/>
    <x v="1"/>
    <x v="1"/>
    <x v="2"/>
    <x v="14"/>
    <x v="1"/>
    <n v="0.73702973749490797"/>
    <n v="6.3104329893162198E-2"/>
    <s v="False"/>
    <n v="2.8409049510955802"/>
  </r>
  <r>
    <x v="3"/>
    <x v="1"/>
    <x v="1"/>
    <x v="3"/>
    <x v="15"/>
    <x v="0"/>
    <n v="0.72560193871169398"/>
    <n v="0"/>
    <s v="False"/>
    <n v="0.15249371528625399"/>
  </r>
  <r>
    <x v="3"/>
    <x v="1"/>
    <x v="1"/>
    <x v="3"/>
    <x v="15"/>
    <x v="1"/>
    <n v="0.73792777734724202"/>
    <n v="5.56692160115905E-2"/>
    <s v="False"/>
    <n v="2.83712410926818"/>
  </r>
  <r>
    <x v="3"/>
    <x v="1"/>
    <x v="1"/>
    <x v="4"/>
    <x v="16"/>
    <x v="0"/>
    <n v="0.73193304007820104"/>
    <n v="0"/>
    <s v="False"/>
    <n v="0.203166007995605"/>
  </r>
  <r>
    <x v="3"/>
    <x v="1"/>
    <x v="1"/>
    <x v="4"/>
    <x v="16"/>
    <x v="1"/>
    <n v="0.73877357671532695"/>
    <n v="3.8953795241109E-2"/>
    <s v="False"/>
    <n v="3.5022311210632302"/>
  </r>
  <r>
    <x v="3"/>
    <x v="1"/>
    <x v="1"/>
    <x v="5"/>
    <x v="17"/>
    <x v="0"/>
    <n v="0.70676653901762299"/>
    <n v="0"/>
    <s v="False"/>
    <n v="0.19710421562194799"/>
  </r>
  <r>
    <x v="3"/>
    <x v="1"/>
    <x v="1"/>
    <x v="5"/>
    <x v="17"/>
    <x v="1"/>
    <n v="0.74043978012456202"/>
    <n v="4.5678248618421902E-2"/>
    <s v="False"/>
    <n v="3.5683569908142001"/>
  </r>
  <r>
    <x v="3"/>
    <x v="1"/>
    <x v="1"/>
    <x v="6"/>
    <x v="18"/>
    <x v="0"/>
    <n v="0.73832236842105203"/>
    <n v="0"/>
    <s v="False"/>
    <n v="0.19322586059570299"/>
  </r>
  <r>
    <x v="3"/>
    <x v="1"/>
    <x v="1"/>
    <x v="6"/>
    <x v="18"/>
    <x v="1"/>
    <n v="0.74475038919522496"/>
    <n v="4.4929490342633903E-2"/>
    <s v="False"/>
    <n v="3.4787781238555899"/>
  </r>
  <r>
    <x v="3"/>
    <x v="1"/>
    <x v="1"/>
    <x v="7"/>
    <x v="19"/>
    <x v="0"/>
    <n v="0.71285943116111805"/>
    <n v="0"/>
    <s v="False"/>
    <n v="0.18856310844421301"/>
  </r>
  <r>
    <x v="3"/>
    <x v="1"/>
    <x v="1"/>
    <x v="7"/>
    <x v="19"/>
    <x v="1"/>
    <n v="0.74188855390157304"/>
    <n v="4.0962935025585998E-2"/>
    <s v="False"/>
    <n v="3.4837901592254599"/>
  </r>
  <r>
    <x v="3"/>
    <x v="1"/>
    <x v="1"/>
    <x v="8"/>
    <x v="20"/>
    <x v="0"/>
    <n v="0.75702368823229704"/>
    <n v="0"/>
    <s v="False"/>
    <n v="0.21091198921203599"/>
  </r>
  <r>
    <x v="3"/>
    <x v="1"/>
    <x v="1"/>
    <x v="8"/>
    <x v="20"/>
    <x v="1"/>
    <n v="0.73720773937023298"/>
    <n v="3.1345697063278499E-2"/>
    <s v="False"/>
    <n v="3.53841924667358"/>
  </r>
  <r>
    <x v="3"/>
    <x v="1"/>
    <x v="1"/>
    <x v="9"/>
    <x v="21"/>
    <x v="0"/>
    <n v="0.73172257825016596"/>
    <n v="0"/>
    <s v="False"/>
    <n v="0.19483995437622001"/>
  </r>
  <r>
    <x v="3"/>
    <x v="1"/>
    <x v="1"/>
    <x v="9"/>
    <x v="21"/>
    <x v="1"/>
    <n v="0.72826620690442601"/>
    <n v="5.3831864543514997E-2"/>
    <s v="False"/>
    <n v="3.5271608829498202"/>
  </r>
  <r>
    <x v="3"/>
    <x v="1"/>
    <x v="1"/>
    <x v="10"/>
    <x v="22"/>
    <x v="0"/>
    <n v="0.73832236842105203"/>
    <n v="0"/>
    <s v="False"/>
    <n v="0.198795080184936"/>
  </r>
  <r>
    <x v="3"/>
    <x v="1"/>
    <x v="1"/>
    <x v="10"/>
    <x v="22"/>
    <x v="1"/>
    <n v="0.75797509974802002"/>
    <n v="3.9457911640656901E-2"/>
    <s v="False"/>
    <n v="3.49532914161682"/>
  </r>
  <r>
    <x v="3"/>
    <x v="1"/>
    <x v="1"/>
    <x v="11"/>
    <x v="23"/>
    <x v="0"/>
    <n v="0.73205989980822594"/>
    <n v="0"/>
    <s v="False"/>
    <n v="0.202855110168457"/>
  </r>
  <r>
    <x v="3"/>
    <x v="1"/>
    <x v="1"/>
    <x v="11"/>
    <x v="23"/>
    <x v="1"/>
    <n v="0.73689081577554605"/>
    <n v="5.1599008094743402E-2"/>
    <s v="False"/>
    <n v="3.54711413383483"/>
  </r>
  <r>
    <x v="3"/>
    <x v="2"/>
    <x v="2"/>
    <x v="0"/>
    <x v="24"/>
    <x v="0"/>
    <n v="0.76051797464291404"/>
    <n v="0"/>
    <s v="False"/>
    <n v="5.5978279113769496"/>
  </r>
  <r>
    <x v="3"/>
    <x v="2"/>
    <x v="2"/>
    <x v="0"/>
    <x v="24"/>
    <x v="1"/>
    <n v="0.77957843883594502"/>
    <n v="2.3762206317954102E-2"/>
    <s v="False"/>
    <n v="42.099580049514699"/>
  </r>
  <r>
    <x v="3"/>
    <x v="2"/>
    <x v="2"/>
    <x v="1"/>
    <x v="25"/>
    <x v="0"/>
    <n v="0.71600207068473298"/>
    <n v="0"/>
    <s v="False"/>
    <n v="6.86759281158447"/>
  </r>
  <r>
    <x v="3"/>
    <x v="2"/>
    <x v="2"/>
    <x v="1"/>
    <x v="25"/>
    <x v="1"/>
    <n v="0.77241727254839398"/>
    <n v="3.9092870590532902E-2"/>
    <s v="False"/>
    <n v="59.624083995818999"/>
  </r>
  <r>
    <x v="3"/>
    <x v="2"/>
    <x v="2"/>
    <x v="2"/>
    <x v="26"/>
    <x v="0"/>
    <n v="0.71677927927927898"/>
    <n v="0"/>
    <s v="False"/>
    <n v="7.1438028812408403"/>
  </r>
  <r>
    <x v="3"/>
    <x v="2"/>
    <x v="2"/>
    <x v="2"/>
    <x v="26"/>
    <x v="1"/>
    <n v="0.76008047966857695"/>
    <n v="3.5703588567215498E-2"/>
    <s v="False"/>
    <n v="79.766031026840196"/>
  </r>
  <r>
    <x v="3"/>
    <x v="2"/>
    <x v="2"/>
    <x v="3"/>
    <x v="27"/>
    <x v="0"/>
    <n v="0.74791365751885697"/>
    <n v="0"/>
    <s v="False"/>
    <n v="8.8421478271484304"/>
  </r>
  <r>
    <x v="3"/>
    <x v="2"/>
    <x v="2"/>
    <x v="3"/>
    <x v="27"/>
    <x v="1"/>
    <n v="0.77287486403315298"/>
    <n v="2.9972037404807399E-2"/>
    <s v="False"/>
    <n v="124.470983028411"/>
  </r>
  <r>
    <x v="3"/>
    <x v="3"/>
    <x v="3"/>
    <x v="0"/>
    <x v="24"/>
    <x v="0"/>
    <n v="0.76857591425967697"/>
    <n v="0"/>
    <s v="False"/>
    <n v="13.491574048995901"/>
  </r>
  <r>
    <x v="3"/>
    <x v="3"/>
    <x v="3"/>
    <x v="0"/>
    <x v="24"/>
    <x v="1"/>
    <n v="0.78923880673889502"/>
    <n v="2.8984113855668799E-2"/>
    <s v="False"/>
    <n v="188.56224679946899"/>
  </r>
  <r>
    <x v="3"/>
    <x v="3"/>
    <x v="3"/>
    <x v="1"/>
    <x v="25"/>
    <x v="0"/>
    <n v="0.76302353960006297"/>
    <n v="0"/>
    <s v="False"/>
    <n v="18.346954822540201"/>
  </r>
  <r>
    <x v="3"/>
    <x v="3"/>
    <x v="3"/>
    <x v="1"/>
    <x v="25"/>
    <x v="1"/>
    <n v="0.79663511329246195"/>
    <n v="3.5227806855600202E-2"/>
    <s v="False"/>
    <n v="296.46869707107498"/>
  </r>
  <r>
    <x v="3"/>
    <x v="3"/>
    <x v="3"/>
    <x v="2"/>
    <x v="26"/>
    <x v="0"/>
    <n v="0.77500000000000002"/>
    <n v="0"/>
    <s v="False"/>
    <n v="21.995641946792599"/>
  </r>
  <r>
    <x v="3"/>
    <x v="3"/>
    <x v="3"/>
    <x v="2"/>
    <x v="26"/>
    <x v="1"/>
    <n v="0.78833163851542198"/>
    <n v="2.42769568774522E-2"/>
    <s v="False"/>
    <n v="391.93693494796702"/>
  </r>
  <r>
    <x v="3"/>
    <x v="3"/>
    <x v="3"/>
    <x v="3"/>
    <x v="27"/>
    <x v="0"/>
    <n v="0.74856138107416803"/>
    <n v="0"/>
    <s v="False"/>
    <n v="36.731286048889103"/>
  </r>
  <r>
    <x v="3"/>
    <x v="3"/>
    <x v="3"/>
    <x v="3"/>
    <x v="27"/>
    <x v="1"/>
    <n v="0.784342572421036"/>
    <n v="2.8674141946696801E-2"/>
    <s v="False"/>
    <n v="642.58542418479897"/>
  </r>
  <r>
    <x v="4"/>
    <x v="0"/>
    <x v="0"/>
    <x v="0"/>
    <x v="0"/>
    <x v="0"/>
    <n v="0.69562753036437197"/>
    <n v="0"/>
    <s v="False"/>
    <n v="4.8348903656005797E-2"/>
  </r>
  <r>
    <x v="4"/>
    <x v="0"/>
    <x v="0"/>
    <x v="0"/>
    <x v="0"/>
    <x v="1"/>
    <n v="0.713413037237425"/>
    <n v="5.2701146182724999E-2"/>
    <s v="False"/>
    <n v="0.726995229721069"/>
  </r>
  <r>
    <x v="4"/>
    <x v="0"/>
    <x v="0"/>
    <x v="1"/>
    <x v="1"/>
    <x v="0"/>
    <n v="0.72345291155957203"/>
    <n v="0"/>
    <s v="False"/>
    <n v="0.107636928558349"/>
  </r>
  <r>
    <x v="4"/>
    <x v="0"/>
    <x v="0"/>
    <x v="1"/>
    <x v="1"/>
    <x v="1"/>
    <n v="0.72574075148147899"/>
    <n v="6.5655023544376995E-2"/>
    <s v="False"/>
    <n v="1.43661904335021"/>
  </r>
  <r>
    <x v="4"/>
    <x v="0"/>
    <x v="0"/>
    <x v="2"/>
    <x v="2"/>
    <x v="0"/>
    <n v="0.72468974358974303"/>
    <n v="0"/>
    <s v="False"/>
    <n v="0.118421077728271"/>
  </r>
  <r>
    <x v="4"/>
    <x v="0"/>
    <x v="0"/>
    <x v="2"/>
    <x v="2"/>
    <x v="1"/>
    <n v="0.71932178417923498"/>
    <n v="5.0356134193862201E-2"/>
    <s v="False"/>
    <n v="2.3839919567108101"/>
  </r>
  <r>
    <x v="4"/>
    <x v="0"/>
    <x v="0"/>
    <x v="3"/>
    <x v="3"/>
    <x v="0"/>
    <n v="0.79230480480480403"/>
    <n v="0"/>
    <s v="False"/>
    <n v="5.72779178619384E-2"/>
  </r>
  <r>
    <x v="4"/>
    <x v="0"/>
    <x v="0"/>
    <x v="3"/>
    <x v="3"/>
    <x v="1"/>
    <n v="0.74390288816923"/>
    <n v="3.6078031361296801E-2"/>
    <s v="False"/>
    <n v="0.66415905952453602"/>
  </r>
  <r>
    <x v="4"/>
    <x v="0"/>
    <x v="0"/>
    <x v="4"/>
    <x v="4"/>
    <x v="0"/>
    <n v="0.75386846126010199"/>
    <n v="0"/>
    <s v="False"/>
    <n v="7.9393863677978502E-2"/>
  </r>
  <r>
    <x v="4"/>
    <x v="0"/>
    <x v="0"/>
    <x v="4"/>
    <x v="4"/>
    <x v="1"/>
    <n v="0.73629965235394801"/>
    <n v="4.3842259828461301E-2"/>
    <s v="False"/>
    <n v="1.10059213638305"/>
  </r>
  <r>
    <x v="4"/>
    <x v="0"/>
    <x v="0"/>
    <x v="5"/>
    <x v="5"/>
    <x v="0"/>
    <n v="0.77464285714285697"/>
    <n v="0"/>
    <s v="False"/>
    <n v="0.10613894462585401"/>
  </r>
  <r>
    <x v="4"/>
    <x v="0"/>
    <x v="0"/>
    <x v="5"/>
    <x v="5"/>
    <x v="1"/>
    <n v="0.74495489798121495"/>
    <n v="3.1430790866731201E-2"/>
    <s v="False"/>
    <n v="1.5956122875213601"/>
  </r>
  <r>
    <x v="4"/>
    <x v="0"/>
    <x v="0"/>
    <x v="6"/>
    <x v="6"/>
    <x v="0"/>
    <n v="0.73750000000000004"/>
    <n v="0"/>
    <s v="False"/>
    <n v="4.8519849777221603E-2"/>
  </r>
  <r>
    <x v="4"/>
    <x v="0"/>
    <x v="0"/>
    <x v="6"/>
    <x v="6"/>
    <x v="1"/>
    <n v="0.73622217158271397"/>
    <n v="3.4388580757828198E-2"/>
    <s v="False"/>
    <n v="0.52384877204894997"/>
  </r>
  <r>
    <x v="4"/>
    <x v="0"/>
    <x v="0"/>
    <x v="7"/>
    <x v="7"/>
    <x v="0"/>
    <n v="0.73708333333333298"/>
    <n v="0"/>
    <s v="False"/>
    <n v="5.8273077011108398E-2"/>
  </r>
  <r>
    <x v="4"/>
    <x v="0"/>
    <x v="0"/>
    <x v="7"/>
    <x v="7"/>
    <x v="1"/>
    <n v="0.74604165536217804"/>
    <n v="3.5235861064021198E-2"/>
    <s v="False"/>
    <n v="0.73079109191894498"/>
  </r>
  <r>
    <x v="4"/>
    <x v="0"/>
    <x v="0"/>
    <x v="8"/>
    <x v="8"/>
    <x v="0"/>
    <n v="0.75513192533205697"/>
    <n v="0"/>
    <s v="False"/>
    <n v="7.0625066757202107E-2"/>
  </r>
  <r>
    <x v="4"/>
    <x v="0"/>
    <x v="0"/>
    <x v="8"/>
    <x v="8"/>
    <x v="1"/>
    <n v="0.74363375759336703"/>
    <n v="3.8040704506792297E-2"/>
    <s v="False"/>
    <n v="0.96878385543823198"/>
  </r>
  <r>
    <x v="4"/>
    <x v="0"/>
    <x v="0"/>
    <x v="9"/>
    <x v="9"/>
    <x v="0"/>
    <n v="0.76212301587301501"/>
    <n v="0"/>
    <s v="False"/>
    <n v="2.2602581977844198"/>
  </r>
  <r>
    <x v="4"/>
    <x v="0"/>
    <x v="0"/>
    <x v="9"/>
    <x v="9"/>
    <x v="1"/>
    <n v="0.79786107980446097"/>
    <n v="2.9842691677212801E-2"/>
    <s v="False"/>
    <n v="36.354346990585299"/>
  </r>
  <r>
    <x v="4"/>
    <x v="0"/>
    <x v="0"/>
    <x v="10"/>
    <x v="10"/>
    <x v="0"/>
    <n v="0.77370524296675103"/>
    <n v="0"/>
    <s v="False"/>
    <n v="3.8473742008209202"/>
  </r>
  <r>
    <x v="4"/>
    <x v="0"/>
    <x v="0"/>
    <x v="10"/>
    <x v="10"/>
    <x v="1"/>
    <n v="0.801294747932351"/>
    <n v="3.1652088672602802E-2"/>
    <s v="False"/>
    <n v="72.447184085845905"/>
  </r>
  <r>
    <x v="4"/>
    <x v="0"/>
    <x v="0"/>
    <x v="11"/>
    <x v="11"/>
    <x v="0"/>
    <n v="0.76857591425967697"/>
    <n v="0"/>
    <s v="False"/>
    <n v="5.8106110095977703"/>
  </r>
  <r>
    <x v="4"/>
    <x v="0"/>
    <x v="0"/>
    <x v="11"/>
    <x v="11"/>
    <x v="1"/>
    <n v="0.78739559841826301"/>
    <n v="2.5938662982039298E-2"/>
    <s v="False"/>
    <n v="108.975172042846"/>
  </r>
  <r>
    <x v="4"/>
    <x v="1"/>
    <x v="1"/>
    <x v="0"/>
    <x v="12"/>
    <x v="0"/>
    <n v="0.76768926249451497"/>
    <n v="0"/>
    <s v="False"/>
    <n v="9.7685098648071206E-2"/>
  </r>
  <r>
    <x v="4"/>
    <x v="1"/>
    <x v="1"/>
    <x v="0"/>
    <x v="12"/>
    <x v="1"/>
    <n v="0.75586142677864498"/>
    <n v="3.8466984678273398E-2"/>
    <s v="False"/>
    <n v="1.6838517189025799"/>
  </r>
  <r>
    <x v="4"/>
    <x v="1"/>
    <x v="1"/>
    <x v="1"/>
    <x v="13"/>
    <x v="0"/>
    <n v="0.786755454690237"/>
    <n v="0"/>
    <s v="False"/>
    <n v="9.4430923461913993E-2"/>
  </r>
  <r>
    <x v="4"/>
    <x v="1"/>
    <x v="1"/>
    <x v="1"/>
    <x v="13"/>
    <x v="1"/>
    <n v="0.76837481027715004"/>
    <n v="3.6748148599956801E-2"/>
    <s v="False"/>
    <n v="1.6991779804229701"/>
  </r>
  <r>
    <x v="4"/>
    <x v="1"/>
    <x v="1"/>
    <x v="2"/>
    <x v="14"/>
    <x v="0"/>
    <n v="0.76166786112438201"/>
    <n v="0"/>
    <s v="False"/>
    <n v="9.8085880279541002E-2"/>
  </r>
  <r>
    <x v="4"/>
    <x v="1"/>
    <x v="1"/>
    <x v="2"/>
    <x v="14"/>
    <x v="1"/>
    <n v="0.75358237389175198"/>
    <n v="1.90095052755378E-2"/>
    <s v="False"/>
    <n v="1.7378518581390301"/>
  </r>
  <r>
    <x v="4"/>
    <x v="1"/>
    <x v="1"/>
    <x v="3"/>
    <x v="15"/>
    <x v="0"/>
    <n v="0.77370524296675103"/>
    <n v="0"/>
    <s v="False"/>
    <n v="9.6842288970947196E-2"/>
  </r>
  <r>
    <x v="4"/>
    <x v="1"/>
    <x v="1"/>
    <x v="3"/>
    <x v="15"/>
    <x v="1"/>
    <n v="0.75562237729660198"/>
    <n v="2.1537383777948602E-2"/>
    <s v="False"/>
    <n v="1.6858267784118599"/>
  </r>
  <r>
    <x v="4"/>
    <x v="1"/>
    <x v="1"/>
    <x v="4"/>
    <x v="16"/>
    <x v="0"/>
    <n v="0.805764835645295"/>
    <n v="0"/>
    <s v="False"/>
    <n v="9.1496944427490207E-2"/>
  </r>
  <r>
    <x v="4"/>
    <x v="1"/>
    <x v="1"/>
    <x v="4"/>
    <x v="16"/>
    <x v="1"/>
    <n v="0.75809798131313599"/>
    <n v="2.83899068535431E-2"/>
    <s v="False"/>
    <n v="1.69764375686645"/>
  </r>
  <r>
    <x v="4"/>
    <x v="1"/>
    <x v="1"/>
    <x v="5"/>
    <x v="17"/>
    <x v="0"/>
    <n v="0.79323353471918601"/>
    <n v="0"/>
    <s v="False"/>
    <n v="9.6548795700073201E-2"/>
  </r>
  <r>
    <x v="4"/>
    <x v="1"/>
    <x v="1"/>
    <x v="5"/>
    <x v="17"/>
    <x v="1"/>
    <n v="0.75512867728379796"/>
    <n v="2.2430724964912201E-2"/>
    <s v="False"/>
    <n v="1.7248630523681601"/>
  </r>
  <r>
    <x v="4"/>
    <x v="1"/>
    <x v="1"/>
    <x v="6"/>
    <x v="18"/>
    <x v="0"/>
    <n v="0.7353093403948"/>
    <n v="0"/>
    <s v="False"/>
    <n v="9.3585968017578097E-2"/>
  </r>
  <r>
    <x v="4"/>
    <x v="1"/>
    <x v="1"/>
    <x v="6"/>
    <x v="18"/>
    <x v="1"/>
    <n v="0.765952654739538"/>
    <n v="3.1551290832138798E-2"/>
    <s v="False"/>
    <n v="1.71377396583557"/>
  </r>
  <r>
    <x v="4"/>
    <x v="1"/>
    <x v="1"/>
    <x v="7"/>
    <x v="19"/>
    <x v="0"/>
    <n v="0.76768926249451497"/>
    <n v="0"/>
    <s v="False"/>
    <n v="9.4913005828857394E-2"/>
  </r>
  <r>
    <x v="4"/>
    <x v="1"/>
    <x v="1"/>
    <x v="7"/>
    <x v="19"/>
    <x v="1"/>
    <n v="0.74624071651226898"/>
    <n v="2.6367560562410599E-2"/>
    <s v="False"/>
    <n v="1.7219421863555899"/>
  </r>
  <r>
    <x v="4"/>
    <x v="1"/>
    <x v="1"/>
    <x v="8"/>
    <x v="20"/>
    <x v="0"/>
    <n v="0.77971721721721698"/>
    <n v="0"/>
    <s v="False"/>
    <n v="9.5341920852661105E-2"/>
  </r>
  <r>
    <x v="4"/>
    <x v="1"/>
    <x v="1"/>
    <x v="8"/>
    <x v="20"/>
    <x v="1"/>
    <n v="0.747900111174296"/>
    <n v="2.0728434151105399E-2"/>
    <s v="False"/>
    <n v="1.72134184837341"/>
  </r>
  <r>
    <x v="4"/>
    <x v="1"/>
    <x v="1"/>
    <x v="9"/>
    <x v="21"/>
    <x v="0"/>
    <n v="0.76857591425967697"/>
    <n v="0"/>
    <s v="False"/>
    <n v="9.7032070159912095E-2"/>
  </r>
  <r>
    <x v="4"/>
    <x v="1"/>
    <x v="1"/>
    <x v="9"/>
    <x v="21"/>
    <x v="1"/>
    <n v="0.75680908521863799"/>
    <n v="2.9673221155936999E-2"/>
    <s v="False"/>
    <n v="1.7542698383331199"/>
  </r>
  <r>
    <x v="4"/>
    <x v="1"/>
    <x v="1"/>
    <x v="10"/>
    <x v="22"/>
    <x v="0"/>
    <n v="0.76768926249451497"/>
    <n v="0"/>
    <s v="False"/>
    <n v="9.4715118408203097E-2"/>
  </r>
  <r>
    <x v="4"/>
    <x v="1"/>
    <x v="1"/>
    <x v="10"/>
    <x v="22"/>
    <x v="1"/>
    <n v="0.75344630015695802"/>
    <n v="3.5124072170549699E-2"/>
    <s v="False"/>
    <n v="1.6953310966491699"/>
  </r>
  <r>
    <x v="4"/>
    <x v="1"/>
    <x v="1"/>
    <x v="11"/>
    <x v="23"/>
    <x v="0"/>
    <n v="0.773122291766971"/>
    <n v="0"/>
    <s v="False"/>
    <n v="9.42051410675048E-2"/>
  </r>
  <r>
    <x v="4"/>
    <x v="1"/>
    <x v="1"/>
    <x v="11"/>
    <x v="23"/>
    <x v="1"/>
    <n v="0.762801165762094"/>
    <n v="2.42183701335336E-2"/>
    <s v="False"/>
    <n v="1.7159569263458201"/>
  </r>
  <r>
    <x v="4"/>
    <x v="2"/>
    <x v="2"/>
    <x v="0"/>
    <x v="24"/>
    <x v="0"/>
    <n v="0.75563963194085604"/>
    <n v="0"/>
    <s v="False"/>
    <n v="0.33285212516784601"/>
  </r>
  <r>
    <x v="4"/>
    <x v="2"/>
    <x v="2"/>
    <x v="0"/>
    <x v="24"/>
    <x v="1"/>
    <n v="0.78948320346054601"/>
    <n v="3.10888644597264E-2"/>
    <s v="False"/>
    <n v="6.5304689407348597"/>
  </r>
  <r>
    <x v="4"/>
    <x v="2"/>
    <x v="2"/>
    <x v="1"/>
    <x v="25"/>
    <x v="0"/>
    <n v="0.77246131528046402"/>
    <n v="0"/>
    <s v="False"/>
    <n v="0.43401503562927202"/>
  </r>
  <r>
    <x v="4"/>
    <x v="2"/>
    <x v="2"/>
    <x v="1"/>
    <x v="25"/>
    <x v="1"/>
    <n v="0.78398564855861996"/>
    <n v="3.7738438518111199E-2"/>
    <s v="False"/>
    <n v="8.6181013584136892"/>
  </r>
  <r>
    <x v="4"/>
    <x v="2"/>
    <x v="2"/>
    <x v="2"/>
    <x v="26"/>
    <x v="0"/>
    <n v="0.77911272164368095"/>
    <n v="0"/>
    <s v="False"/>
    <n v="0.62972903251647905"/>
  </r>
  <r>
    <x v="4"/>
    <x v="2"/>
    <x v="2"/>
    <x v="2"/>
    <x v="26"/>
    <x v="1"/>
    <n v="0.79300987672484202"/>
    <n v="3.31435724968175E-2"/>
    <s v="False"/>
    <n v="10.6062340736389"/>
  </r>
  <r>
    <x v="4"/>
    <x v="2"/>
    <x v="2"/>
    <x v="3"/>
    <x v="27"/>
    <x v="0"/>
    <n v="0.77911272164368095"/>
    <n v="0"/>
    <s v="False"/>
    <n v="0.73909711837768499"/>
  </r>
  <r>
    <x v="4"/>
    <x v="2"/>
    <x v="2"/>
    <x v="3"/>
    <x v="27"/>
    <x v="1"/>
    <n v="0.790150510007539"/>
    <n v="3.3591022792191602E-2"/>
    <s v="False"/>
    <n v="12.8188729286193"/>
  </r>
  <r>
    <x v="4"/>
    <x v="3"/>
    <x v="3"/>
    <x v="0"/>
    <x v="24"/>
    <x v="0"/>
    <n v="0.73001725100713899"/>
    <n v="0"/>
    <s v="False"/>
    <n v="1.7817311286926201"/>
  </r>
  <r>
    <x v="4"/>
    <x v="3"/>
    <x v="3"/>
    <x v="0"/>
    <x v="24"/>
    <x v="1"/>
    <n v="0.79506975401421398"/>
    <n v="4.0104249539057897E-2"/>
    <s v="False"/>
    <n v="30.572792053222599"/>
  </r>
  <r>
    <x v="4"/>
    <x v="3"/>
    <x v="3"/>
    <x v="1"/>
    <x v="25"/>
    <x v="0"/>
    <n v="0.76279987373737301"/>
    <n v="0"/>
    <s v="False"/>
    <n v="2.4335880279540998"/>
  </r>
  <r>
    <x v="4"/>
    <x v="3"/>
    <x v="3"/>
    <x v="1"/>
    <x v="25"/>
    <x v="1"/>
    <n v="0.80026254101584404"/>
    <n v="3.4316163167058003E-2"/>
    <s v="False"/>
    <n v="42.287877798080402"/>
  </r>
  <r>
    <x v="4"/>
    <x v="3"/>
    <x v="3"/>
    <x v="2"/>
    <x v="26"/>
    <x v="0"/>
    <n v="0.76166786112438201"/>
    <n v="0"/>
    <s v="False"/>
    <n v="2.5487780570983798"/>
  </r>
  <r>
    <x v="4"/>
    <x v="3"/>
    <x v="3"/>
    <x v="2"/>
    <x v="26"/>
    <x v="1"/>
    <n v="0.79286541502427699"/>
    <n v="3.4158060339424798E-2"/>
    <s v="False"/>
    <n v="52.673905849456702"/>
  </r>
  <r>
    <x v="4"/>
    <x v="3"/>
    <x v="3"/>
    <x v="3"/>
    <x v="27"/>
    <x v="0"/>
    <n v="0.76857591425967697"/>
    <n v="0"/>
    <s v="False"/>
    <n v="3.55137991905212"/>
  </r>
  <r>
    <x v="4"/>
    <x v="3"/>
    <x v="3"/>
    <x v="3"/>
    <x v="27"/>
    <x v="1"/>
    <n v="0.79644845994395996"/>
    <n v="3.5140349037070098E-2"/>
    <s v="False"/>
    <n v="64.368307828903198"/>
  </r>
  <r>
    <x v="5"/>
    <x v="0"/>
    <x v="0"/>
    <x v="0"/>
    <x v="0"/>
    <x v="0"/>
    <n v="0.67714316006300701"/>
    <n v="0"/>
    <s v="False"/>
    <n v="4.5845985412597601E-2"/>
  </r>
  <r>
    <x v="5"/>
    <x v="0"/>
    <x v="0"/>
    <x v="0"/>
    <x v="0"/>
    <x v="1"/>
    <n v="0.69273854796524104"/>
    <n v="3.7101606211600802E-2"/>
    <s v="False"/>
    <n v="0.68671607971191395"/>
  </r>
  <r>
    <x v="5"/>
    <x v="0"/>
    <x v="0"/>
    <x v="1"/>
    <x v="1"/>
    <x v="0"/>
    <n v="0.69075781030115302"/>
    <n v="0"/>
    <s v="False"/>
    <n v="7.3474168777465806E-2"/>
  </r>
  <r>
    <x v="5"/>
    <x v="0"/>
    <x v="0"/>
    <x v="1"/>
    <x v="1"/>
    <x v="1"/>
    <n v="0.70306591146846098"/>
    <n v="3.7345157008343302E-2"/>
    <s v="False"/>
    <n v="1.3436589241027801"/>
  </r>
  <r>
    <x v="5"/>
    <x v="0"/>
    <x v="0"/>
    <x v="2"/>
    <x v="2"/>
    <x v="0"/>
    <n v="0.67133301096067"/>
    <n v="0"/>
    <s v="False"/>
    <n v="9.5994949340820299E-2"/>
  </r>
  <r>
    <x v="5"/>
    <x v="0"/>
    <x v="0"/>
    <x v="2"/>
    <x v="2"/>
    <x v="1"/>
    <n v="0.70297038163522396"/>
    <n v="3.6943077833274302E-2"/>
    <s v="False"/>
    <n v="1.9624772071838299"/>
  </r>
  <r>
    <x v="5"/>
    <x v="0"/>
    <x v="0"/>
    <x v="3"/>
    <x v="3"/>
    <x v="0"/>
    <n v="0.72534722222222203"/>
    <n v="0"/>
    <s v="False"/>
    <n v="5.8522939682006801E-2"/>
  </r>
  <r>
    <x v="5"/>
    <x v="0"/>
    <x v="0"/>
    <x v="3"/>
    <x v="3"/>
    <x v="1"/>
    <n v="0.72001169145312605"/>
    <n v="3.8204984311582202E-2"/>
    <s v="False"/>
    <n v="0.73965001106262196"/>
  </r>
  <r>
    <x v="5"/>
    <x v="0"/>
    <x v="0"/>
    <x v="4"/>
    <x v="4"/>
    <x v="0"/>
    <n v="0.70419169169169105"/>
    <n v="0"/>
    <s v="False"/>
    <n v="7.6872825622558594E-2"/>
  </r>
  <r>
    <x v="5"/>
    <x v="0"/>
    <x v="0"/>
    <x v="4"/>
    <x v="4"/>
    <x v="1"/>
    <n v="0.73315645102775695"/>
    <n v="3.3401339122218897E-2"/>
    <s v="False"/>
    <n v="1.2511410713195801"/>
  </r>
  <r>
    <x v="5"/>
    <x v="0"/>
    <x v="0"/>
    <x v="5"/>
    <x v="5"/>
    <x v="0"/>
    <n v="0.72456349206349202"/>
    <n v="0"/>
    <s v="False"/>
    <n v="0.11799812316894499"/>
  </r>
  <r>
    <x v="5"/>
    <x v="0"/>
    <x v="0"/>
    <x v="5"/>
    <x v="5"/>
    <x v="1"/>
    <n v="0.72894840316223097"/>
    <n v="2.8730190545751599E-2"/>
    <s v="False"/>
    <n v="1.78529405593872"/>
  </r>
  <r>
    <x v="5"/>
    <x v="0"/>
    <x v="0"/>
    <x v="6"/>
    <x v="6"/>
    <x v="0"/>
    <n v="0.71340196078431295"/>
    <n v="0"/>
    <s v="False"/>
    <n v="4.5762062072753899E-2"/>
  </r>
  <r>
    <x v="5"/>
    <x v="0"/>
    <x v="0"/>
    <x v="6"/>
    <x v="6"/>
    <x v="1"/>
    <n v="0.68219068257264104"/>
    <n v="5.3001790797601797E-2"/>
    <s v="False"/>
    <n v="0.47783684730529702"/>
  </r>
  <r>
    <x v="5"/>
    <x v="0"/>
    <x v="0"/>
    <x v="7"/>
    <x v="7"/>
    <x v="0"/>
    <n v="0.68221057884231495"/>
    <n v="0"/>
    <s v="False"/>
    <n v="4.5146942138671799E-2"/>
  </r>
  <r>
    <x v="5"/>
    <x v="0"/>
    <x v="0"/>
    <x v="7"/>
    <x v="7"/>
    <x v="1"/>
    <n v="0.67969990783226297"/>
    <n v="4.0580053977542101E-2"/>
    <s v="False"/>
    <n v="0.769264936447143"/>
  </r>
  <r>
    <x v="5"/>
    <x v="0"/>
    <x v="0"/>
    <x v="8"/>
    <x v="8"/>
    <x v="0"/>
    <n v="0.707135239325271"/>
    <n v="0"/>
    <s v="False"/>
    <n v="6.8638086318969699E-2"/>
  </r>
  <r>
    <x v="5"/>
    <x v="0"/>
    <x v="0"/>
    <x v="8"/>
    <x v="8"/>
    <x v="1"/>
    <n v="0.67733573777059997"/>
    <n v="4.7439149415659097E-2"/>
    <s v="False"/>
    <n v="1.05660700798034"/>
  </r>
  <r>
    <x v="5"/>
    <x v="0"/>
    <x v="0"/>
    <x v="9"/>
    <x v="9"/>
    <x v="0"/>
    <n v="0.75606650421966004"/>
    <n v="0"/>
    <s v="False"/>
    <n v="2.25770807266235"/>
  </r>
  <r>
    <x v="5"/>
    <x v="0"/>
    <x v="0"/>
    <x v="9"/>
    <x v="9"/>
    <x v="1"/>
    <n v="0.76840394890589403"/>
    <n v="4.2168334015888403E-2"/>
    <s v="False"/>
    <n v="35.786258935928302"/>
  </r>
  <r>
    <x v="5"/>
    <x v="0"/>
    <x v="0"/>
    <x v="10"/>
    <x v="10"/>
    <x v="0"/>
    <n v="0.75606650421966004"/>
    <n v="0"/>
    <s v="False"/>
    <n v="3.9808700084686199"/>
  </r>
  <r>
    <x v="5"/>
    <x v="0"/>
    <x v="0"/>
    <x v="10"/>
    <x v="10"/>
    <x v="1"/>
    <n v="0.77988808618856897"/>
    <n v="3.5076507882314499E-2"/>
    <s v="False"/>
    <n v="70.551172018051105"/>
  </r>
  <r>
    <x v="5"/>
    <x v="0"/>
    <x v="0"/>
    <x v="11"/>
    <x v="11"/>
    <x v="0"/>
    <n v="0.773122291766971"/>
    <n v="0"/>
    <s v="False"/>
    <n v="5.4660210609436"/>
  </r>
  <r>
    <x v="5"/>
    <x v="0"/>
    <x v="0"/>
    <x v="11"/>
    <x v="11"/>
    <x v="1"/>
    <n v="0.78608695980957699"/>
    <n v="3.2709001123597703E-2"/>
    <s v="False"/>
    <n v="104.48890280723499"/>
  </r>
  <r>
    <x v="5"/>
    <x v="1"/>
    <x v="1"/>
    <x v="0"/>
    <x v="12"/>
    <x v="0"/>
    <n v="0.75078320802005005"/>
    <n v="0"/>
    <s v="False"/>
    <n v="9.9167823791503906E-2"/>
  </r>
  <r>
    <x v="5"/>
    <x v="1"/>
    <x v="1"/>
    <x v="0"/>
    <x v="12"/>
    <x v="1"/>
    <n v="0.73921935511725201"/>
    <n v="4.10908874628651E-2"/>
    <s v="False"/>
    <n v="1.6693298816680899"/>
  </r>
  <r>
    <x v="5"/>
    <x v="1"/>
    <x v="1"/>
    <x v="1"/>
    <x v="13"/>
    <x v="0"/>
    <n v="0.756682266009852"/>
    <n v="0"/>
    <s v="False"/>
    <n v="9.0580940246582003E-2"/>
  </r>
  <r>
    <x v="5"/>
    <x v="1"/>
    <x v="1"/>
    <x v="1"/>
    <x v="13"/>
    <x v="1"/>
    <n v="0.73385119179871094"/>
    <n v="2.1745388501052999E-2"/>
    <s v="False"/>
    <n v="1.64963722229003"/>
  </r>
  <r>
    <x v="5"/>
    <x v="1"/>
    <x v="1"/>
    <x v="2"/>
    <x v="14"/>
    <x v="0"/>
    <n v="0.69453275529865099"/>
    <n v="0"/>
    <s v="False"/>
    <n v="9.3343973159789997E-2"/>
  </r>
  <r>
    <x v="5"/>
    <x v="1"/>
    <x v="1"/>
    <x v="2"/>
    <x v="14"/>
    <x v="1"/>
    <n v="0.75426609575387105"/>
    <n v="2.2890545624428799E-2"/>
    <s v="False"/>
    <n v="1.69460678100585"/>
  </r>
  <r>
    <x v="5"/>
    <x v="1"/>
    <x v="1"/>
    <x v="3"/>
    <x v="15"/>
    <x v="0"/>
    <n v="0.73205989980822594"/>
    <n v="0"/>
    <s v="False"/>
    <n v="9.0337991714477497E-2"/>
  </r>
  <r>
    <x v="5"/>
    <x v="1"/>
    <x v="1"/>
    <x v="3"/>
    <x v="15"/>
    <x v="1"/>
    <n v="0.73417599795338895"/>
    <n v="3.9720856810610598E-2"/>
    <s v="False"/>
    <n v="1.6654701232910101"/>
  </r>
  <r>
    <x v="5"/>
    <x v="1"/>
    <x v="1"/>
    <x v="4"/>
    <x v="16"/>
    <x v="0"/>
    <n v="0.71340196078431295"/>
    <n v="0"/>
    <s v="False"/>
    <n v="0.10542416572570799"/>
  </r>
  <r>
    <x v="5"/>
    <x v="1"/>
    <x v="1"/>
    <x v="4"/>
    <x v="16"/>
    <x v="1"/>
    <n v="0.73881722961762697"/>
    <n v="4.3799145801750199E-2"/>
    <s v="False"/>
    <n v="1.6877129077911299"/>
  </r>
  <r>
    <x v="5"/>
    <x v="1"/>
    <x v="1"/>
    <x v="5"/>
    <x v="17"/>
    <x v="0"/>
    <n v="0.72586274509803905"/>
    <n v="0"/>
    <s v="False"/>
    <n v="0.10135388374328599"/>
  </r>
  <r>
    <x v="5"/>
    <x v="1"/>
    <x v="1"/>
    <x v="5"/>
    <x v="17"/>
    <x v="1"/>
    <n v="0.74611168187060695"/>
    <n v="4.12682623569866E-2"/>
    <s v="False"/>
    <n v="1.7001709938049301"/>
  </r>
  <r>
    <x v="5"/>
    <x v="1"/>
    <x v="1"/>
    <x v="6"/>
    <x v="18"/>
    <x v="0"/>
    <n v="0.71313375846323401"/>
    <n v="0"/>
    <s v="False"/>
    <n v="9.6768856048583901E-2"/>
  </r>
  <r>
    <x v="5"/>
    <x v="1"/>
    <x v="1"/>
    <x v="6"/>
    <x v="18"/>
    <x v="1"/>
    <n v="0.76179767105306395"/>
    <n v="2.44102236290356E-2"/>
    <s v="False"/>
    <n v="1.7375638484954801"/>
  </r>
  <r>
    <x v="5"/>
    <x v="1"/>
    <x v="1"/>
    <x v="7"/>
    <x v="19"/>
    <x v="0"/>
    <n v="0.75698663605322003"/>
    <n v="0"/>
    <s v="False"/>
    <n v="9.1043949127197196E-2"/>
  </r>
  <r>
    <x v="5"/>
    <x v="1"/>
    <x v="1"/>
    <x v="7"/>
    <x v="19"/>
    <x v="1"/>
    <n v="0.73061342638972304"/>
    <n v="2.62915165499755E-2"/>
    <s v="False"/>
    <n v="1.70269179344177"/>
  </r>
  <r>
    <x v="5"/>
    <x v="1"/>
    <x v="1"/>
    <x v="8"/>
    <x v="20"/>
    <x v="0"/>
    <n v="0.75606650421966004"/>
    <n v="0"/>
    <s v="False"/>
    <n v="9.2808961868286105E-2"/>
  </r>
  <r>
    <x v="5"/>
    <x v="1"/>
    <x v="1"/>
    <x v="8"/>
    <x v="20"/>
    <x v="1"/>
    <n v="0.74239775709673095"/>
    <n v="3.61072173000552E-2"/>
    <s v="False"/>
    <n v="1.7016739845275799"/>
  </r>
  <r>
    <x v="5"/>
    <x v="1"/>
    <x v="1"/>
    <x v="9"/>
    <x v="21"/>
    <x v="0"/>
    <n v="0.75031565656565602"/>
    <n v="0"/>
    <s v="False"/>
    <n v="9.3857049942016602E-2"/>
  </r>
  <r>
    <x v="5"/>
    <x v="1"/>
    <x v="1"/>
    <x v="9"/>
    <x v="21"/>
    <x v="1"/>
    <n v="0.742324998639599"/>
    <n v="2.2291295962846298E-2"/>
    <s v="False"/>
    <n v="1.7151350975036599"/>
  </r>
  <r>
    <x v="5"/>
    <x v="1"/>
    <x v="1"/>
    <x v="10"/>
    <x v="22"/>
    <x v="0"/>
    <n v="0.74392210896448197"/>
    <n v="0"/>
    <s v="False"/>
    <n v="0.106208086013793"/>
  </r>
  <r>
    <x v="5"/>
    <x v="1"/>
    <x v="1"/>
    <x v="10"/>
    <x v="22"/>
    <x v="1"/>
    <n v="0.73283359756788202"/>
    <n v="2.4088206942364701E-2"/>
    <s v="False"/>
    <n v="1.68401670455932"/>
  </r>
  <r>
    <x v="5"/>
    <x v="1"/>
    <x v="1"/>
    <x v="11"/>
    <x v="23"/>
    <x v="0"/>
    <n v="0.72586274509803905"/>
    <n v="0"/>
    <s v="False"/>
    <n v="9.1409921646118095E-2"/>
  </r>
  <r>
    <x v="5"/>
    <x v="1"/>
    <x v="1"/>
    <x v="11"/>
    <x v="23"/>
    <x v="1"/>
    <n v="0.75087053055582997"/>
    <n v="2.7274137268986601E-2"/>
    <s v="False"/>
    <n v="1.6765949726104701"/>
  </r>
  <r>
    <x v="5"/>
    <x v="2"/>
    <x v="2"/>
    <x v="0"/>
    <x v="24"/>
    <x v="0"/>
    <n v="0.76166786112438201"/>
    <n v="0"/>
    <s v="False"/>
    <n v="0.25856590270995999"/>
  </r>
  <r>
    <x v="5"/>
    <x v="2"/>
    <x v="2"/>
    <x v="0"/>
    <x v="24"/>
    <x v="1"/>
    <n v="0.77030009101132302"/>
    <n v="2.2703600984248999E-2"/>
    <s v="False"/>
    <n v="6.33147692680358"/>
  </r>
  <r>
    <x v="5"/>
    <x v="2"/>
    <x v="2"/>
    <x v="1"/>
    <x v="25"/>
    <x v="0"/>
    <n v="0.74195445445445396"/>
    <n v="0"/>
    <s v="False"/>
    <n v="0.39177918434143"/>
  </r>
  <r>
    <x v="5"/>
    <x v="2"/>
    <x v="2"/>
    <x v="1"/>
    <x v="25"/>
    <x v="1"/>
    <n v="0.76317778771183598"/>
    <n v="4.0469595668455399E-2"/>
    <s v="False"/>
    <n v="8.3019108772277797"/>
  </r>
  <r>
    <x v="5"/>
    <x v="2"/>
    <x v="2"/>
    <x v="2"/>
    <x v="26"/>
    <x v="0"/>
    <n v="0.75386846126010199"/>
    <n v="0"/>
    <s v="False"/>
    <n v="0.47295570373535101"/>
  </r>
  <r>
    <x v="5"/>
    <x v="2"/>
    <x v="2"/>
    <x v="2"/>
    <x v="26"/>
    <x v="1"/>
    <n v="0.75980587501346597"/>
    <n v="2.72059185164387E-2"/>
    <s v="False"/>
    <n v="10.2170121669769"/>
  </r>
  <r>
    <x v="5"/>
    <x v="2"/>
    <x v="2"/>
    <x v="3"/>
    <x v="27"/>
    <x v="0"/>
    <n v="0.73453820116054103"/>
    <n v="0"/>
    <s v="False"/>
    <n v="0.64534306526184004"/>
  </r>
  <r>
    <x v="5"/>
    <x v="2"/>
    <x v="2"/>
    <x v="3"/>
    <x v="27"/>
    <x v="1"/>
    <n v="0.76690741172452104"/>
    <n v="2.7242161139649699E-2"/>
    <s v="False"/>
    <n v="12.5131022930145"/>
  </r>
  <r>
    <x v="5"/>
    <x v="3"/>
    <x v="3"/>
    <x v="0"/>
    <x v="24"/>
    <x v="0"/>
    <n v="0.73658026755852801"/>
    <n v="0"/>
    <s v="False"/>
    <n v="1.4599418640136701"/>
  </r>
  <r>
    <x v="5"/>
    <x v="3"/>
    <x v="3"/>
    <x v="0"/>
    <x v="24"/>
    <x v="1"/>
    <n v="0.769031644647999"/>
    <n v="3.34027258296552E-2"/>
    <s v="False"/>
    <n v="29.053304195403999"/>
  </r>
  <r>
    <x v="5"/>
    <x v="3"/>
    <x v="3"/>
    <x v="1"/>
    <x v="25"/>
    <x v="0"/>
    <n v="0.73104768413962495"/>
    <n v="0"/>
    <s v="False"/>
    <n v="2.0539069175720202"/>
  </r>
  <r>
    <x v="5"/>
    <x v="3"/>
    <x v="3"/>
    <x v="1"/>
    <x v="25"/>
    <x v="1"/>
    <n v="0.76608636720213397"/>
    <n v="3.4920743367868802E-2"/>
    <s v="False"/>
    <n v="39.580062866210902"/>
  </r>
  <r>
    <x v="5"/>
    <x v="3"/>
    <x v="3"/>
    <x v="2"/>
    <x v="26"/>
    <x v="0"/>
    <n v="0.73750000000000004"/>
    <n v="0"/>
    <s v="False"/>
    <n v="2.7046761512756299"/>
  </r>
  <r>
    <x v="5"/>
    <x v="3"/>
    <x v="3"/>
    <x v="2"/>
    <x v="26"/>
    <x v="1"/>
    <n v="0.758858126348259"/>
    <n v="3.3487821575507899E-2"/>
    <s v="False"/>
    <n v="50.4809119701385"/>
  </r>
  <r>
    <x v="5"/>
    <x v="3"/>
    <x v="3"/>
    <x v="3"/>
    <x v="27"/>
    <x v="0"/>
    <n v="0.73807864903164799"/>
    <n v="0"/>
    <s v="False"/>
    <n v="3.24545001983642"/>
  </r>
  <r>
    <x v="5"/>
    <x v="3"/>
    <x v="3"/>
    <x v="3"/>
    <x v="27"/>
    <x v="1"/>
    <n v="0.76407800986956798"/>
    <n v="2.9642558828760299E-2"/>
    <s v="False"/>
    <n v="65.056900262832599"/>
  </r>
  <r>
    <x v="6"/>
    <x v="0"/>
    <x v="0"/>
    <x v="0"/>
    <x v="0"/>
    <x v="0"/>
    <n v="0.54645833333333305"/>
    <n v="0"/>
    <s v="False"/>
    <n v="8.1060171127319294E-2"/>
  </r>
  <r>
    <x v="6"/>
    <x v="0"/>
    <x v="0"/>
    <x v="0"/>
    <x v="0"/>
    <x v="1"/>
    <n v="0.52944848279650303"/>
    <n v="4.9086584980585303E-2"/>
    <s v="False"/>
    <n v="1.4864320755004801"/>
  </r>
  <r>
    <x v="6"/>
    <x v="0"/>
    <x v="0"/>
    <x v="1"/>
    <x v="1"/>
    <x v="0"/>
    <n v="0.56229685065891899"/>
    <n v="0"/>
    <s v="False"/>
    <n v="0.16223788261413499"/>
  </r>
  <r>
    <x v="6"/>
    <x v="0"/>
    <x v="0"/>
    <x v="1"/>
    <x v="1"/>
    <x v="1"/>
    <n v="0.53185905791920096"/>
    <n v="4.5686273480560202E-2"/>
    <s v="False"/>
    <n v="2.8911323547363201"/>
  </r>
  <r>
    <x v="6"/>
    <x v="0"/>
    <x v="0"/>
    <x v="2"/>
    <x v="2"/>
    <x v="0"/>
    <n v="0.54051306090779705"/>
    <n v="0"/>
    <s v="False"/>
    <n v="0.18971490859985299"/>
  </r>
  <r>
    <x v="6"/>
    <x v="0"/>
    <x v="0"/>
    <x v="2"/>
    <x v="2"/>
    <x v="1"/>
    <n v="0.52033217192120695"/>
    <n v="6.7551258722757496E-2"/>
    <s v="False"/>
    <n v="4.0464820861816397"/>
  </r>
  <r>
    <x v="6"/>
    <x v="0"/>
    <x v="0"/>
    <x v="3"/>
    <x v="3"/>
    <x v="0"/>
    <n v="0.73658026755852801"/>
    <n v="0"/>
    <s v="False"/>
    <n v="0.10400199890136699"/>
  </r>
  <r>
    <x v="6"/>
    <x v="0"/>
    <x v="0"/>
    <x v="3"/>
    <x v="3"/>
    <x v="1"/>
    <n v="0.71493793196286604"/>
    <n v="5.6243694210666502E-2"/>
    <s v="False"/>
    <n v="1.4950928688049301"/>
  </r>
  <r>
    <x v="6"/>
    <x v="0"/>
    <x v="0"/>
    <x v="4"/>
    <x v="4"/>
    <x v="0"/>
    <n v="0.76249999999999996"/>
    <n v="0"/>
    <s v="False"/>
    <n v="0.19029617309570299"/>
  </r>
  <r>
    <x v="6"/>
    <x v="0"/>
    <x v="0"/>
    <x v="4"/>
    <x v="4"/>
    <x v="1"/>
    <n v="0.73667690553419196"/>
    <n v="3.3875716798716503E-2"/>
    <s v="False"/>
    <n v="2.8033871650695801"/>
  </r>
  <r>
    <x v="6"/>
    <x v="0"/>
    <x v="0"/>
    <x v="5"/>
    <x v="5"/>
    <x v="0"/>
    <n v="0.73057703008863595"/>
    <n v="0"/>
    <s v="False"/>
    <n v="0.26782989501953097"/>
  </r>
  <r>
    <x v="6"/>
    <x v="0"/>
    <x v="0"/>
    <x v="5"/>
    <x v="5"/>
    <x v="1"/>
    <n v="0.73262278457644203"/>
    <n v="3.47797931621096E-2"/>
    <s v="False"/>
    <n v="4.0573101043701101"/>
  </r>
  <r>
    <x v="6"/>
    <x v="0"/>
    <x v="0"/>
    <x v="6"/>
    <x v="6"/>
    <x v="0"/>
    <n v="0.74420443349753695"/>
    <n v="0"/>
    <s v="False"/>
    <n v="4.39679622650146E-2"/>
  </r>
  <r>
    <x v="6"/>
    <x v="0"/>
    <x v="0"/>
    <x v="6"/>
    <x v="6"/>
    <x v="1"/>
    <n v="0.71140759732139103"/>
    <n v="2.3514187956500399E-2"/>
    <s v="False"/>
    <n v="0.47619032859802202"/>
  </r>
  <r>
    <x v="6"/>
    <x v="0"/>
    <x v="0"/>
    <x v="7"/>
    <x v="7"/>
    <x v="0"/>
    <n v="0.72499999999999998"/>
    <n v="0"/>
    <s v="False"/>
    <n v="4.6605110168456997E-2"/>
  </r>
  <r>
    <x v="6"/>
    <x v="0"/>
    <x v="0"/>
    <x v="7"/>
    <x v="7"/>
    <x v="1"/>
    <n v="0.71260316764329101"/>
    <n v="2.71440074868248E-2"/>
    <s v="False"/>
    <n v="0.76919221878051702"/>
  </r>
  <r>
    <x v="6"/>
    <x v="0"/>
    <x v="0"/>
    <x v="8"/>
    <x v="8"/>
    <x v="0"/>
    <n v="0.73783143939393903"/>
    <n v="0"/>
    <s v="False"/>
    <n v="5.9029102325439398E-2"/>
  </r>
  <r>
    <x v="6"/>
    <x v="0"/>
    <x v="0"/>
    <x v="8"/>
    <x v="8"/>
    <x v="1"/>
    <n v="0.71643654625102204"/>
    <n v="2.5339032660623501E-2"/>
    <s v="False"/>
    <n v="1.0843210220336901"/>
  </r>
  <r>
    <x v="6"/>
    <x v="0"/>
    <x v="0"/>
    <x v="9"/>
    <x v="9"/>
    <x v="0"/>
    <n v="0.76166786112438201"/>
    <n v="0"/>
    <s v="False"/>
    <n v="6.5184209346771196"/>
  </r>
  <r>
    <x v="6"/>
    <x v="0"/>
    <x v="0"/>
    <x v="9"/>
    <x v="9"/>
    <x v="1"/>
    <n v="0.76970856634165696"/>
    <n v="4.29499556667274E-2"/>
    <s v="False"/>
    <n v="120.77451181411701"/>
  </r>
  <r>
    <x v="6"/>
    <x v="0"/>
    <x v="0"/>
    <x v="10"/>
    <x v="10"/>
    <x v="0"/>
    <n v="0.77500000000000002"/>
    <n v="0"/>
    <s v="False"/>
    <n v="14.3913509845733"/>
  </r>
  <r>
    <x v="6"/>
    <x v="0"/>
    <x v="0"/>
    <x v="10"/>
    <x v="10"/>
    <x v="1"/>
    <n v="0.76599300842192197"/>
    <n v="3.0155956318879799E-2"/>
    <s v="False"/>
    <n v="257.69304108619599"/>
  </r>
  <r>
    <x v="6"/>
    <x v="0"/>
    <x v="0"/>
    <x v="11"/>
    <x v="11"/>
    <x v="0"/>
    <n v="0.76212301587301501"/>
    <n v="0"/>
    <s v="False"/>
    <n v="19.048495054244899"/>
  </r>
  <r>
    <x v="6"/>
    <x v="0"/>
    <x v="0"/>
    <x v="11"/>
    <x v="11"/>
    <x v="1"/>
    <n v="0.76359271738385703"/>
    <n v="4.5872997774083102E-2"/>
    <s v="False"/>
    <n v="365.68959832191399"/>
  </r>
  <r>
    <x v="6"/>
    <x v="1"/>
    <x v="1"/>
    <x v="0"/>
    <x v="12"/>
    <x v="0"/>
    <n v="0.74456336455190197"/>
    <n v="0"/>
    <s v="False"/>
    <n v="9.7726106643676702E-2"/>
  </r>
  <r>
    <x v="6"/>
    <x v="1"/>
    <x v="1"/>
    <x v="0"/>
    <x v="12"/>
    <x v="1"/>
    <n v="0.72005991780096601"/>
    <n v="3.9199011059878199E-2"/>
    <s v="False"/>
    <n v="1.7618281841278001"/>
  </r>
  <r>
    <x v="6"/>
    <x v="1"/>
    <x v="1"/>
    <x v="1"/>
    <x v="13"/>
    <x v="0"/>
    <n v="0.76324404761904696"/>
    <n v="0"/>
    <s v="False"/>
    <n v="0.105831861495971"/>
  </r>
  <r>
    <x v="6"/>
    <x v="1"/>
    <x v="1"/>
    <x v="1"/>
    <x v="13"/>
    <x v="1"/>
    <n v="0.73663012475276402"/>
    <n v="3.3361677543321901E-2"/>
    <s v="False"/>
    <n v="1.7417511940002399"/>
  </r>
  <r>
    <x v="6"/>
    <x v="1"/>
    <x v="1"/>
    <x v="2"/>
    <x v="14"/>
    <x v="0"/>
    <n v="0.73823932092004296"/>
    <n v="0"/>
    <s v="False"/>
    <n v="9.8229169845580999E-2"/>
  </r>
  <r>
    <x v="6"/>
    <x v="1"/>
    <x v="1"/>
    <x v="2"/>
    <x v="14"/>
    <x v="1"/>
    <n v="0.73511650341492296"/>
    <n v="4.6794988452001599E-2"/>
    <s v="False"/>
    <n v="1.73481392860412"/>
  </r>
  <r>
    <x v="6"/>
    <x v="1"/>
    <x v="1"/>
    <x v="3"/>
    <x v="15"/>
    <x v="0"/>
    <n v="0.73172257825016596"/>
    <n v="0"/>
    <s v="False"/>
    <n v="0.11432981491088801"/>
  </r>
  <r>
    <x v="6"/>
    <x v="1"/>
    <x v="1"/>
    <x v="3"/>
    <x v="15"/>
    <x v="1"/>
    <n v="0.719339878454333"/>
    <n v="3.3876748438486003E-2"/>
    <s v="False"/>
    <n v="1.81929111480712"/>
  </r>
  <r>
    <x v="6"/>
    <x v="1"/>
    <x v="1"/>
    <x v="4"/>
    <x v="16"/>
    <x v="0"/>
    <n v="0.78816666666666602"/>
    <n v="0"/>
    <s v="False"/>
    <n v="0.100737810134887"/>
  </r>
  <r>
    <x v="6"/>
    <x v="1"/>
    <x v="1"/>
    <x v="4"/>
    <x v="16"/>
    <x v="1"/>
    <n v="0.75666819747266401"/>
    <n v="2.17050186503269E-2"/>
    <s v="False"/>
    <n v="1.91003489494323"/>
  </r>
  <r>
    <x v="6"/>
    <x v="1"/>
    <x v="1"/>
    <x v="5"/>
    <x v="17"/>
    <x v="0"/>
    <n v="0.77570588235294102"/>
    <n v="0"/>
    <s v="False"/>
    <n v="0.118785142898559"/>
  </r>
  <r>
    <x v="6"/>
    <x v="1"/>
    <x v="1"/>
    <x v="5"/>
    <x v="17"/>
    <x v="1"/>
    <n v="0.74285015049986303"/>
    <n v="4.3427785748401899E-2"/>
    <s v="False"/>
    <n v="1.8991107940673799"/>
  </r>
  <r>
    <x v="6"/>
    <x v="1"/>
    <x v="1"/>
    <x v="6"/>
    <x v="18"/>
    <x v="0"/>
    <n v="0.78190922077413805"/>
    <n v="0"/>
    <s v="False"/>
    <n v="0.107247114181518"/>
  </r>
  <r>
    <x v="6"/>
    <x v="1"/>
    <x v="1"/>
    <x v="6"/>
    <x v="18"/>
    <x v="1"/>
    <n v="0.74164202447463701"/>
    <n v="3.24024082196398E-2"/>
    <s v="False"/>
    <n v="1.87561702728271"/>
  </r>
  <r>
    <x v="6"/>
    <x v="1"/>
    <x v="1"/>
    <x v="7"/>
    <x v="19"/>
    <x v="0"/>
    <n v="0.76324404761904696"/>
    <n v="0"/>
    <s v="False"/>
    <n v="0.114342212677001"/>
  </r>
  <r>
    <x v="6"/>
    <x v="1"/>
    <x v="1"/>
    <x v="7"/>
    <x v="19"/>
    <x v="1"/>
    <n v="0.73426979904800804"/>
    <n v="3.8335203676577799E-2"/>
    <s v="False"/>
    <n v="1.9172658920287999"/>
  </r>
  <r>
    <x v="6"/>
    <x v="1"/>
    <x v="1"/>
    <x v="8"/>
    <x v="20"/>
    <x v="0"/>
    <n v="0.77570588235294102"/>
    <n v="0"/>
    <s v="False"/>
    <n v="0.11176872253417899"/>
  </r>
  <r>
    <x v="6"/>
    <x v="1"/>
    <x v="1"/>
    <x v="8"/>
    <x v="20"/>
    <x v="1"/>
    <n v="0.74045680987078899"/>
    <n v="3.7377514552142999E-2"/>
    <s v="False"/>
    <n v="1.89076471328735"/>
  </r>
  <r>
    <x v="6"/>
    <x v="1"/>
    <x v="1"/>
    <x v="9"/>
    <x v="21"/>
    <x v="0"/>
    <n v="0.769484011912692"/>
    <n v="0"/>
    <s v="False"/>
    <n v="0.10382413864135701"/>
  </r>
  <r>
    <x v="6"/>
    <x v="1"/>
    <x v="1"/>
    <x v="9"/>
    <x v="21"/>
    <x v="1"/>
    <n v="0.74902171751818103"/>
    <n v="2.9126206230212701E-2"/>
    <s v="False"/>
    <n v="1.87324094772338"/>
  </r>
  <r>
    <x v="6"/>
    <x v="1"/>
    <x v="1"/>
    <x v="10"/>
    <x v="22"/>
    <x v="0"/>
    <n v="0.74456336455190197"/>
    <n v="0"/>
    <s v="False"/>
    <n v="0.110067844390869"/>
  </r>
  <r>
    <x v="6"/>
    <x v="1"/>
    <x v="1"/>
    <x v="10"/>
    <x v="22"/>
    <x v="1"/>
    <n v="0.75150352118022501"/>
    <n v="3.66019098060099E-2"/>
    <s v="False"/>
    <n v="1.91639971733093"/>
  </r>
  <r>
    <x v="6"/>
    <x v="1"/>
    <x v="1"/>
    <x v="11"/>
    <x v="23"/>
    <x v="0"/>
    <n v="0.78190922077413805"/>
    <n v="0"/>
    <s v="False"/>
    <n v="0.107958078384399"/>
  </r>
  <r>
    <x v="6"/>
    <x v="1"/>
    <x v="1"/>
    <x v="11"/>
    <x v="23"/>
    <x v="1"/>
    <n v="0.76399744874714604"/>
    <n v="4.4116143673811697E-2"/>
    <s v="False"/>
    <n v="1.8800020217895499"/>
  </r>
  <r>
    <x v="6"/>
    <x v="2"/>
    <x v="2"/>
    <x v="0"/>
    <x v="24"/>
    <x v="0"/>
    <n v="0.777672084906043"/>
    <n v="0"/>
    <s v="False"/>
    <n v="0.96350121498107899"/>
  </r>
  <r>
    <x v="6"/>
    <x v="2"/>
    <x v="2"/>
    <x v="0"/>
    <x v="24"/>
    <x v="1"/>
    <n v="0.769094352214439"/>
    <n v="4.4305992880422002E-2"/>
    <s v="False"/>
    <n v="20.7664041519165"/>
  </r>
  <r>
    <x v="6"/>
    <x v="2"/>
    <x v="2"/>
    <x v="1"/>
    <x v="25"/>
    <x v="0"/>
    <n v="0.73050115207373201"/>
    <n v="0"/>
    <s v="False"/>
    <n v="1.2203161716461099"/>
  </r>
  <r>
    <x v="6"/>
    <x v="2"/>
    <x v="2"/>
    <x v="1"/>
    <x v="25"/>
    <x v="1"/>
    <n v="0.74352478059661298"/>
    <n v="3.5787550679175502E-2"/>
    <s v="False"/>
    <n v="28.3431429862976"/>
  </r>
  <r>
    <x v="6"/>
    <x v="2"/>
    <x v="2"/>
    <x v="2"/>
    <x v="26"/>
    <x v="0"/>
    <n v="0.71908603848259001"/>
    <n v="0"/>
    <s v="False"/>
    <n v="1.7195341587066599"/>
  </r>
  <r>
    <x v="6"/>
    <x v="2"/>
    <x v="2"/>
    <x v="2"/>
    <x v="26"/>
    <x v="1"/>
    <n v="0.73251534907950799"/>
    <n v="4.22182949073917E-2"/>
    <s v="False"/>
    <n v="34.108970880508402"/>
  </r>
  <r>
    <x v="6"/>
    <x v="2"/>
    <x v="2"/>
    <x v="3"/>
    <x v="27"/>
    <x v="0"/>
    <n v="0.72310296371997895"/>
    <n v="0"/>
    <s v="False"/>
    <n v="2.1164691448211599"/>
  </r>
  <r>
    <x v="6"/>
    <x v="2"/>
    <x v="2"/>
    <x v="3"/>
    <x v="27"/>
    <x v="1"/>
    <n v="0.74200050795938"/>
    <n v="3.8354678208148897E-2"/>
    <s v="False"/>
    <n v="48.141411066055298"/>
  </r>
  <r>
    <x v="6"/>
    <x v="3"/>
    <x v="3"/>
    <x v="0"/>
    <x v="24"/>
    <x v="0"/>
    <n v="0.79929925147316405"/>
    <n v="0"/>
    <s v="False"/>
    <n v="5.0876500606536803"/>
  </r>
  <r>
    <x v="6"/>
    <x v="3"/>
    <x v="3"/>
    <x v="0"/>
    <x v="24"/>
    <x v="1"/>
    <n v="0.78256307565511296"/>
    <n v="3.7010297244183497E-2"/>
    <s v="False"/>
    <n v="95.710052728652897"/>
  </r>
  <r>
    <x v="6"/>
    <x v="3"/>
    <x v="3"/>
    <x v="1"/>
    <x v="25"/>
    <x v="0"/>
    <n v="0.78108532429969402"/>
    <n v="0"/>
    <s v="False"/>
    <n v="7.1937131881713796"/>
  </r>
  <r>
    <x v="6"/>
    <x v="3"/>
    <x v="3"/>
    <x v="1"/>
    <x v="25"/>
    <x v="1"/>
    <n v="0.77482763960416201"/>
    <n v="4.1759935113486003E-2"/>
    <s v="False"/>
    <n v="140.15991878509499"/>
  </r>
  <r>
    <x v="6"/>
    <x v="3"/>
    <x v="3"/>
    <x v="2"/>
    <x v="26"/>
    <x v="0"/>
    <n v="0.74635627530364301"/>
    <n v="0"/>
    <s v="False"/>
    <n v="8.8475940227508492"/>
  </r>
  <r>
    <x v="6"/>
    <x v="3"/>
    <x v="3"/>
    <x v="2"/>
    <x v="26"/>
    <x v="1"/>
    <n v="0.76854439962704302"/>
    <n v="2.9604873679371198E-2"/>
    <s v="False"/>
    <n v="172.48136401176399"/>
  </r>
  <r>
    <x v="6"/>
    <x v="3"/>
    <x v="3"/>
    <x v="3"/>
    <x v="27"/>
    <x v="0"/>
    <n v="0.80638013116826601"/>
    <n v="0"/>
    <s v="False"/>
    <n v="11.4512898921966"/>
  </r>
  <r>
    <x v="6"/>
    <x v="3"/>
    <x v="3"/>
    <x v="3"/>
    <x v="27"/>
    <x v="1"/>
    <n v="0.75795045397263905"/>
    <n v="3.3132647060857001E-2"/>
    <s v="False"/>
    <n v="243.206264019012"/>
  </r>
  <r>
    <x v="7"/>
    <x v="0"/>
    <x v="0"/>
    <x v="0"/>
    <x v="0"/>
    <x v="0"/>
    <n v="0.66292194092826995"/>
    <n v="0"/>
    <s v="False"/>
    <n v="3.57172489166259E-2"/>
  </r>
  <r>
    <x v="7"/>
    <x v="0"/>
    <x v="0"/>
    <x v="0"/>
    <x v="0"/>
    <x v="1"/>
    <n v="0.66435671846251898"/>
    <n v="5.10121995907089E-2"/>
    <s v="False"/>
    <n v="0.59433293342590299"/>
  </r>
  <r>
    <x v="7"/>
    <x v="0"/>
    <x v="0"/>
    <x v="1"/>
    <x v="1"/>
    <x v="0"/>
    <n v="0.63236125787640396"/>
    <n v="0"/>
    <s v="False"/>
    <n v="6.2469959259033203E-2"/>
  </r>
  <r>
    <x v="7"/>
    <x v="0"/>
    <x v="0"/>
    <x v="1"/>
    <x v="1"/>
    <x v="1"/>
    <n v="0.66468909763851003"/>
    <n v="6.3806891039314195E-2"/>
    <s v="False"/>
    <n v="1.0688159465789699"/>
  </r>
  <r>
    <x v="7"/>
    <x v="0"/>
    <x v="0"/>
    <x v="2"/>
    <x v="2"/>
    <x v="0"/>
    <n v="0.64465542521994101"/>
    <n v="0"/>
    <s v="False"/>
    <n v="8.1968069076538003E-2"/>
  </r>
  <r>
    <x v="7"/>
    <x v="0"/>
    <x v="0"/>
    <x v="2"/>
    <x v="2"/>
    <x v="1"/>
    <n v="0.67145657035867001"/>
    <n v="5.1420803910043403E-2"/>
    <s v="False"/>
    <n v="1.69872403144836"/>
  </r>
  <r>
    <x v="7"/>
    <x v="0"/>
    <x v="0"/>
    <x v="3"/>
    <x v="3"/>
    <x v="0"/>
    <n v="0.76933773216031198"/>
    <n v="0"/>
    <s v="False"/>
    <n v="4.8806190490722601E-2"/>
  </r>
  <r>
    <x v="7"/>
    <x v="0"/>
    <x v="0"/>
    <x v="3"/>
    <x v="3"/>
    <x v="1"/>
    <n v="0.73395828133951602"/>
    <n v="6.6543187542759494E-2"/>
    <s v="False"/>
    <n v="0.49220395088195801"/>
  </r>
  <r>
    <x v="7"/>
    <x v="0"/>
    <x v="0"/>
    <x v="4"/>
    <x v="4"/>
    <x v="0"/>
    <n v="0.72586274509803905"/>
    <n v="0"/>
    <s v="False"/>
    <n v="5.1856994628906201E-2"/>
  </r>
  <r>
    <x v="7"/>
    <x v="0"/>
    <x v="0"/>
    <x v="4"/>
    <x v="4"/>
    <x v="1"/>
    <n v="0.719752928171141"/>
    <n v="5.7444992528052102E-2"/>
    <s v="False"/>
    <n v="0.80285000801086404"/>
  </r>
  <r>
    <x v="7"/>
    <x v="0"/>
    <x v="0"/>
    <x v="5"/>
    <x v="5"/>
    <x v="0"/>
    <n v="0.75070411516194602"/>
    <n v="0"/>
    <s v="False"/>
    <n v="7.8685998916625893E-2"/>
  </r>
  <r>
    <x v="7"/>
    <x v="0"/>
    <x v="0"/>
    <x v="5"/>
    <x v="5"/>
    <x v="1"/>
    <n v="0.73345131495927296"/>
    <n v="4.9814119626520603E-2"/>
    <s v="False"/>
    <n v="0.99992322921752896"/>
  </r>
  <r>
    <x v="7"/>
    <x v="0"/>
    <x v="0"/>
    <x v="6"/>
    <x v="6"/>
    <x v="0"/>
    <n v="0.732062188468935"/>
    <n v="0"/>
    <s v="False"/>
    <n v="3.7029981613159103E-2"/>
  </r>
  <r>
    <x v="7"/>
    <x v="0"/>
    <x v="0"/>
    <x v="6"/>
    <x v="6"/>
    <x v="1"/>
    <n v="0.70613420857798703"/>
    <n v="4.1986457263653201E-2"/>
    <s v="False"/>
    <n v="0.43886590003967202"/>
  </r>
  <r>
    <x v="7"/>
    <x v="0"/>
    <x v="0"/>
    <x v="7"/>
    <x v="7"/>
    <x v="0"/>
    <n v="0.732062188468935"/>
    <n v="0"/>
    <s v="False"/>
    <n v="4.7837257385253899E-2"/>
  </r>
  <r>
    <x v="7"/>
    <x v="0"/>
    <x v="0"/>
    <x v="7"/>
    <x v="7"/>
    <x v="1"/>
    <n v="0.70599474925217398"/>
    <n v="4.3413977475376203E-2"/>
    <s v="False"/>
    <n v="0.67463994026184004"/>
  </r>
  <r>
    <x v="7"/>
    <x v="0"/>
    <x v="0"/>
    <x v="8"/>
    <x v="8"/>
    <x v="0"/>
    <n v="0.73832352941176405"/>
    <n v="0"/>
    <s v="False"/>
    <n v="6.6003084182739202E-2"/>
  </r>
  <r>
    <x v="7"/>
    <x v="0"/>
    <x v="0"/>
    <x v="8"/>
    <x v="8"/>
    <x v="1"/>
    <n v="0.70618092395559795"/>
    <n v="4.2597554522096501E-2"/>
    <s v="False"/>
    <n v="0.90801191329955999"/>
  </r>
  <r>
    <x v="7"/>
    <x v="0"/>
    <x v="0"/>
    <x v="9"/>
    <x v="9"/>
    <x v="0"/>
    <n v="0.756069084729872"/>
    <n v="0"/>
    <s v="False"/>
    <n v="4.22503590583801"/>
  </r>
  <r>
    <x v="7"/>
    <x v="0"/>
    <x v="0"/>
    <x v="9"/>
    <x v="9"/>
    <x v="1"/>
    <n v="0.76429594892255204"/>
    <n v="6.1226613806049497E-2"/>
    <s v="False"/>
    <n v="85.277333021163898"/>
  </r>
  <r>
    <x v="7"/>
    <x v="0"/>
    <x v="0"/>
    <x v="10"/>
    <x v="10"/>
    <x v="0"/>
    <n v="0.75686950146627496"/>
    <n v="0"/>
    <s v="False"/>
    <n v="8.6266500949859601"/>
  </r>
  <r>
    <x v="7"/>
    <x v="0"/>
    <x v="0"/>
    <x v="10"/>
    <x v="10"/>
    <x v="1"/>
    <n v="0.75395408877759196"/>
    <n v="5.5806527226545E-2"/>
    <s v="False"/>
    <n v="176.77395009994501"/>
  </r>
  <r>
    <x v="7"/>
    <x v="0"/>
    <x v="0"/>
    <x v="11"/>
    <x v="11"/>
    <x v="0"/>
    <n v="0.73708977965306999"/>
    <n v="0"/>
    <s v="False"/>
    <n v="12.403882026672299"/>
  </r>
  <r>
    <x v="7"/>
    <x v="0"/>
    <x v="0"/>
    <x v="11"/>
    <x v="11"/>
    <x v="1"/>
    <n v="0.76034909380298299"/>
    <n v="5.64022996157501E-2"/>
    <s v="False"/>
    <n v="290.66512203216502"/>
  </r>
  <r>
    <x v="7"/>
    <x v="1"/>
    <x v="1"/>
    <x v="0"/>
    <x v="12"/>
    <x v="0"/>
    <n v="0.80062745098039201"/>
    <n v="0"/>
    <s v="False"/>
    <n v="0.1008141040802"/>
  </r>
  <r>
    <x v="7"/>
    <x v="1"/>
    <x v="1"/>
    <x v="0"/>
    <x v="12"/>
    <x v="1"/>
    <n v="0.74878192565040302"/>
    <n v="5.7202235901526101E-2"/>
    <s v="False"/>
    <n v="1.6710000038146899"/>
  </r>
  <r>
    <x v="7"/>
    <x v="1"/>
    <x v="1"/>
    <x v="1"/>
    <x v="13"/>
    <x v="0"/>
    <n v="0.78163465671525101"/>
    <n v="0"/>
    <s v="False"/>
    <n v="8.6993217468261705E-2"/>
  </r>
  <r>
    <x v="7"/>
    <x v="1"/>
    <x v="1"/>
    <x v="1"/>
    <x v="13"/>
    <x v="1"/>
    <n v="0.74387571511613304"/>
    <n v="5.91974474852048E-2"/>
    <s v="False"/>
    <n v="1.70701003074646"/>
  </r>
  <r>
    <x v="7"/>
    <x v="1"/>
    <x v="1"/>
    <x v="2"/>
    <x v="14"/>
    <x v="0"/>
    <n v="0.76915663709897997"/>
    <n v="0"/>
    <s v="False"/>
    <n v="9.2985868453979395E-2"/>
  </r>
  <r>
    <x v="7"/>
    <x v="1"/>
    <x v="1"/>
    <x v="2"/>
    <x v="14"/>
    <x v="1"/>
    <n v="0.75522958472305701"/>
    <n v="5.5312534321194498E-2"/>
    <s v="False"/>
    <n v="1.6518981456756501"/>
  </r>
  <r>
    <x v="7"/>
    <x v="1"/>
    <x v="1"/>
    <x v="3"/>
    <x v="15"/>
    <x v="0"/>
    <n v="0.75686950146627496"/>
    <n v="0"/>
    <s v="False"/>
    <n v="0.103775024414062"/>
  </r>
  <r>
    <x v="7"/>
    <x v="1"/>
    <x v="1"/>
    <x v="3"/>
    <x v="15"/>
    <x v="1"/>
    <n v="0.74135963652508896"/>
    <n v="6.18445332987341E-2"/>
    <s v="False"/>
    <n v="1.6625401973724301"/>
  </r>
  <r>
    <x v="7"/>
    <x v="1"/>
    <x v="1"/>
    <x v="4"/>
    <x v="16"/>
    <x v="0"/>
    <n v="0.75031254883575504"/>
    <n v="0"/>
    <s v="False"/>
    <n v="8.9648246765136705E-2"/>
  </r>
  <r>
    <x v="7"/>
    <x v="1"/>
    <x v="1"/>
    <x v="4"/>
    <x v="16"/>
    <x v="1"/>
    <n v="0.75667572874009603"/>
    <n v="6.2230275078547899E-2"/>
    <s v="False"/>
    <n v="1.6845901012420601"/>
  </r>
  <r>
    <x v="7"/>
    <x v="1"/>
    <x v="1"/>
    <x v="5"/>
    <x v="17"/>
    <x v="0"/>
    <n v="0.76933773216031198"/>
    <n v="0"/>
    <s v="False"/>
    <n v="9.2566013336181599E-2"/>
  </r>
  <r>
    <x v="7"/>
    <x v="1"/>
    <x v="1"/>
    <x v="5"/>
    <x v="17"/>
    <x v="1"/>
    <n v="0.74770491745905499"/>
    <n v="6.6827726662704201E-2"/>
    <s v="False"/>
    <n v="1.65250992774963"/>
  </r>
  <r>
    <x v="7"/>
    <x v="1"/>
    <x v="1"/>
    <x v="6"/>
    <x v="18"/>
    <x v="0"/>
    <n v="0.76933773216031198"/>
    <n v="0"/>
    <s v="False"/>
    <n v="9.2720270156860296E-2"/>
  </r>
  <r>
    <x v="7"/>
    <x v="1"/>
    <x v="1"/>
    <x v="6"/>
    <x v="18"/>
    <x v="1"/>
    <n v="0.74897983792261902"/>
    <n v="5.6018362614971597E-2"/>
    <s v="False"/>
    <n v="1.6465580463409399"/>
  </r>
  <r>
    <x v="7"/>
    <x v="1"/>
    <x v="1"/>
    <x v="7"/>
    <x v="19"/>
    <x v="0"/>
    <n v="0.80062656641604002"/>
    <n v="0"/>
    <s v="False"/>
    <n v="8.9278221130371094E-2"/>
  </r>
  <r>
    <x v="7"/>
    <x v="1"/>
    <x v="1"/>
    <x v="7"/>
    <x v="19"/>
    <x v="1"/>
    <n v="0.74913882924092101"/>
    <n v="5.1954515799320103E-2"/>
    <s v="False"/>
    <n v="1.70003008842468"/>
  </r>
  <r>
    <x v="7"/>
    <x v="1"/>
    <x v="1"/>
    <x v="8"/>
    <x v="20"/>
    <x v="0"/>
    <n v="0.81308740601503704"/>
    <n v="0"/>
    <s v="False"/>
    <n v="9.04083251953125E-2"/>
  </r>
  <r>
    <x v="7"/>
    <x v="1"/>
    <x v="1"/>
    <x v="8"/>
    <x v="20"/>
    <x v="1"/>
    <n v="0.76274623657268004"/>
    <n v="7.09822544747606E-2"/>
    <s v="False"/>
    <n v="1.6991453170776301"/>
  </r>
  <r>
    <x v="7"/>
    <x v="1"/>
    <x v="1"/>
    <x v="9"/>
    <x v="21"/>
    <x v="0"/>
    <n v="0.76915663709897997"/>
    <n v="0"/>
    <s v="False"/>
    <n v="9.9818944931030204E-2"/>
  </r>
  <r>
    <x v="7"/>
    <x v="1"/>
    <x v="1"/>
    <x v="9"/>
    <x v="21"/>
    <x v="1"/>
    <n v="0.74790077881649097"/>
    <n v="6.7033065777058101E-2"/>
    <s v="False"/>
    <n v="1.67876625061035"/>
  </r>
  <r>
    <x v="7"/>
    <x v="1"/>
    <x v="1"/>
    <x v="10"/>
    <x v="22"/>
    <x v="0"/>
    <n v="0.80043777360850499"/>
    <n v="0"/>
    <s v="False"/>
    <n v="0.10555100440979"/>
  </r>
  <r>
    <x v="7"/>
    <x v="1"/>
    <x v="1"/>
    <x v="10"/>
    <x v="22"/>
    <x v="1"/>
    <n v="0.75769155034479896"/>
    <n v="6.2148073924490101E-2"/>
    <s v="False"/>
    <n v="1.68285703659057"/>
  </r>
  <r>
    <x v="7"/>
    <x v="1"/>
    <x v="1"/>
    <x v="11"/>
    <x v="23"/>
    <x v="0"/>
    <n v="0.78190922077413805"/>
    <n v="0"/>
    <s v="False"/>
    <n v="9.9514245986938393E-2"/>
  </r>
  <r>
    <x v="7"/>
    <x v="1"/>
    <x v="1"/>
    <x v="11"/>
    <x v="23"/>
    <x v="1"/>
    <n v="0.74881999964514101"/>
    <n v="6.8066431416501594E-2"/>
    <s v="False"/>
    <n v="1.68076395988464"/>
  </r>
  <r>
    <x v="7"/>
    <x v="2"/>
    <x v="2"/>
    <x v="0"/>
    <x v="24"/>
    <x v="0"/>
    <n v="0.75"/>
    <n v="0"/>
    <s v="False"/>
    <n v="0.55585479736328103"/>
  </r>
  <r>
    <x v="7"/>
    <x v="2"/>
    <x v="2"/>
    <x v="0"/>
    <x v="24"/>
    <x v="1"/>
    <n v="0.72798554666377302"/>
    <n v="4.83284804819165E-2"/>
    <s v="False"/>
    <n v="14.4566631317138"/>
  </r>
  <r>
    <x v="7"/>
    <x v="2"/>
    <x v="2"/>
    <x v="1"/>
    <x v="25"/>
    <x v="0"/>
    <n v="0.73708977965306999"/>
    <n v="0"/>
    <s v="False"/>
    <n v="0.75894904136657704"/>
  </r>
  <r>
    <x v="7"/>
    <x v="2"/>
    <x v="2"/>
    <x v="1"/>
    <x v="25"/>
    <x v="1"/>
    <n v="0.725437474460353"/>
    <n v="5.20203603267725E-2"/>
    <s v="False"/>
    <n v="20.1163601875305"/>
  </r>
  <r>
    <x v="7"/>
    <x v="2"/>
    <x v="2"/>
    <x v="2"/>
    <x v="26"/>
    <x v="0"/>
    <n v="0.73659709193245704"/>
    <n v="0"/>
    <s v="False"/>
    <n v="1.0268249511718699"/>
  </r>
  <r>
    <x v="7"/>
    <x v="2"/>
    <x v="2"/>
    <x v="2"/>
    <x v="26"/>
    <x v="1"/>
    <n v="0.73149804235502303"/>
    <n v="5.0004796849567303E-2"/>
    <s v="False"/>
    <n v="23.592782020568801"/>
  </r>
  <r>
    <x v="7"/>
    <x v="2"/>
    <x v="2"/>
    <x v="3"/>
    <x v="27"/>
    <x v="0"/>
    <n v="0.74311916298698699"/>
    <n v="0"/>
    <s v="False"/>
    <n v="1.2293906211853001"/>
  </r>
  <r>
    <x v="7"/>
    <x v="2"/>
    <x v="2"/>
    <x v="3"/>
    <x v="27"/>
    <x v="1"/>
    <n v="0.73268497482594996"/>
    <n v="5.3292575871970498E-2"/>
    <s v="False"/>
    <n v="29.427833318710299"/>
  </r>
  <r>
    <x v="7"/>
    <x v="3"/>
    <x v="3"/>
    <x v="0"/>
    <x v="24"/>
    <x v="0"/>
    <n v="0.73004154447702796"/>
    <n v="0"/>
    <s v="False"/>
    <n v="3.8474812507629301"/>
  </r>
  <r>
    <x v="7"/>
    <x v="3"/>
    <x v="3"/>
    <x v="0"/>
    <x v="24"/>
    <x v="1"/>
    <n v="0.75003143913409098"/>
    <n v="5.2069514276344001E-2"/>
    <s v="False"/>
    <n v="76.641353845596299"/>
  </r>
  <r>
    <x v="7"/>
    <x v="3"/>
    <x v="3"/>
    <x v="1"/>
    <x v="25"/>
    <x v="0"/>
    <n v="0.75564993552420701"/>
    <n v="0"/>
    <s v="False"/>
    <n v="4.71512699127197"/>
  </r>
  <r>
    <x v="7"/>
    <x v="3"/>
    <x v="3"/>
    <x v="1"/>
    <x v="25"/>
    <x v="1"/>
    <n v="0.75232768159679697"/>
    <n v="5.6452705294060497E-2"/>
    <s v="False"/>
    <n v="98.570028066635103"/>
  </r>
  <r>
    <x v="7"/>
    <x v="3"/>
    <x v="3"/>
    <x v="2"/>
    <x v="26"/>
    <x v="0"/>
    <n v="0.73602135815991199"/>
    <n v="0"/>
    <s v="False"/>
    <n v="5.6075420379638601"/>
  </r>
  <r>
    <x v="7"/>
    <x v="3"/>
    <x v="3"/>
    <x v="2"/>
    <x v="26"/>
    <x v="1"/>
    <n v="0.74822388507089699"/>
    <n v="6.3564129978566503E-2"/>
    <s v="False"/>
    <n v="124.894532203674"/>
  </r>
  <r>
    <x v="7"/>
    <x v="3"/>
    <x v="3"/>
    <x v="3"/>
    <x v="27"/>
    <x v="0"/>
    <n v="0.76933773216031198"/>
    <n v="0"/>
    <s v="False"/>
    <n v="7.2826049327850297"/>
  </r>
  <r>
    <x v="7"/>
    <x v="3"/>
    <x v="3"/>
    <x v="3"/>
    <x v="27"/>
    <x v="1"/>
    <n v="0.75143751922449498"/>
    <n v="5.6957666835546997E-2"/>
    <s v="False"/>
    <n v="159.85038280487001"/>
  </r>
  <r>
    <x v="8"/>
    <x v="0"/>
    <x v="0"/>
    <x v="0"/>
    <x v="0"/>
    <x v="0"/>
    <n v="0.65599486308058896"/>
    <n v="0"/>
    <s v="False"/>
    <n v="5.1287174224853502E-2"/>
  </r>
  <r>
    <x v="8"/>
    <x v="0"/>
    <x v="0"/>
    <x v="0"/>
    <x v="0"/>
    <x v="1"/>
    <n v="0.63575277201006897"/>
    <n v="5.32916811421692E-2"/>
    <s v="False"/>
    <n v="0.72694993019104004"/>
  </r>
  <r>
    <x v="8"/>
    <x v="0"/>
    <x v="0"/>
    <x v="1"/>
    <x v="1"/>
    <x v="0"/>
    <n v="0.63625312695434599"/>
    <n v="0"/>
    <s v="False"/>
    <n v="7.8346014022827107E-2"/>
  </r>
  <r>
    <x v="8"/>
    <x v="0"/>
    <x v="0"/>
    <x v="1"/>
    <x v="1"/>
    <x v="1"/>
    <n v="0.65955495691890798"/>
    <n v="5.9355950714574703E-2"/>
    <s v="False"/>
    <n v="1.4585380554199201"/>
  </r>
  <r>
    <x v="8"/>
    <x v="0"/>
    <x v="0"/>
    <x v="2"/>
    <x v="2"/>
    <x v="0"/>
    <n v="0.66197257383966202"/>
    <n v="0"/>
    <s v="False"/>
    <n v="0.124754905700683"/>
  </r>
  <r>
    <x v="8"/>
    <x v="0"/>
    <x v="0"/>
    <x v="2"/>
    <x v="2"/>
    <x v="1"/>
    <n v="0.659327260589053"/>
    <n v="5.7670537918243697E-2"/>
    <s v="False"/>
    <n v="2.06992316246032"/>
  </r>
  <r>
    <x v="8"/>
    <x v="0"/>
    <x v="0"/>
    <x v="3"/>
    <x v="3"/>
    <x v="0"/>
    <n v="0.79411267633152205"/>
    <n v="0"/>
    <s v="False"/>
    <n v="5.7434797286987298E-2"/>
  </r>
  <r>
    <x v="8"/>
    <x v="0"/>
    <x v="0"/>
    <x v="3"/>
    <x v="3"/>
    <x v="1"/>
    <n v="0.74795256682709799"/>
    <n v="7.5980074307601203E-2"/>
    <s v="False"/>
    <n v="0.59210085868835405"/>
  </r>
  <r>
    <x v="8"/>
    <x v="0"/>
    <x v="0"/>
    <x v="4"/>
    <x v="4"/>
    <x v="0"/>
    <n v="0.76944689053266002"/>
    <n v="0"/>
    <s v="False"/>
    <n v="7.5696945190429604E-2"/>
  </r>
  <r>
    <x v="8"/>
    <x v="0"/>
    <x v="0"/>
    <x v="4"/>
    <x v="4"/>
    <x v="1"/>
    <n v="0.75522271084972603"/>
    <n v="7.3132598943361493E-2"/>
    <s v="False"/>
    <n v="0.97729182243347101"/>
  </r>
  <r>
    <x v="8"/>
    <x v="0"/>
    <x v="0"/>
    <x v="5"/>
    <x v="5"/>
    <x v="0"/>
    <n v="0.788165726817042"/>
    <n v="0"/>
    <s v="False"/>
    <n v="9.3859672546386705E-2"/>
  </r>
  <r>
    <x v="8"/>
    <x v="0"/>
    <x v="0"/>
    <x v="5"/>
    <x v="5"/>
    <x v="1"/>
    <n v="0.76168051531523895"/>
    <n v="4.4019188198059798E-2"/>
    <s v="False"/>
    <n v="1.3428587913513099"/>
  </r>
  <r>
    <x v="8"/>
    <x v="0"/>
    <x v="0"/>
    <x v="6"/>
    <x v="6"/>
    <x v="0"/>
    <n v="0.73807864903164799"/>
    <n v="0"/>
    <s v="False"/>
    <n v="3.8248777389526298E-2"/>
  </r>
  <r>
    <x v="8"/>
    <x v="0"/>
    <x v="0"/>
    <x v="6"/>
    <x v="6"/>
    <x v="1"/>
    <n v="0.70483059714276197"/>
    <n v="4.9930623094922702E-2"/>
    <s v="False"/>
    <n v="0.45250177383422802"/>
  </r>
  <r>
    <x v="8"/>
    <x v="0"/>
    <x v="0"/>
    <x v="7"/>
    <x v="7"/>
    <x v="0"/>
    <n v="0.73807864903164799"/>
    <n v="0"/>
    <s v="False"/>
    <n v="5.3011894226074198E-2"/>
  </r>
  <r>
    <x v="8"/>
    <x v="0"/>
    <x v="0"/>
    <x v="7"/>
    <x v="7"/>
    <x v="1"/>
    <n v="0.70876903840827299"/>
    <n v="5.1287361617793702E-2"/>
    <s v="False"/>
    <n v="0.69596695899963301"/>
  </r>
  <r>
    <x v="8"/>
    <x v="0"/>
    <x v="0"/>
    <x v="8"/>
    <x v="8"/>
    <x v="0"/>
    <n v="0.74392210896448197"/>
    <n v="0"/>
    <s v="False"/>
    <n v="5.6380033493041902E-2"/>
  </r>
  <r>
    <x v="8"/>
    <x v="0"/>
    <x v="0"/>
    <x v="8"/>
    <x v="8"/>
    <x v="1"/>
    <n v="0.706470901890491"/>
    <n v="5.0080489574756797E-2"/>
    <s v="False"/>
    <n v="0.92824864387512196"/>
  </r>
  <r>
    <x v="8"/>
    <x v="0"/>
    <x v="0"/>
    <x v="9"/>
    <x v="9"/>
    <x v="0"/>
    <n v="0.78796843016847695"/>
    <n v="0"/>
    <s v="False"/>
    <n v="3.86933994293212"/>
  </r>
  <r>
    <x v="8"/>
    <x v="0"/>
    <x v="0"/>
    <x v="9"/>
    <x v="9"/>
    <x v="1"/>
    <n v="0.73930595688105205"/>
    <n v="6.4533060045219595E-2"/>
    <s v="False"/>
    <n v="84.866808176040607"/>
  </r>
  <r>
    <x v="8"/>
    <x v="0"/>
    <x v="0"/>
    <x v="10"/>
    <x v="10"/>
    <x v="0"/>
    <n v="0.75070411516194602"/>
    <n v="0"/>
    <s v="False"/>
    <n v="7.8560309410095197"/>
  </r>
  <r>
    <x v="8"/>
    <x v="0"/>
    <x v="0"/>
    <x v="10"/>
    <x v="10"/>
    <x v="1"/>
    <n v="0.73311808501573095"/>
    <n v="6.4718647658728298E-2"/>
    <s v="False"/>
    <n v="170.160725116729"/>
  </r>
  <r>
    <x v="8"/>
    <x v="0"/>
    <x v="0"/>
    <x v="11"/>
    <x v="11"/>
    <x v="0"/>
    <n v="0.79411576354679703"/>
    <n v="0"/>
    <s v="False"/>
    <n v="11.3682122230529"/>
  </r>
  <r>
    <x v="8"/>
    <x v="0"/>
    <x v="0"/>
    <x v="11"/>
    <x v="11"/>
    <x v="1"/>
    <n v="0.73325384593602405"/>
    <n v="5.4445630699900799E-2"/>
    <s v="False"/>
    <n v="284.41003108024597"/>
  </r>
  <r>
    <x v="8"/>
    <x v="1"/>
    <x v="1"/>
    <x v="0"/>
    <x v="12"/>
    <x v="0"/>
    <n v="0.75031254883575504"/>
    <n v="0"/>
    <s v="False"/>
    <n v="9.0173006057739202E-2"/>
  </r>
  <r>
    <x v="8"/>
    <x v="1"/>
    <x v="1"/>
    <x v="0"/>
    <x v="12"/>
    <x v="1"/>
    <n v="0.73696801682675805"/>
    <n v="5.8526338706033097E-2"/>
    <s v="False"/>
    <n v="1.6721889972686701"/>
  </r>
  <r>
    <x v="8"/>
    <x v="1"/>
    <x v="1"/>
    <x v="1"/>
    <x v="13"/>
    <x v="0"/>
    <n v="0.72405409631019302"/>
    <n v="0"/>
    <s v="False"/>
    <n v="9.9433898925781194E-2"/>
  </r>
  <r>
    <x v="8"/>
    <x v="1"/>
    <x v="1"/>
    <x v="1"/>
    <x v="13"/>
    <x v="1"/>
    <n v="0.73662415971785999"/>
    <n v="5.5035003976433503E-2"/>
    <s v="False"/>
    <n v="1.6793637275695801"/>
  </r>
  <r>
    <x v="8"/>
    <x v="1"/>
    <x v="1"/>
    <x v="2"/>
    <x v="14"/>
    <x v="0"/>
    <n v="0.76249999999999996"/>
    <n v="0"/>
    <s v="False"/>
    <n v="0.10009217262268"/>
  </r>
  <r>
    <x v="8"/>
    <x v="1"/>
    <x v="1"/>
    <x v="2"/>
    <x v="14"/>
    <x v="1"/>
    <n v="0.74787151362057602"/>
    <n v="5.6516168387085702E-2"/>
    <s v="False"/>
    <n v="1.7037491798400799"/>
  </r>
  <r>
    <x v="8"/>
    <x v="1"/>
    <x v="1"/>
    <x v="3"/>
    <x v="15"/>
    <x v="0"/>
    <n v="0.77549249530956799"/>
    <n v="0"/>
    <s v="False"/>
    <n v="9.2067241668701102E-2"/>
  </r>
  <r>
    <x v="8"/>
    <x v="1"/>
    <x v="1"/>
    <x v="3"/>
    <x v="15"/>
    <x v="1"/>
    <n v="0.73702057352273997"/>
    <n v="5.6380205465813599E-2"/>
    <s v="False"/>
    <n v="1.65982890129089"/>
  </r>
  <r>
    <x v="8"/>
    <x v="1"/>
    <x v="1"/>
    <x v="4"/>
    <x v="16"/>
    <x v="0"/>
    <n v="0.78796513445903604"/>
    <n v="0"/>
    <s v="False"/>
    <n v="9.1492176055908203E-2"/>
  </r>
  <r>
    <x v="8"/>
    <x v="1"/>
    <x v="1"/>
    <x v="4"/>
    <x v="16"/>
    <x v="1"/>
    <n v="0.75437748968784402"/>
    <n v="5.9821189045745599E-2"/>
    <s v="False"/>
    <n v="1.68425393104553"/>
  </r>
  <r>
    <x v="8"/>
    <x v="1"/>
    <x v="1"/>
    <x v="5"/>
    <x v="17"/>
    <x v="0"/>
    <n v="0.75641187155748202"/>
    <n v="0"/>
    <s v="False"/>
    <n v="9.3258142471313393E-2"/>
  </r>
  <r>
    <x v="8"/>
    <x v="1"/>
    <x v="1"/>
    <x v="5"/>
    <x v="17"/>
    <x v="1"/>
    <n v="0.751559319839462"/>
    <n v="5.90753898748069E-2"/>
    <s v="False"/>
    <n v="1.74086213111877"/>
  </r>
  <r>
    <x v="8"/>
    <x v="1"/>
    <x v="1"/>
    <x v="6"/>
    <x v="18"/>
    <x v="0"/>
    <n v="0.78190922077413805"/>
    <n v="0"/>
    <s v="False"/>
    <n v="0.102297067642211"/>
  </r>
  <r>
    <x v="8"/>
    <x v="1"/>
    <x v="1"/>
    <x v="6"/>
    <x v="18"/>
    <x v="1"/>
    <n v="0.76047195021466596"/>
    <n v="7.4906964607131199E-2"/>
    <s v="False"/>
    <n v="1.6782741546630799"/>
  </r>
  <r>
    <x v="8"/>
    <x v="1"/>
    <x v="1"/>
    <x v="7"/>
    <x v="19"/>
    <x v="0"/>
    <n v="0.813088235294117"/>
    <n v="0"/>
    <s v="False"/>
    <n v="9.1415166854858398E-2"/>
  </r>
  <r>
    <x v="8"/>
    <x v="1"/>
    <x v="1"/>
    <x v="7"/>
    <x v="19"/>
    <x v="1"/>
    <n v="0.75660944111144102"/>
    <n v="6.0614287807657298E-2"/>
    <s v="False"/>
    <n v="1.7174336910247801"/>
  </r>
  <r>
    <x v="8"/>
    <x v="1"/>
    <x v="1"/>
    <x v="8"/>
    <x v="20"/>
    <x v="0"/>
    <n v="0.76915663709897997"/>
    <n v="0"/>
    <s v="False"/>
    <n v="9.3884944915771401E-2"/>
  </r>
  <r>
    <x v="8"/>
    <x v="1"/>
    <x v="1"/>
    <x v="8"/>
    <x v="20"/>
    <x v="1"/>
    <n v="0.74907115072000796"/>
    <n v="5.9819457984771798E-2"/>
    <s v="False"/>
    <n v="1.6785259246826101"/>
  </r>
  <r>
    <x v="8"/>
    <x v="1"/>
    <x v="1"/>
    <x v="9"/>
    <x v="21"/>
    <x v="0"/>
    <n v="0.78190922077413805"/>
    <n v="0"/>
    <s v="False"/>
    <n v="9.4269275665283203E-2"/>
  </r>
  <r>
    <x v="8"/>
    <x v="1"/>
    <x v="1"/>
    <x v="9"/>
    <x v="21"/>
    <x v="1"/>
    <n v="0.75295153666304004"/>
    <n v="6.3219354329022301E-2"/>
    <s v="False"/>
    <n v="1.6806378364562899"/>
  </r>
  <r>
    <x v="8"/>
    <x v="1"/>
    <x v="1"/>
    <x v="10"/>
    <x v="22"/>
    <x v="0"/>
    <n v="0.78190922077413805"/>
    <n v="0"/>
    <s v="False"/>
    <n v="9.62851047515869E-2"/>
  </r>
  <r>
    <x v="8"/>
    <x v="1"/>
    <x v="1"/>
    <x v="10"/>
    <x v="22"/>
    <x v="1"/>
    <n v="0.76050831099023097"/>
    <n v="6.2355322859933303E-2"/>
    <s v="False"/>
    <n v="1.7066011428832999"/>
  </r>
  <r>
    <x v="8"/>
    <x v="1"/>
    <x v="1"/>
    <x v="11"/>
    <x v="23"/>
    <x v="0"/>
    <n v="0.78163465671525101"/>
    <n v="0"/>
    <s v="False"/>
    <n v="9.4431161880493095E-2"/>
  </r>
  <r>
    <x v="8"/>
    <x v="1"/>
    <x v="1"/>
    <x v="11"/>
    <x v="23"/>
    <x v="1"/>
    <n v="0.74786385257638699"/>
    <n v="6.3470172003168304E-2"/>
    <s v="False"/>
    <n v="1.7480871677398599"/>
  </r>
  <r>
    <x v="8"/>
    <x v="2"/>
    <x v="2"/>
    <x v="0"/>
    <x v="24"/>
    <x v="0"/>
    <n v="0.67821476155021698"/>
    <n v="0"/>
    <s v="False"/>
    <n v="0.36090803146362299"/>
  </r>
  <r>
    <x v="8"/>
    <x v="2"/>
    <x v="2"/>
    <x v="0"/>
    <x v="24"/>
    <x v="1"/>
    <n v="0.73653992868142404"/>
    <n v="6.1634903236926997E-2"/>
    <s v="False"/>
    <n v="17.876583099365199"/>
  </r>
  <r>
    <x v="8"/>
    <x v="2"/>
    <x v="2"/>
    <x v="1"/>
    <x v="25"/>
    <x v="0"/>
    <n v="0.70492913000977497"/>
    <n v="0"/>
    <s v="False"/>
    <n v="0.56942009925842196"/>
  </r>
  <r>
    <x v="8"/>
    <x v="2"/>
    <x v="2"/>
    <x v="1"/>
    <x v="25"/>
    <x v="1"/>
    <n v="0.74185305985454897"/>
    <n v="6.1351418211344599E-2"/>
    <s v="False"/>
    <n v="21.3935580253601"/>
  </r>
  <r>
    <x v="8"/>
    <x v="2"/>
    <x v="2"/>
    <x v="2"/>
    <x v="26"/>
    <x v="0"/>
    <n v="0.71250000000000002"/>
    <n v="0"/>
    <s v="False"/>
    <n v="0.830336093902587"/>
  </r>
  <r>
    <x v="8"/>
    <x v="2"/>
    <x v="2"/>
    <x v="2"/>
    <x v="26"/>
    <x v="1"/>
    <n v="0.74050604728935399"/>
    <n v="6.0197665487601297E-2"/>
    <s v="False"/>
    <n v="27.1019027233123"/>
  </r>
  <r>
    <x v="8"/>
    <x v="2"/>
    <x v="2"/>
    <x v="3"/>
    <x v="27"/>
    <x v="0"/>
    <n v="0.72534380371933105"/>
    <n v="0"/>
    <s v="False"/>
    <n v="1.07016801834106"/>
  </r>
  <r>
    <x v="8"/>
    <x v="2"/>
    <x v="2"/>
    <x v="3"/>
    <x v="27"/>
    <x v="1"/>
    <n v="0.73793704190294496"/>
    <n v="6.2220506682268702E-2"/>
    <s v="False"/>
    <n v="35.302088022231999"/>
  </r>
  <r>
    <x v="8"/>
    <x v="3"/>
    <x v="3"/>
    <x v="0"/>
    <x v="24"/>
    <x v="0"/>
    <n v="0.73782817627754305"/>
    <n v="0"/>
    <s v="False"/>
    <n v="4.7672030925750697"/>
  </r>
  <r>
    <x v="8"/>
    <x v="3"/>
    <x v="3"/>
    <x v="0"/>
    <x v="24"/>
    <x v="1"/>
    <n v="0.738763478471677"/>
    <n v="5.8566985906041001E-2"/>
    <s v="False"/>
    <n v="94.405178070068303"/>
  </r>
  <r>
    <x v="8"/>
    <x v="3"/>
    <x v="3"/>
    <x v="1"/>
    <x v="25"/>
    <x v="0"/>
    <n v="0.78139692228675195"/>
    <n v="0"/>
    <s v="False"/>
    <n v="5.6767838001251203"/>
  </r>
  <r>
    <x v="8"/>
    <x v="3"/>
    <x v="3"/>
    <x v="1"/>
    <x v="25"/>
    <x v="1"/>
    <n v="0.73322389719007297"/>
    <n v="6.7171722030475806E-2"/>
    <s v="False"/>
    <n v="120.732791900634"/>
  </r>
  <r>
    <x v="8"/>
    <x v="3"/>
    <x v="3"/>
    <x v="2"/>
    <x v="26"/>
    <x v="0"/>
    <n v="0.75054721701063098"/>
    <n v="0"/>
    <s v="False"/>
    <n v="5.7520101070403999"/>
  </r>
  <r>
    <x v="8"/>
    <x v="3"/>
    <x v="3"/>
    <x v="2"/>
    <x v="26"/>
    <x v="1"/>
    <n v="0.74030311235480195"/>
    <n v="6.7969864578066794E-2"/>
    <s v="False"/>
    <n v="145.109240055084"/>
  </r>
  <r>
    <x v="8"/>
    <x v="3"/>
    <x v="3"/>
    <x v="3"/>
    <x v="27"/>
    <x v="0"/>
    <n v="0.73058839044976698"/>
    <n v="0"/>
    <s v="False"/>
    <n v="8.4529781341552699"/>
  </r>
  <r>
    <x v="8"/>
    <x v="3"/>
    <x v="3"/>
    <x v="3"/>
    <x v="27"/>
    <x v="1"/>
    <n v="0.74053186804464599"/>
    <n v="7.3019569180085703E-2"/>
    <s v="False"/>
    <n v="193.309192895889"/>
  </r>
  <r>
    <x v="9"/>
    <x v="0"/>
    <x v="0"/>
    <x v="0"/>
    <x v="0"/>
    <x v="0"/>
    <n v="0.47502857629262102"/>
    <n v="0"/>
    <s v="False"/>
    <n v="0.265663862228393"/>
  </r>
  <r>
    <x v="9"/>
    <x v="0"/>
    <x v="0"/>
    <x v="0"/>
    <x v="0"/>
    <x v="1"/>
    <n v="0.46951411235111401"/>
    <n v="6.5689032474941497E-2"/>
    <s v="False"/>
    <n v="3.3191289901733398"/>
  </r>
  <r>
    <x v="9"/>
    <x v="0"/>
    <x v="0"/>
    <x v="1"/>
    <x v="1"/>
    <x v="0"/>
    <n v="0.51685330095340798"/>
    <n v="0"/>
    <s v="False"/>
    <n v="0.66177010536193803"/>
  </r>
  <r>
    <x v="9"/>
    <x v="0"/>
    <x v="0"/>
    <x v="1"/>
    <x v="1"/>
    <x v="1"/>
    <n v="0.49785177808886899"/>
    <n v="4.8873725641299798E-2"/>
    <s v="False"/>
    <n v="6.7919738292694003"/>
  </r>
  <r>
    <x v="9"/>
    <x v="0"/>
    <x v="0"/>
    <x v="2"/>
    <x v="2"/>
    <x v="0"/>
    <n v="0.51222955480560295"/>
    <n v="0"/>
    <s v="False"/>
    <n v="0.80698227882385198"/>
  </r>
  <r>
    <x v="9"/>
    <x v="0"/>
    <x v="0"/>
    <x v="2"/>
    <x v="2"/>
    <x v="1"/>
    <n v="0.48762508415349998"/>
    <n v="5.0440950811389003E-2"/>
    <s v="False"/>
    <n v="10.4240617752075"/>
  </r>
  <r>
    <x v="9"/>
    <x v="0"/>
    <x v="0"/>
    <x v="3"/>
    <x v="3"/>
    <x v="0"/>
    <n v="0.73708333333333298"/>
    <n v="0"/>
    <s v="False"/>
    <n v="0.42019605636596602"/>
  </r>
  <r>
    <x v="9"/>
    <x v="0"/>
    <x v="0"/>
    <x v="3"/>
    <x v="3"/>
    <x v="1"/>
    <n v="0.73201485682007095"/>
    <n v="3.7143478712373203E-2"/>
    <s v="False"/>
    <n v="7.0644798278808496"/>
  </r>
  <r>
    <x v="9"/>
    <x v="0"/>
    <x v="0"/>
    <x v="4"/>
    <x v="4"/>
    <x v="0"/>
    <n v="0.76317174732872395"/>
    <n v="0"/>
    <s v="False"/>
    <n v="0.72829198837280196"/>
  </r>
  <r>
    <x v="9"/>
    <x v="0"/>
    <x v="0"/>
    <x v="4"/>
    <x v="4"/>
    <x v="1"/>
    <n v="0.75437323957922098"/>
    <n v="3.5142283942011597E-2"/>
    <s v="False"/>
    <n v="13.689453125"/>
  </r>
  <r>
    <x v="9"/>
    <x v="0"/>
    <x v="0"/>
    <x v="5"/>
    <x v="5"/>
    <x v="0"/>
    <n v="0.71946885690692397"/>
    <n v="0"/>
    <s v="False"/>
    <n v="1.1408488750457699"/>
  </r>
  <r>
    <x v="9"/>
    <x v="0"/>
    <x v="0"/>
    <x v="5"/>
    <x v="5"/>
    <x v="1"/>
    <n v="0.76923560459506102"/>
    <n v="2.21924751425383E-2"/>
    <s v="False"/>
    <n v="20.341521024703901"/>
  </r>
  <r>
    <x v="9"/>
    <x v="0"/>
    <x v="0"/>
    <x v="6"/>
    <x v="6"/>
    <x v="0"/>
    <n v="0.80025252525252499"/>
    <n v="0"/>
    <s v="False"/>
    <n v="6.7313194274902302E-2"/>
  </r>
  <r>
    <x v="9"/>
    <x v="0"/>
    <x v="0"/>
    <x v="6"/>
    <x v="6"/>
    <x v="1"/>
    <n v="0.78404797136634596"/>
    <n v="2.8854003905695098E-2"/>
    <s v="False"/>
    <n v="1.06458616256713"/>
  </r>
  <r>
    <x v="9"/>
    <x v="0"/>
    <x v="0"/>
    <x v="7"/>
    <x v="7"/>
    <x v="0"/>
    <n v="0.8"/>
    <n v="0"/>
    <s v="False"/>
    <n v="8.2363128662109306E-2"/>
  </r>
  <r>
    <x v="9"/>
    <x v="0"/>
    <x v="0"/>
    <x v="7"/>
    <x v="7"/>
    <x v="1"/>
    <n v="0.78395580185710001"/>
    <n v="2.4213165424820798E-2"/>
    <s v="False"/>
    <n v="1.59129118919372"/>
  </r>
  <r>
    <x v="9"/>
    <x v="0"/>
    <x v="0"/>
    <x v="8"/>
    <x v="8"/>
    <x v="0"/>
    <n v="0.8"/>
    <n v="0"/>
    <s v="False"/>
    <n v="0.13318824768066401"/>
  </r>
  <r>
    <x v="9"/>
    <x v="0"/>
    <x v="0"/>
    <x v="8"/>
    <x v="8"/>
    <x v="1"/>
    <n v="0.79024079143368098"/>
    <n v="2.7565706222590601E-2"/>
    <s v="False"/>
    <n v="2.1230499744415199"/>
  </r>
  <r>
    <x v="9"/>
    <x v="0"/>
    <x v="0"/>
    <x v="9"/>
    <x v="9"/>
    <x v="0"/>
    <n v="0.73598945012787698"/>
    <n v="0"/>
    <s v="False"/>
    <n v="9.2713730335235596"/>
  </r>
  <r>
    <x v="9"/>
    <x v="0"/>
    <x v="0"/>
    <x v="9"/>
    <x v="9"/>
    <x v="1"/>
    <n v="0.77746070179635896"/>
    <n v="2.3065502606601299E-2"/>
    <s v="False"/>
    <n v="188.52650594711301"/>
  </r>
  <r>
    <x v="9"/>
    <x v="0"/>
    <x v="0"/>
    <x v="10"/>
    <x v="10"/>
    <x v="0"/>
    <n v="0.76212301587301501"/>
    <n v="0"/>
    <s v="False"/>
    <n v="18.366651773452698"/>
  </r>
  <r>
    <x v="9"/>
    <x v="0"/>
    <x v="0"/>
    <x v="10"/>
    <x v="10"/>
    <x v="1"/>
    <n v="0.77926813023383901"/>
    <n v="3.2155327534692503E-2"/>
    <s v="False"/>
    <n v="380.718746185302"/>
  </r>
  <r>
    <x v="9"/>
    <x v="0"/>
    <x v="0"/>
    <x v="11"/>
    <x v="11"/>
    <x v="0"/>
    <n v="0.754542042042042"/>
    <n v="0"/>
    <s v="False"/>
    <n v="32.567333221435497"/>
  </r>
  <r>
    <x v="9"/>
    <x v="0"/>
    <x v="0"/>
    <x v="11"/>
    <x v="11"/>
    <x v="1"/>
    <n v="0.78663967682318003"/>
    <n v="3.1787131627689903E-2"/>
    <s v="False"/>
    <n v="570.27562975883404"/>
  </r>
  <r>
    <x v="9"/>
    <x v="1"/>
    <x v="1"/>
    <x v="0"/>
    <x v="12"/>
    <x v="0"/>
    <n v="0.73807457786116304"/>
    <n v="0"/>
    <s v="False"/>
    <n v="0.140856742858886"/>
  </r>
  <r>
    <x v="9"/>
    <x v="1"/>
    <x v="1"/>
    <x v="0"/>
    <x v="12"/>
    <x v="1"/>
    <n v="0.78161528241978395"/>
    <n v="3.6221030633962203E-2"/>
    <s v="False"/>
    <n v="2.2744691371917698"/>
  </r>
  <r>
    <x v="9"/>
    <x v="1"/>
    <x v="1"/>
    <x v="1"/>
    <x v="13"/>
    <x v="0"/>
    <n v="0.75078320802005005"/>
    <n v="0"/>
    <s v="False"/>
    <n v="0.127629280090332"/>
  </r>
  <r>
    <x v="9"/>
    <x v="1"/>
    <x v="1"/>
    <x v="1"/>
    <x v="13"/>
    <x v="1"/>
    <n v="0.79427985108850296"/>
    <n v="2.5242792328171001E-2"/>
    <s v="False"/>
    <n v="2.38395023345947"/>
  </r>
  <r>
    <x v="9"/>
    <x v="1"/>
    <x v="1"/>
    <x v="2"/>
    <x v="14"/>
    <x v="0"/>
    <n v="0.76301985616010004"/>
    <n v="0"/>
    <s v="False"/>
    <n v="0.13148283958435"/>
  </r>
  <r>
    <x v="9"/>
    <x v="1"/>
    <x v="1"/>
    <x v="2"/>
    <x v="14"/>
    <x v="1"/>
    <n v="0.77778514874181603"/>
    <n v="2.83330190831084E-2"/>
    <s v="False"/>
    <n v="2.2763640880584699"/>
  </r>
  <r>
    <x v="9"/>
    <x v="1"/>
    <x v="1"/>
    <x v="3"/>
    <x v="15"/>
    <x v="0"/>
    <n v="0.76324509803921503"/>
    <n v="0"/>
    <s v="False"/>
    <n v="0.12724471092224099"/>
  </r>
  <r>
    <x v="9"/>
    <x v="1"/>
    <x v="1"/>
    <x v="3"/>
    <x v="15"/>
    <x v="1"/>
    <n v="0.78175915619287795"/>
    <n v="2.43032472386756E-2"/>
    <s v="False"/>
    <n v="2.2713201045989901"/>
  </r>
  <r>
    <x v="9"/>
    <x v="1"/>
    <x v="1"/>
    <x v="4"/>
    <x v="16"/>
    <x v="0"/>
    <n v="0.756682266009852"/>
    <n v="0"/>
    <s v="False"/>
    <n v="0.14637994766235299"/>
  </r>
  <r>
    <x v="9"/>
    <x v="1"/>
    <x v="1"/>
    <x v="4"/>
    <x v="16"/>
    <x v="1"/>
    <n v="0.79928844538212496"/>
    <n v="3.5471953617841702E-2"/>
    <s v="False"/>
    <n v="2.8314778804778999"/>
  </r>
  <r>
    <x v="9"/>
    <x v="1"/>
    <x v="1"/>
    <x v="5"/>
    <x v="17"/>
    <x v="0"/>
    <n v="0.76317174732872395"/>
    <n v="0"/>
    <s v="False"/>
    <n v="0.154833078384399"/>
  </r>
  <r>
    <x v="9"/>
    <x v="1"/>
    <x v="1"/>
    <x v="5"/>
    <x v="17"/>
    <x v="1"/>
    <n v="0.78557987614065505"/>
    <n v="2.6577543940528501E-2"/>
    <s v="False"/>
    <n v="2.7641258239746"/>
  </r>
  <r>
    <x v="9"/>
    <x v="1"/>
    <x v="1"/>
    <x v="6"/>
    <x v="18"/>
    <x v="0"/>
    <n v="0.74452223004970397"/>
    <n v="0"/>
    <s v="False"/>
    <n v="0.15377402305603"/>
  </r>
  <r>
    <x v="9"/>
    <x v="1"/>
    <x v="1"/>
    <x v="6"/>
    <x v="18"/>
    <x v="1"/>
    <n v="0.77551415398660295"/>
    <n v="4.2248866796021502E-2"/>
    <s v="False"/>
    <n v="2.7948570251464799"/>
  </r>
  <r>
    <x v="9"/>
    <x v="1"/>
    <x v="1"/>
    <x v="7"/>
    <x v="19"/>
    <x v="0"/>
    <n v="0.76324404761904696"/>
    <n v="0"/>
    <s v="False"/>
    <n v="0.15066790580749501"/>
  </r>
  <r>
    <x v="9"/>
    <x v="1"/>
    <x v="1"/>
    <x v="7"/>
    <x v="19"/>
    <x v="1"/>
    <n v="0.79419026521804903"/>
    <n v="4.19033456767006E-2"/>
    <s v="False"/>
    <n v="2.80284118652343"/>
  </r>
  <r>
    <x v="9"/>
    <x v="1"/>
    <x v="1"/>
    <x v="8"/>
    <x v="20"/>
    <x v="0"/>
    <n v="0.75055109431585498"/>
    <n v="0"/>
    <s v="False"/>
    <n v="0.155351877212524"/>
  </r>
  <r>
    <x v="9"/>
    <x v="1"/>
    <x v="1"/>
    <x v="8"/>
    <x v="20"/>
    <x v="1"/>
    <n v="0.78442512490080296"/>
    <n v="2.7895396582030899E-2"/>
    <s v="False"/>
    <n v="2.8158798217773402"/>
  </r>
  <r>
    <x v="9"/>
    <x v="1"/>
    <x v="1"/>
    <x v="9"/>
    <x v="21"/>
    <x v="0"/>
    <n v="0.77549598488426996"/>
    <n v="0"/>
    <s v="False"/>
    <n v="0.15995216369628901"/>
  </r>
  <r>
    <x v="9"/>
    <x v="1"/>
    <x v="1"/>
    <x v="9"/>
    <x v="21"/>
    <x v="1"/>
    <n v="0.79434129760470695"/>
    <n v="2.9366894708162099E-2"/>
    <s v="False"/>
    <n v="2.84799933433532"/>
  </r>
  <r>
    <x v="9"/>
    <x v="1"/>
    <x v="1"/>
    <x v="10"/>
    <x v="22"/>
    <x v="0"/>
    <n v="0.75078320802005005"/>
    <n v="0"/>
    <s v="False"/>
    <n v="0.15125679969787501"/>
  </r>
  <r>
    <x v="9"/>
    <x v="1"/>
    <x v="1"/>
    <x v="10"/>
    <x v="22"/>
    <x v="1"/>
    <n v="0.79056833687922001"/>
    <n v="2.4115556103400299E-2"/>
    <s v="False"/>
    <n v="2.7954430580139098"/>
  </r>
  <r>
    <x v="9"/>
    <x v="1"/>
    <x v="1"/>
    <x v="11"/>
    <x v="23"/>
    <x v="0"/>
    <n v="0.75070710245128802"/>
    <n v="0"/>
    <s v="False"/>
    <n v="0.14900803565979001"/>
  </r>
  <r>
    <x v="9"/>
    <x v="1"/>
    <x v="1"/>
    <x v="11"/>
    <x v="23"/>
    <x v="1"/>
    <n v="0.80169528160808201"/>
    <n v="3.4601128590492802E-2"/>
    <s v="False"/>
    <n v="2.77795314788818"/>
  </r>
  <r>
    <x v="9"/>
    <x v="2"/>
    <x v="2"/>
    <x v="0"/>
    <x v="24"/>
    <x v="0"/>
    <n v="0.738575027538656"/>
    <n v="0"/>
    <s v="False"/>
    <n v="3.30562090873718"/>
  </r>
  <r>
    <x v="9"/>
    <x v="2"/>
    <x v="2"/>
    <x v="0"/>
    <x v="24"/>
    <x v="1"/>
    <n v="0.75971022665865995"/>
    <n v="3.6461631668480397E-2"/>
    <s v="False"/>
    <n v="41.459490776061998"/>
  </r>
  <r>
    <x v="9"/>
    <x v="2"/>
    <x v="2"/>
    <x v="1"/>
    <x v="25"/>
    <x v="0"/>
    <n v="0.738575027538656"/>
    <n v="0"/>
    <s v="False"/>
    <n v="2.9296886920928902"/>
  </r>
  <r>
    <x v="9"/>
    <x v="2"/>
    <x v="2"/>
    <x v="1"/>
    <x v="25"/>
    <x v="1"/>
    <n v="0.74371785204213703"/>
    <n v="4.0320930055838103E-2"/>
    <s v="False"/>
    <n v="48.242075920104902"/>
  </r>
  <r>
    <x v="9"/>
    <x v="2"/>
    <x v="2"/>
    <x v="2"/>
    <x v="26"/>
    <x v="0"/>
    <n v="0.70610170184912402"/>
    <n v="0"/>
    <s v="False"/>
    <n v="3.55057692527771"/>
  </r>
  <r>
    <x v="9"/>
    <x v="2"/>
    <x v="2"/>
    <x v="2"/>
    <x v="26"/>
    <x v="1"/>
    <n v="0.75669237303815595"/>
    <n v="4.6187438514160802E-2"/>
    <s v="False"/>
    <n v="60.0743792057037"/>
  </r>
  <r>
    <x v="9"/>
    <x v="2"/>
    <x v="2"/>
    <x v="3"/>
    <x v="27"/>
    <x v="0"/>
    <n v="0.71491666666666598"/>
    <n v="0"/>
    <s v="False"/>
    <n v="5.0094511508941597"/>
  </r>
  <r>
    <x v="9"/>
    <x v="2"/>
    <x v="2"/>
    <x v="3"/>
    <x v="27"/>
    <x v="1"/>
    <n v="0.75908576854134102"/>
    <n v="3.5958971388859902E-2"/>
    <s v="False"/>
    <n v="82.135554075241004"/>
  </r>
  <r>
    <x v="9"/>
    <x v="3"/>
    <x v="3"/>
    <x v="0"/>
    <x v="24"/>
    <x v="0"/>
    <n v="0.73708333333333298"/>
    <n v="0"/>
    <s v="False"/>
    <n v="9.7754268646240199"/>
  </r>
  <r>
    <x v="9"/>
    <x v="3"/>
    <x v="3"/>
    <x v="0"/>
    <x v="24"/>
    <x v="1"/>
    <n v="0.77707970232635604"/>
    <n v="2.7873689077912399E-2"/>
    <s v="False"/>
    <n v="168.15731382369901"/>
  </r>
  <r>
    <x v="9"/>
    <x v="3"/>
    <x v="3"/>
    <x v="1"/>
    <x v="25"/>
    <x v="0"/>
    <n v="0.73708333333333298"/>
    <n v="0"/>
    <s v="False"/>
    <n v="14.7672429084777"/>
  </r>
  <r>
    <x v="9"/>
    <x v="3"/>
    <x v="3"/>
    <x v="1"/>
    <x v="25"/>
    <x v="1"/>
    <n v="0.77466179332136897"/>
    <n v="2.6992975826094098E-2"/>
    <s v="False"/>
    <n v="251.77817511558499"/>
  </r>
  <r>
    <x v="9"/>
    <x v="3"/>
    <x v="3"/>
    <x v="2"/>
    <x v="26"/>
    <x v="0"/>
    <n v="0.74791365751885697"/>
    <n v="0"/>
    <s v="False"/>
    <n v="17.399269819259601"/>
  </r>
  <r>
    <x v="9"/>
    <x v="3"/>
    <x v="3"/>
    <x v="2"/>
    <x v="26"/>
    <x v="1"/>
    <n v="0.78231177110258698"/>
    <n v="2.9168339806914301E-2"/>
    <s v="False"/>
    <n v="314.059771776199"/>
  </r>
  <r>
    <x v="9"/>
    <x v="3"/>
    <x v="3"/>
    <x v="3"/>
    <x v="27"/>
    <x v="0"/>
    <n v="0.75070710245128802"/>
    <n v="0"/>
    <s v="False"/>
    <n v="23.829082965850802"/>
  </r>
  <r>
    <x v="9"/>
    <x v="3"/>
    <x v="3"/>
    <x v="3"/>
    <x v="27"/>
    <x v="1"/>
    <n v="0.77629150974024097"/>
    <n v="2.63015096415131E-2"/>
    <s v="False"/>
    <n v="457.26891088485701"/>
  </r>
  <r>
    <x v="10"/>
    <x v="0"/>
    <x v="0"/>
    <x v="0"/>
    <x v="0"/>
    <x v="0"/>
    <n v="0.48003036437246899"/>
    <n v="0"/>
    <s v="False"/>
    <n v="0.27653312683105402"/>
  </r>
  <r>
    <x v="10"/>
    <x v="0"/>
    <x v="0"/>
    <x v="0"/>
    <x v="0"/>
    <x v="1"/>
    <n v="0.48089716588565901"/>
    <n v="5.5410424678556197E-2"/>
    <s v="False"/>
    <n v="3.38448905944824"/>
  </r>
  <r>
    <x v="10"/>
    <x v="0"/>
    <x v="0"/>
    <x v="1"/>
    <x v="1"/>
    <x v="0"/>
    <n v="0.47485587002096402"/>
    <n v="0"/>
    <s v="False"/>
    <n v="0.53249216079711903"/>
  </r>
  <r>
    <x v="10"/>
    <x v="0"/>
    <x v="0"/>
    <x v="1"/>
    <x v="1"/>
    <x v="1"/>
    <n v="0.48609484874416398"/>
    <n v="4.47318348545497E-2"/>
    <s v="False"/>
    <n v="6.91900181770324"/>
  </r>
  <r>
    <x v="10"/>
    <x v="0"/>
    <x v="0"/>
    <x v="2"/>
    <x v="2"/>
    <x v="0"/>
    <n v="0.48832110412299001"/>
    <n v="0"/>
    <s v="False"/>
    <n v="0.74339771270751898"/>
  </r>
  <r>
    <x v="10"/>
    <x v="0"/>
    <x v="0"/>
    <x v="2"/>
    <x v="2"/>
    <x v="1"/>
    <n v="0.49961335960279701"/>
    <n v="4.3059400924784802E-2"/>
    <s v="False"/>
    <n v="10.079843997955299"/>
  </r>
  <r>
    <x v="10"/>
    <x v="0"/>
    <x v="0"/>
    <x v="3"/>
    <x v="3"/>
    <x v="0"/>
    <n v="0.71804572916252596"/>
    <n v="0"/>
    <s v="False"/>
    <n v="0.441268920898437"/>
  </r>
  <r>
    <x v="10"/>
    <x v="0"/>
    <x v="0"/>
    <x v="3"/>
    <x v="3"/>
    <x v="1"/>
    <n v="0.72987595247992998"/>
    <n v="5.8737628569997299E-2"/>
    <s v="False"/>
    <n v="7.0758750438690097"/>
  </r>
  <r>
    <x v="10"/>
    <x v="0"/>
    <x v="0"/>
    <x v="4"/>
    <x v="4"/>
    <x v="0"/>
    <n v="0.70677093596059104"/>
    <n v="0"/>
    <s v="False"/>
    <n v="0.82056021690368597"/>
  </r>
  <r>
    <x v="10"/>
    <x v="0"/>
    <x v="0"/>
    <x v="4"/>
    <x v="4"/>
    <x v="1"/>
    <n v="0.74554503906979097"/>
    <n v="4.2686970728476201E-2"/>
    <s v="False"/>
    <n v="13.898833990097"/>
  </r>
  <r>
    <x v="10"/>
    <x v="0"/>
    <x v="0"/>
    <x v="5"/>
    <x v="5"/>
    <x v="0"/>
    <n v="0.69351945401957205"/>
    <n v="0"/>
    <s v="False"/>
    <n v="1.1780080795287999"/>
  </r>
  <r>
    <x v="10"/>
    <x v="0"/>
    <x v="0"/>
    <x v="5"/>
    <x v="5"/>
    <x v="1"/>
    <n v="0.73189703536469397"/>
    <n v="6.3169276819632705E-2"/>
    <s v="False"/>
    <n v="20.5800440311431"/>
  </r>
  <r>
    <x v="10"/>
    <x v="0"/>
    <x v="0"/>
    <x v="6"/>
    <x v="6"/>
    <x v="0"/>
    <n v="0.78163793103448198"/>
    <n v="0"/>
    <s v="False"/>
    <n v="7.4925184249877902E-2"/>
  </r>
  <r>
    <x v="10"/>
    <x v="0"/>
    <x v="0"/>
    <x v="6"/>
    <x v="6"/>
    <x v="1"/>
    <n v="0.78240804433652"/>
    <n v="2.8733514226390301E-2"/>
    <s v="False"/>
    <n v="0.99634671211242598"/>
  </r>
  <r>
    <x v="10"/>
    <x v="0"/>
    <x v="0"/>
    <x v="7"/>
    <x v="7"/>
    <x v="0"/>
    <n v="0.78191108363750494"/>
    <n v="0"/>
    <s v="False"/>
    <n v="0.13294386863708399"/>
  </r>
  <r>
    <x v="10"/>
    <x v="0"/>
    <x v="0"/>
    <x v="7"/>
    <x v="7"/>
    <x v="1"/>
    <n v="0.776303198274369"/>
    <n v="3.3272710909389998E-2"/>
    <s v="False"/>
    <n v="1.6180949211120601"/>
  </r>
  <r>
    <x v="10"/>
    <x v="0"/>
    <x v="0"/>
    <x v="8"/>
    <x v="8"/>
    <x v="0"/>
    <n v="0.77549598488426996"/>
    <n v="0"/>
    <s v="False"/>
    <n v="0.152148962020874"/>
  </r>
  <r>
    <x v="10"/>
    <x v="0"/>
    <x v="0"/>
    <x v="8"/>
    <x v="8"/>
    <x v="1"/>
    <n v="0.76886346655254501"/>
    <n v="3.3743121365318297E-2"/>
    <s v="False"/>
    <n v="2.0960848331451398"/>
  </r>
  <r>
    <x v="10"/>
    <x v="0"/>
    <x v="0"/>
    <x v="9"/>
    <x v="9"/>
    <x v="0"/>
    <n v="0.78070223379307602"/>
    <n v="0"/>
    <s v="False"/>
    <n v="8.8566741943359304"/>
  </r>
  <r>
    <x v="10"/>
    <x v="0"/>
    <x v="0"/>
    <x v="9"/>
    <x v="9"/>
    <x v="1"/>
    <n v="0.783439133060022"/>
    <n v="3.6518378497648503E-2"/>
    <s v="False"/>
    <n v="135.49457406997601"/>
  </r>
  <r>
    <x v="10"/>
    <x v="0"/>
    <x v="0"/>
    <x v="10"/>
    <x v="10"/>
    <x v="0"/>
    <n v="0.76212301587301501"/>
    <n v="0"/>
    <s v="False"/>
    <n v="15.524044036865201"/>
  </r>
  <r>
    <x v="10"/>
    <x v="0"/>
    <x v="0"/>
    <x v="10"/>
    <x v="10"/>
    <x v="1"/>
    <n v="0.78439982481536497"/>
    <n v="2.4919952538174299E-2"/>
    <s v="False"/>
    <n v="267.372807979583"/>
  </r>
  <r>
    <x v="10"/>
    <x v="0"/>
    <x v="0"/>
    <x v="11"/>
    <x v="11"/>
    <x v="0"/>
    <n v="0.76768926249451497"/>
    <n v="0"/>
    <s v="False"/>
    <n v="24.3163161277771"/>
  </r>
  <r>
    <x v="10"/>
    <x v="0"/>
    <x v="0"/>
    <x v="11"/>
    <x v="11"/>
    <x v="1"/>
    <n v="0.79332726171716905"/>
    <n v="3.4779886463869501E-2"/>
    <s v="False"/>
    <n v="399.28179502487097"/>
  </r>
  <r>
    <x v="10"/>
    <x v="1"/>
    <x v="1"/>
    <x v="0"/>
    <x v="12"/>
    <x v="0"/>
    <n v="0.76324509803921503"/>
    <n v="0"/>
    <s v="False"/>
    <n v="0.13806891441345201"/>
  </r>
  <r>
    <x v="10"/>
    <x v="1"/>
    <x v="1"/>
    <x v="0"/>
    <x v="12"/>
    <x v="1"/>
    <n v="0.75897824064075803"/>
    <n v="2.65710830865214E-2"/>
    <s v="False"/>
    <n v="2.3310012817382799"/>
  </r>
  <r>
    <x v="10"/>
    <x v="1"/>
    <x v="1"/>
    <x v="1"/>
    <x v="13"/>
    <x v="0"/>
    <n v="0.76933773216031198"/>
    <n v="0"/>
    <s v="False"/>
    <n v="0.13238716125488201"/>
  </r>
  <r>
    <x v="10"/>
    <x v="1"/>
    <x v="1"/>
    <x v="1"/>
    <x v="13"/>
    <x v="1"/>
    <n v="0.76169395282551"/>
    <n v="2.9835193073141301E-2"/>
    <s v="False"/>
    <n v="2.2730538845062198"/>
  </r>
  <r>
    <x v="10"/>
    <x v="1"/>
    <x v="1"/>
    <x v="2"/>
    <x v="14"/>
    <x v="0"/>
    <n v="0.75702368823229704"/>
    <n v="0"/>
    <s v="False"/>
    <n v="0.13675999641418399"/>
  </r>
  <r>
    <x v="10"/>
    <x v="1"/>
    <x v="1"/>
    <x v="2"/>
    <x v="14"/>
    <x v="1"/>
    <n v="0.75494410335846995"/>
    <n v="3.5651826815792702E-2"/>
    <s v="False"/>
    <n v="2.3174769878387398"/>
  </r>
  <r>
    <x v="10"/>
    <x v="1"/>
    <x v="1"/>
    <x v="3"/>
    <x v="15"/>
    <x v="0"/>
    <n v="0.75078431372549004"/>
    <n v="0"/>
    <s v="False"/>
    <n v="0.13793897628784099"/>
  </r>
  <r>
    <x v="10"/>
    <x v="1"/>
    <x v="1"/>
    <x v="3"/>
    <x v="15"/>
    <x v="1"/>
    <n v="0.76588592545323497"/>
    <n v="2.45067822287563E-2"/>
    <s v="False"/>
    <n v="2.2782511711120601"/>
  </r>
  <r>
    <x v="10"/>
    <x v="1"/>
    <x v="1"/>
    <x v="4"/>
    <x v="16"/>
    <x v="0"/>
    <n v="0.74452441226107702"/>
    <n v="0"/>
    <s v="False"/>
    <n v="0.153101921081542"/>
  </r>
  <r>
    <x v="10"/>
    <x v="1"/>
    <x v="1"/>
    <x v="4"/>
    <x v="16"/>
    <x v="1"/>
    <n v="0.77625419925422001"/>
    <n v="4.3115967576787498E-2"/>
    <s v="False"/>
    <n v="2.9282920360565101"/>
  </r>
  <r>
    <x v="10"/>
    <x v="1"/>
    <x v="1"/>
    <x v="5"/>
    <x v="17"/>
    <x v="0"/>
    <n v="0.73824245757385198"/>
    <n v="0"/>
    <s v="False"/>
    <n v="0.163294792175292"/>
  </r>
  <r>
    <x v="10"/>
    <x v="1"/>
    <x v="1"/>
    <x v="5"/>
    <x v="17"/>
    <x v="1"/>
    <n v="0.76524705178362795"/>
    <n v="2.9360320278984199E-2"/>
    <s v="False"/>
    <n v="2.8303561210632302"/>
  </r>
  <r>
    <x v="10"/>
    <x v="1"/>
    <x v="1"/>
    <x v="6"/>
    <x v="18"/>
    <x v="0"/>
    <n v="0.76317174732872395"/>
    <n v="0"/>
    <s v="False"/>
    <n v="0.152053117752075"/>
  </r>
  <r>
    <x v="10"/>
    <x v="1"/>
    <x v="1"/>
    <x v="6"/>
    <x v="18"/>
    <x v="1"/>
    <n v="0.77949463479243597"/>
    <n v="3.5955868994230998E-2"/>
    <s v="False"/>
    <n v="2.8261649608611998"/>
  </r>
  <r>
    <x v="10"/>
    <x v="1"/>
    <x v="1"/>
    <x v="7"/>
    <x v="19"/>
    <x v="0"/>
    <n v="0.77549249530956799"/>
    <n v="0"/>
    <s v="False"/>
    <n v="0.162010192871093"/>
  </r>
  <r>
    <x v="10"/>
    <x v="1"/>
    <x v="1"/>
    <x v="7"/>
    <x v="19"/>
    <x v="1"/>
    <n v="0.77508602282996297"/>
    <n v="3.5999506099646597E-2"/>
    <s v="False"/>
    <n v="2.8151090145111"/>
  </r>
  <r>
    <x v="10"/>
    <x v="1"/>
    <x v="1"/>
    <x v="8"/>
    <x v="20"/>
    <x v="0"/>
    <n v="0.75698663605322003"/>
    <n v="0"/>
    <s v="False"/>
    <n v="0.14844608306884699"/>
  </r>
  <r>
    <x v="10"/>
    <x v="1"/>
    <x v="1"/>
    <x v="8"/>
    <x v="20"/>
    <x v="1"/>
    <n v="0.75767028852767404"/>
    <n v="3.06072602936165E-2"/>
    <s v="False"/>
    <n v="2.8283398151397701"/>
  </r>
  <r>
    <x v="10"/>
    <x v="1"/>
    <x v="1"/>
    <x v="9"/>
    <x v="21"/>
    <x v="0"/>
    <n v="0.73824245757385198"/>
    <n v="0"/>
    <s v="False"/>
    <n v="0.15568923950195299"/>
  </r>
  <r>
    <x v="10"/>
    <x v="1"/>
    <x v="1"/>
    <x v="9"/>
    <x v="21"/>
    <x v="1"/>
    <n v="0.76506271601650899"/>
    <n v="3.0496260435927101E-2"/>
    <s v="False"/>
    <n v="2.8074698448181099"/>
  </r>
  <r>
    <x v="10"/>
    <x v="1"/>
    <x v="1"/>
    <x v="10"/>
    <x v="22"/>
    <x v="0"/>
    <n v="0.74420443349753695"/>
    <n v="0"/>
    <s v="False"/>
    <n v="0.15865302085876401"/>
  </r>
  <r>
    <x v="10"/>
    <x v="1"/>
    <x v="1"/>
    <x v="10"/>
    <x v="22"/>
    <x v="1"/>
    <n v="0.762667804034171"/>
    <n v="3.1374695660379703E-2"/>
    <s v="False"/>
    <n v="2.8675792217254599"/>
  </r>
  <r>
    <x v="10"/>
    <x v="1"/>
    <x v="1"/>
    <x v="11"/>
    <x v="23"/>
    <x v="0"/>
    <n v="0.79440465927348203"/>
    <n v="0"/>
    <s v="False"/>
    <n v="0.153273105621337"/>
  </r>
  <r>
    <x v="10"/>
    <x v="1"/>
    <x v="1"/>
    <x v="11"/>
    <x v="23"/>
    <x v="1"/>
    <n v="0.76637751209386695"/>
    <n v="2.4735944240376999E-2"/>
    <s v="False"/>
    <n v="2.7936210632324201"/>
  </r>
  <r>
    <x v="10"/>
    <x v="2"/>
    <x v="2"/>
    <x v="0"/>
    <x v="24"/>
    <x v="0"/>
    <n v="0.70830971659918995"/>
    <n v="0"/>
    <s v="False"/>
    <n v="3.5173788070678702"/>
  </r>
  <r>
    <x v="10"/>
    <x v="2"/>
    <x v="2"/>
    <x v="0"/>
    <x v="24"/>
    <x v="1"/>
    <n v="0.766036941779207"/>
    <n v="3.5776467563310897E-2"/>
    <s v="False"/>
    <n v="31.001513957977199"/>
  </r>
  <r>
    <x v="10"/>
    <x v="2"/>
    <x v="2"/>
    <x v="1"/>
    <x v="25"/>
    <x v="0"/>
    <n v="0.69056135121708895"/>
    <n v="0"/>
    <s v="False"/>
    <n v="4.5219612121581996"/>
  </r>
  <r>
    <x v="10"/>
    <x v="2"/>
    <x v="2"/>
    <x v="1"/>
    <x v="25"/>
    <x v="1"/>
    <n v="0.726182486440062"/>
    <n v="2.96613626912649E-2"/>
    <s v="False"/>
    <n v="42.916796922683702"/>
  </r>
  <r>
    <x v="10"/>
    <x v="2"/>
    <x v="2"/>
    <x v="2"/>
    <x v="26"/>
    <x v="0"/>
    <n v="0.72924118231495205"/>
    <n v="0"/>
    <s v="False"/>
    <n v="5.5555379390716499"/>
  </r>
  <r>
    <x v="10"/>
    <x v="2"/>
    <x v="2"/>
    <x v="2"/>
    <x v="26"/>
    <x v="1"/>
    <n v="0.74038022049360797"/>
    <n v="3.6233756775471603E-2"/>
    <s v="False"/>
    <n v="52.8802297115325"/>
  </r>
  <r>
    <x v="10"/>
    <x v="2"/>
    <x v="2"/>
    <x v="3"/>
    <x v="27"/>
    <x v="0"/>
    <n v="0.72924118231495205"/>
    <n v="0"/>
    <s v="False"/>
    <n v="8.45312404632568"/>
  </r>
  <r>
    <x v="10"/>
    <x v="2"/>
    <x v="2"/>
    <x v="3"/>
    <x v="27"/>
    <x v="1"/>
    <n v="0.744958746952741"/>
    <n v="3.6582309558279097E-2"/>
    <s v="False"/>
    <n v="85.710744142532306"/>
  </r>
  <r>
    <x v="10"/>
    <x v="3"/>
    <x v="3"/>
    <x v="0"/>
    <x v="24"/>
    <x v="0"/>
    <n v="0.77421165790730995"/>
    <n v="0"/>
    <s v="False"/>
    <n v="10.2559187412261"/>
  </r>
  <r>
    <x v="10"/>
    <x v="3"/>
    <x v="3"/>
    <x v="0"/>
    <x v="24"/>
    <x v="1"/>
    <n v="0.78513174964625199"/>
    <n v="2.6721128225961101E-2"/>
    <s v="False"/>
    <n v="139.032024145126"/>
  </r>
  <r>
    <x v="10"/>
    <x v="3"/>
    <x v="3"/>
    <x v="1"/>
    <x v="25"/>
    <x v="0"/>
    <n v="0.75982027724048995"/>
    <n v="0"/>
    <s v="False"/>
    <n v="12.741652965545599"/>
  </r>
  <r>
    <x v="10"/>
    <x v="3"/>
    <x v="3"/>
    <x v="1"/>
    <x v="25"/>
    <x v="1"/>
    <n v="0.78696942162065198"/>
    <n v="2.8638682030281401E-2"/>
    <s v="False"/>
    <n v="212.663638830184"/>
  </r>
  <r>
    <x v="10"/>
    <x v="3"/>
    <x v="3"/>
    <x v="2"/>
    <x v="26"/>
    <x v="0"/>
    <n v="0.74310833101474605"/>
    <n v="0"/>
    <s v="False"/>
    <n v="14.4311909675598"/>
  </r>
  <r>
    <x v="10"/>
    <x v="3"/>
    <x v="3"/>
    <x v="2"/>
    <x v="26"/>
    <x v="1"/>
    <n v="0.78748386859755404"/>
    <n v="2.8567314692836802E-2"/>
    <s v="False"/>
    <n v="279.50037574767998"/>
  </r>
  <r>
    <x v="10"/>
    <x v="3"/>
    <x v="3"/>
    <x v="3"/>
    <x v="27"/>
    <x v="0"/>
    <n v="0.76279987373737301"/>
    <n v="0"/>
    <s v="False"/>
    <n v="21.936922311782801"/>
  </r>
  <r>
    <x v="10"/>
    <x v="3"/>
    <x v="3"/>
    <x v="3"/>
    <x v="27"/>
    <x v="1"/>
    <n v="0.77949324505024598"/>
    <n v="3.0293933123799702E-2"/>
    <s v="False"/>
    <n v="439.4775390625"/>
  </r>
  <r>
    <x v="11"/>
    <x v="0"/>
    <x v="0"/>
    <x v="0"/>
    <x v="0"/>
    <x v="0"/>
    <n v="0.62872441391726297"/>
    <n v="0"/>
    <s v="False"/>
    <n v="6.1672925949096603E-2"/>
  </r>
  <r>
    <x v="11"/>
    <x v="0"/>
    <x v="0"/>
    <x v="0"/>
    <x v="0"/>
    <x v="1"/>
    <n v="0.64343391550243101"/>
    <n v="4.48085693957413E-2"/>
    <s v="False"/>
    <n v="0.85092782974243097"/>
  </r>
  <r>
    <x v="11"/>
    <x v="0"/>
    <x v="0"/>
    <x v="1"/>
    <x v="1"/>
    <x v="0"/>
    <n v="0.660598889062744"/>
    <n v="0"/>
    <s v="False"/>
    <n v="8.3325862884521401E-2"/>
  </r>
  <r>
    <x v="11"/>
    <x v="0"/>
    <x v="0"/>
    <x v="1"/>
    <x v="1"/>
    <x v="1"/>
    <n v="0.64960068807718097"/>
    <n v="5.0892986949211801E-2"/>
    <s v="False"/>
    <n v="1.9034910202026301"/>
  </r>
  <r>
    <x v="11"/>
    <x v="0"/>
    <x v="0"/>
    <x v="2"/>
    <x v="2"/>
    <x v="0"/>
    <n v="0.62872441391726297"/>
    <n v="0"/>
    <s v="False"/>
    <n v="0.11633110046386699"/>
  </r>
  <r>
    <x v="11"/>
    <x v="0"/>
    <x v="0"/>
    <x v="2"/>
    <x v="2"/>
    <x v="1"/>
    <n v="0.63755291531840097"/>
    <n v="4.77124289712181E-2"/>
    <s v="False"/>
    <n v="2.1683771610260001"/>
  </r>
  <r>
    <x v="11"/>
    <x v="0"/>
    <x v="0"/>
    <x v="3"/>
    <x v="3"/>
    <x v="0"/>
    <n v="0.75698663605322003"/>
    <n v="0"/>
    <s v="False"/>
    <n v="6.9762945175170898E-2"/>
  </r>
  <r>
    <x v="11"/>
    <x v="0"/>
    <x v="0"/>
    <x v="3"/>
    <x v="3"/>
    <x v="1"/>
    <n v="0.71915031484887504"/>
    <n v="4.4367791247289498E-2"/>
    <s v="False"/>
    <n v="0.77337217330932595"/>
  </r>
  <r>
    <x v="11"/>
    <x v="0"/>
    <x v="0"/>
    <x v="4"/>
    <x v="4"/>
    <x v="0"/>
    <n v="0.80062656641604002"/>
    <n v="0"/>
    <s v="False"/>
    <n v="8.9587926864623996E-2"/>
  </r>
  <r>
    <x v="11"/>
    <x v="0"/>
    <x v="0"/>
    <x v="4"/>
    <x v="4"/>
    <x v="1"/>
    <n v="0.74795245242880903"/>
    <n v="6.0166954768339297E-2"/>
    <s v="False"/>
    <n v="1.36234903335571"/>
  </r>
  <r>
    <x v="11"/>
    <x v="0"/>
    <x v="0"/>
    <x v="5"/>
    <x v="5"/>
    <x v="0"/>
    <n v="0.788165726817042"/>
    <n v="0"/>
    <s v="False"/>
    <n v="0.12622404098510701"/>
  </r>
  <r>
    <x v="11"/>
    <x v="0"/>
    <x v="0"/>
    <x v="5"/>
    <x v="5"/>
    <x v="1"/>
    <n v="0.75653158513570795"/>
    <n v="5.2861223461310003E-2"/>
    <s v="False"/>
    <n v="1.8640050888061499"/>
  </r>
  <r>
    <x v="11"/>
    <x v="0"/>
    <x v="0"/>
    <x v="6"/>
    <x v="6"/>
    <x v="0"/>
    <n v="0.73658026755852801"/>
    <n v="0"/>
    <s v="False"/>
    <n v="4.36749458312988E-2"/>
  </r>
  <r>
    <x v="11"/>
    <x v="0"/>
    <x v="0"/>
    <x v="6"/>
    <x v="6"/>
    <x v="1"/>
    <n v="0.70599833973944004"/>
    <n v="3.6429227580618097E-2"/>
    <s v="False"/>
    <n v="0.48544979095458901"/>
  </r>
  <r>
    <x v="11"/>
    <x v="0"/>
    <x v="0"/>
    <x v="7"/>
    <x v="7"/>
    <x v="0"/>
    <n v="0.754542042042042"/>
    <n v="0"/>
    <s v="False"/>
    <n v="4.7529935836791902E-2"/>
  </r>
  <r>
    <x v="11"/>
    <x v="0"/>
    <x v="0"/>
    <x v="7"/>
    <x v="7"/>
    <x v="1"/>
    <n v="0.69805935446441802"/>
    <n v="3.6927857289095999E-2"/>
    <s v="False"/>
    <n v="0.77352499961853005"/>
  </r>
  <r>
    <x v="11"/>
    <x v="0"/>
    <x v="0"/>
    <x v="8"/>
    <x v="8"/>
    <x v="0"/>
    <n v="0.73658026755852801"/>
    <n v="0"/>
    <s v="False"/>
    <n v="7.1219205856323201E-2"/>
  </r>
  <r>
    <x v="11"/>
    <x v="0"/>
    <x v="0"/>
    <x v="8"/>
    <x v="8"/>
    <x v="1"/>
    <n v="0.69668633153910398"/>
    <n v="4.1590179720368901E-2"/>
    <s v="False"/>
    <n v="1.05771684646606"/>
  </r>
  <r>
    <x v="11"/>
    <x v="0"/>
    <x v="0"/>
    <x v="9"/>
    <x v="9"/>
    <x v="0"/>
    <n v="0.76916009852216705"/>
    <n v="0"/>
    <s v="False"/>
    <n v="5.4975290298461896"/>
  </r>
  <r>
    <x v="11"/>
    <x v="0"/>
    <x v="0"/>
    <x v="9"/>
    <x v="9"/>
    <x v="1"/>
    <n v="0.74150220628341001"/>
    <n v="5.3972633419330403E-2"/>
    <s v="False"/>
    <n v="135.19075298309301"/>
  </r>
  <r>
    <x v="11"/>
    <x v="0"/>
    <x v="0"/>
    <x v="10"/>
    <x v="10"/>
    <x v="0"/>
    <n v="0.75698663605322003"/>
    <n v="0"/>
    <s v="False"/>
    <n v="9.5509269237518293"/>
  </r>
  <r>
    <x v="11"/>
    <x v="0"/>
    <x v="0"/>
    <x v="10"/>
    <x v="10"/>
    <x v="1"/>
    <n v="0.74272714299614495"/>
    <n v="5.7079934031973797E-2"/>
    <s v="False"/>
    <n v="279.7165517807"/>
  </r>
  <r>
    <x v="11"/>
    <x v="0"/>
    <x v="0"/>
    <x v="11"/>
    <x v="11"/>
    <x v="0"/>
    <n v="0.76934106012347103"/>
    <n v="0"/>
    <s v="False"/>
    <n v="12.6184659004211"/>
  </r>
  <r>
    <x v="11"/>
    <x v="0"/>
    <x v="0"/>
    <x v="11"/>
    <x v="11"/>
    <x v="1"/>
    <n v="0.745294547180679"/>
    <n v="5.7076596933423998E-2"/>
    <s v="False"/>
    <n v="409.14205288887001"/>
  </r>
  <r>
    <x v="11"/>
    <x v="1"/>
    <x v="1"/>
    <x v="0"/>
    <x v="12"/>
    <x v="0"/>
    <n v="0.76933773216031198"/>
    <n v="0"/>
    <s v="False"/>
    <n v="9.6490144729614202E-2"/>
  </r>
  <r>
    <x v="11"/>
    <x v="1"/>
    <x v="1"/>
    <x v="0"/>
    <x v="12"/>
    <x v="1"/>
    <n v="0.74736326737693004"/>
    <n v="5.6393040720326103E-2"/>
    <s v="False"/>
    <n v="1.76256704330444"/>
  </r>
  <r>
    <x v="11"/>
    <x v="1"/>
    <x v="1"/>
    <x v="1"/>
    <x v="13"/>
    <x v="0"/>
    <n v="0.80056329212955701"/>
    <n v="0"/>
    <s v="False"/>
    <n v="9.41030979156494E-2"/>
  </r>
  <r>
    <x v="11"/>
    <x v="1"/>
    <x v="1"/>
    <x v="1"/>
    <x v="13"/>
    <x v="1"/>
    <n v="0.75260773979987305"/>
    <n v="4.9256242639696302E-2"/>
    <s v="False"/>
    <n v="1.68361496925354"/>
  </r>
  <r>
    <x v="11"/>
    <x v="1"/>
    <x v="1"/>
    <x v="2"/>
    <x v="14"/>
    <x v="0"/>
    <n v="0.77549249530956799"/>
    <n v="0"/>
    <s v="False"/>
    <n v="9.3904018402099595E-2"/>
  </r>
  <r>
    <x v="11"/>
    <x v="1"/>
    <x v="1"/>
    <x v="2"/>
    <x v="14"/>
    <x v="1"/>
    <n v="0.73802956217461801"/>
    <n v="5.1969744158524601E-2"/>
    <s v="False"/>
    <n v="1.73680591583251"/>
  </r>
  <r>
    <x v="11"/>
    <x v="1"/>
    <x v="1"/>
    <x v="3"/>
    <x v="15"/>
    <x v="0"/>
    <n v="0.77570488721804498"/>
    <n v="0"/>
    <s v="False"/>
    <n v="9.6858978271484306E-2"/>
  </r>
  <r>
    <x v="11"/>
    <x v="1"/>
    <x v="1"/>
    <x v="3"/>
    <x v="15"/>
    <x v="1"/>
    <n v="0.74393124449985704"/>
    <n v="5.2249120083914101E-2"/>
    <s v="False"/>
    <n v="1.69408202171325"/>
  </r>
  <r>
    <x v="11"/>
    <x v="1"/>
    <x v="1"/>
    <x v="4"/>
    <x v="16"/>
    <x v="0"/>
    <n v="0.76944689053266002"/>
    <n v="0"/>
    <s v="False"/>
    <n v="9.1202020645141602E-2"/>
  </r>
  <r>
    <x v="11"/>
    <x v="1"/>
    <x v="1"/>
    <x v="4"/>
    <x v="16"/>
    <x v="1"/>
    <n v="0.75157071172818302"/>
    <n v="5.2581655873947003E-2"/>
    <s v="False"/>
    <n v="1.7511861324310301"/>
  </r>
  <r>
    <x v="11"/>
    <x v="1"/>
    <x v="1"/>
    <x v="5"/>
    <x v="17"/>
    <x v="0"/>
    <n v="0.788165726817042"/>
    <n v="0"/>
    <s v="False"/>
    <n v="0.100641727447509"/>
  </r>
  <r>
    <x v="11"/>
    <x v="1"/>
    <x v="1"/>
    <x v="5"/>
    <x v="17"/>
    <x v="1"/>
    <n v="0.74930733657342596"/>
    <n v="5.2948310224397999E-2"/>
    <s v="False"/>
    <n v="1.74174308776855"/>
  </r>
  <r>
    <x v="11"/>
    <x v="1"/>
    <x v="1"/>
    <x v="6"/>
    <x v="18"/>
    <x v="0"/>
    <n v="0.78809849788765396"/>
    <n v="0"/>
    <s v="False"/>
    <n v="9.4274997711181599E-2"/>
  </r>
  <r>
    <x v="11"/>
    <x v="1"/>
    <x v="1"/>
    <x v="6"/>
    <x v="18"/>
    <x v="1"/>
    <n v="0.75409246632182503"/>
    <n v="6.3594064217933205E-2"/>
    <s v="False"/>
    <n v="1.76769375801086"/>
  </r>
  <r>
    <x v="11"/>
    <x v="1"/>
    <x v="1"/>
    <x v="7"/>
    <x v="19"/>
    <x v="0"/>
    <n v="0.75702368823229704"/>
    <n v="0"/>
    <s v="False"/>
    <n v="9.6606969833373996E-2"/>
  </r>
  <r>
    <x v="11"/>
    <x v="1"/>
    <x v="1"/>
    <x v="7"/>
    <x v="19"/>
    <x v="1"/>
    <n v="0.75803600734361898"/>
    <n v="5.53911794293152E-2"/>
    <s v="False"/>
    <n v="1.7914576530456501"/>
  </r>
  <r>
    <x v="11"/>
    <x v="1"/>
    <x v="1"/>
    <x v="8"/>
    <x v="20"/>
    <x v="0"/>
    <n v="0.77563370364575102"/>
    <n v="0"/>
    <s v="False"/>
    <n v="9.51712131500244E-2"/>
  </r>
  <r>
    <x v="11"/>
    <x v="1"/>
    <x v="1"/>
    <x v="8"/>
    <x v="20"/>
    <x v="1"/>
    <n v="0.74163990249044698"/>
    <n v="5.6662676637838E-2"/>
    <s v="False"/>
    <n v="1.7611000537872299"/>
  </r>
  <r>
    <x v="11"/>
    <x v="1"/>
    <x v="1"/>
    <x v="9"/>
    <x v="21"/>
    <x v="0"/>
    <n v="0.78180596285435"/>
    <n v="0"/>
    <s v="False"/>
    <n v="9.62109565734863E-2"/>
  </r>
  <r>
    <x v="11"/>
    <x v="1"/>
    <x v="1"/>
    <x v="9"/>
    <x v="21"/>
    <x v="1"/>
    <n v="0.74407771663881095"/>
    <n v="5.6224914027943503E-2"/>
    <s v="False"/>
    <n v="1.73144006729125"/>
  </r>
  <r>
    <x v="11"/>
    <x v="1"/>
    <x v="1"/>
    <x v="10"/>
    <x v="22"/>
    <x v="0"/>
    <n v="0.77563370364575102"/>
    <n v="0"/>
    <s v="False"/>
    <n v="9.6683025360107394E-2"/>
  </r>
  <r>
    <x v="11"/>
    <x v="1"/>
    <x v="1"/>
    <x v="10"/>
    <x v="22"/>
    <x v="1"/>
    <n v="0.750331644939225"/>
    <n v="4.9339686702329202E-2"/>
    <s v="False"/>
    <n v="1.77783107757568"/>
  </r>
  <r>
    <x v="11"/>
    <x v="1"/>
    <x v="1"/>
    <x v="11"/>
    <x v="23"/>
    <x v="0"/>
    <n v="0.78180596285435"/>
    <n v="0"/>
    <s v="False"/>
    <n v="9.8970890045166002E-2"/>
  </r>
  <r>
    <x v="11"/>
    <x v="1"/>
    <x v="1"/>
    <x v="11"/>
    <x v="23"/>
    <x v="1"/>
    <n v="0.74916183604729703"/>
    <n v="5.1283020854940797E-2"/>
    <s v="False"/>
    <n v="1.74594926834106"/>
  </r>
  <r>
    <x v="11"/>
    <x v="2"/>
    <x v="2"/>
    <x v="0"/>
    <x v="24"/>
    <x v="0"/>
    <n v="0.78809849788765396"/>
    <n v="0"/>
    <s v="False"/>
    <n v="0.75136399269104004"/>
  </r>
  <r>
    <x v="11"/>
    <x v="2"/>
    <x v="2"/>
    <x v="0"/>
    <x v="24"/>
    <x v="1"/>
    <n v="0.73779809736703295"/>
    <n v="5.2758928724565599E-2"/>
    <s v="False"/>
    <n v="24.510234117507899"/>
  </r>
  <r>
    <x v="11"/>
    <x v="2"/>
    <x v="2"/>
    <x v="1"/>
    <x v="25"/>
    <x v="0"/>
    <n v="0.75031254883575504"/>
    <n v="0"/>
    <s v="False"/>
    <n v="1.0114219188690099"/>
  </r>
  <r>
    <x v="11"/>
    <x v="2"/>
    <x v="2"/>
    <x v="1"/>
    <x v="25"/>
    <x v="1"/>
    <n v="0.71938258885427397"/>
    <n v="6.20155254401243E-2"/>
    <s v="False"/>
    <n v="30.419192075729299"/>
  </r>
  <r>
    <x v="11"/>
    <x v="2"/>
    <x v="2"/>
    <x v="2"/>
    <x v="26"/>
    <x v="0"/>
    <n v="0.756069084729872"/>
    <n v="0"/>
    <s v="False"/>
    <n v="1.23337602615356"/>
  </r>
  <r>
    <x v="11"/>
    <x v="2"/>
    <x v="2"/>
    <x v="2"/>
    <x v="26"/>
    <x v="1"/>
    <n v="0.72736632568611004"/>
    <n v="5.2964002818063002E-2"/>
    <s v="False"/>
    <n v="35.690931320190401"/>
  </r>
  <r>
    <x v="11"/>
    <x v="2"/>
    <x v="2"/>
    <x v="3"/>
    <x v="27"/>
    <x v="0"/>
    <n v="0.75031254883575504"/>
    <n v="0"/>
    <s v="False"/>
    <n v="2.0723178386688201"/>
  </r>
  <r>
    <x v="11"/>
    <x v="2"/>
    <x v="2"/>
    <x v="3"/>
    <x v="27"/>
    <x v="1"/>
    <n v="0.74006387023192"/>
    <n v="6.1929397413928097E-2"/>
    <s v="False"/>
    <n v="46.7961459159851"/>
  </r>
  <r>
    <x v="11"/>
    <x v="3"/>
    <x v="3"/>
    <x v="0"/>
    <x v="24"/>
    <x v="0"/>
    <n v="0.756984560291182"/>
    <n v="0"/>
    <s v="False"/>
    <n v="5.9193212985992396"/>
  </r>
  <r>
    <x v="11"/>
    <x v="3"/>
    <x v="3"/>
    <x v="0"/>
    <x v="24"/>
    <x v="1"/>
    <n v="0.73756906576510595"/>
    <n v="6.7780191342325005E-2"/>
    <s v="False"/>
    <n v="125.577377796173"/>
  </r>
  <r>
    <x v="11"/>
    <x v="3"/>
    <x v="3"/>
    <x v="1"/>
    <x v="25"/>
    <x v="0"/>
    <n v="0.74440495851519795"/>
    <n v="0"/>
    <s v="False"/>
    <n v="6.9915800094604403"/>
  </r>
  <r>
    <x v="11"/>
    <x v="3"/>
    <x v="3"/>
    <x v="1"/>
    <x v="25"/>
    <x v="1"/>
    <n v="0.73669512683726701"/>
    <n v="6.4489560714474398E-2"/>
    <s v="False"/>
    <n v="156.03731989860501"/>
  </r>
  <r>
    <x v="11"/>
    <x v="3"/>
    <x v="3"/>
    <x v="2"/>
    <x v="26"/>
    <x v="0"/>
    <n v="0.75687300931933399"/>
    <n v="0"/>
    <s v="False"/>
    <n v="7.7955949306488002"/>
  </r>
  <r>
    <x v="11"/>
    <x v="3"/>
    <x v="3"/>
    <x v="2"/>
    <x v="26"/>
    <x v="1"/>
    <n v="0.72739787367027497"/>
    <n v="5.9882780667113999E-2"/>
    <s v="False"/>
    <n v="182.97848200798001"/>
  </r>
  <r>
    <x v="11"/>
    <x v="3"/>
    <x v="3"/>
    <x v="3"/>
    <x v="27"/>
    <x v="0"/>
    <n v="0.73193690771106101"/>
    <n v="0"/>
    <s v="False"/>
    <n v="10.477772235870299"/>
  </r>
  <r>
    <x v="11"/>
    <x v="3"/>
    <x v="3"/>
    <x v="3"/>
    <x v="27"/>
    <x v="1"/>
    <n v="0.74262585750676102"/>
    <n v="5.3901453188200499E-2"/>
    <s v="False"/>
    <n v="245.4145610332479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68">
  <r>
    <s v="hogfeat_128_16_4_9_pca"/>
    <x v="0"/>
    <x v="0"/>
    <x v="0"/>
    <x v="0"/>
    <s v="holdout"/>
    <n v="0.74856138107416803"/>
    <n v="0"/>
    <s v="False"/>
    <n v="0.409672021865844"/>
  </r>
  <r>
    <s v="hogfeat_128_16_4_9_pca"/>
    <x v="0"/>
    <x v="0"/>
    <x v="0"/>
    <x v="0"/>
    <s v="crossvalidation"/>
    <n v="0.71866241235804595"/>
    <n v="3.01406966789107E-2"/>
    <s v="False"/>
    <n v="0.63030576705932595"/>
  </r>
  <r>
    <s v="hogfeat_128_16_4_9_pca"/>
    <x v="0"/>
    <x v="0"/>
    <x v="1"/>
    <x v="1"/>
    <s v="holdout"/>
    <n v="0.77421165790730995"/>
    <n v="0"/>
    <s v="False"/>
    <n v="8.0774068832397405E-2"/>
  </r>
  <r>
    <s v="hogfeat_128_16_4_9_pca"/>
    <x v="0"/>
    <x v="0"/>
    <x v="1"/>
    <x v="1"/>
    <s v="crossvalidation"/>
    <n v="0.72632302044588004"/>
    <n v="3.94836949814334E-2"/>
    <s v="False"/>
    <n v="1.2626600265502901"/>
  </r>
  <r>
    <s v="hogfeat_128_16_4_9_pca"/>
    <x v="0"/>
    <x v="0"/>
    <x v="2"/>
    <x v="2"/>
    <s v="holdout"/>
    <n v="0.76768926249451497"/>
    <n v="0"/>
    <s v="False"/>
    <n v="9.0486049652099595E-2"/>
  </r>
  <r>
    <s v="hogfeat_128_16_4_9_pca"/>
    <x v="0"/>
    <x v="0"/>
    <x v="2"/>
    <x v="2"/>
    <s v="crossvalidation"/>
    <n v="0.72868355532523599"/>
    <n v="3.5628748279743001E-2"/>
    <s v="False"/>
    <n v="1.84807300567626"/>
  </r>
  <r>
    <s v="hogfeat_128_16_4_9_pca"/>
    <x v="0"/>
    <x v="0"/>
    <x v="3"/>
    <x v="3"/>
    <s v="holdout"/>
    <n v="0.73824245757385198"/>
    <n v="0"/>
    <s v="False"/>
    <n v="5.4774045944213798E-2"/>
  </r>
  <r>
    <s v="hogfeat_128_16_4_9_pca"/>
    <x v="0"/>
    <x v="0"/>
    <x v="3"/>
    <x v="3"/>
    <s v="crossvalidation"/>
    <n v="0.72754762778555504"/>
    <n v="4.0883211713833197E-2"/>
    <s v="False"/>
    <n v="0.63232111930847101"/>
  </r>
  <r>
    <s v="hogfeat_128_16_4_9_pca"/>
    <x v="0"/>
    <x v="0"/>
    <x v="4"/>
    <x v="4"/>
    <s v="holdout"/>
    <n v="0.73205989980822594"/>
    <n v="0"/>
    <s v="False"/>
    <n v="8.1265926361083901E-2"/>
  </r>
  <r>
    <s v="hogfeat_128_16_4_9_pca"/>
    <x v="0"/>
    <x v="0"/>
    <x v="4"/>
    <x v="4"/>
    <s v="crossvalidation"/>
    <n v="0.746914189267878"/>
    <n v="4.6171272579404003E-2"/>
    <s v="False"/>
    <n v="1.1371769905090301"/>
  </r>
  <r>
    <s v="hogfeat_128_16_4_9_pca"/>
    <x v="0"/>
    <x v="0"/>
    <x v="5"/>
    <x v="5"/>
    <s v="holdout"/>
    <n v="0.71331316781898102"/>
    <n v="0"/>
    <s v="False"/>
    <n v="0.10065793991088801"/>
  </r>
  <r>
    <s v="hogfeat_128_16_4_9_pca"/>
    <x v="0"/>
    <x v="0"/>
    <x v="5"/>
    <x v="5"/>
    <s v="crossvalidation"/>
    <n v="0.75020760442151402"/>
    <n v="3.4160233225754601E-2"/>
    <s v="False"/>
    <n v="1.6207320690155"/>
  </r>
  <r>
    <s v="hogfeat_128_16_4_9_pca"/>
    <x v="0"/>
    <x v="0"/>
    <x v="6"/>
    <x v="6"/>
    <s v="holdout"/>
    <n v="0.68838014395243297"/>
    <n v="0"/>
    <s v="False"/>
    <n v="2.7738809585571199E-2"/>
  </r>
  <r>
    <s v="hogfeat_128_16_4_9_pca"/>
    <x v="0"/>
    <x v="0"/>
    <x v="6"/>
    <x v="6"/>
    <s v="crossvalidation"/>
    <n v="0.71933507712313205"/>
    <n v="3.5105351655196598E-2"/>
    <s v="False"/>
    <n v="0.37841200828552202"/>
  </r>
  <r>
    <s v="hogfeat_128_16_4_9_pca"/>
    <x v="0"/>
    <x v="0"/>
    <x v="7"/>
    <x v="7"/>
    <s v="holdout"/>
    <n v="0.70718239351071699"/>
    <n v="0"/>
    <s v="False"/>
    <n v="4.3839216232299798E-2"/>
  </r>
  <r>
    <s v="hogfeat_128_16_4_9_pca"/>
    <x v="0"/>
    <x v="0"/>
    <x v="7"/>
    <x v="7"/>
    <s v="crossvalidation"/>
    <n v="0.72215137874130597"/>
    <n v="3.3733069474528102E-2"/>
    <s v="False"/>
    <n v="0.65002894401550204"/>
  </r>
  <r>
    <s v="hogfeat_128_16_4_9_pca"/>
    <x v="0"/>
    <x v="0"/>
    <x v="8"/>
    <x v="8"/>
    <s v="holdout"/>
    <n v="0.71959756956674803"/>
    <n v="0"/>
    <s v="False"/>
    <n v="5.55231571197509E-2"/>
  </r>
  <r>
    <s v="hogfeat_128_16_4_9_pca"/>
    <x v="0"/>
    <x v="0"/>
    <x v="8"/>
    <x v="8"/>
    <s v="crossvalidation"/>
    <n v="0.70505075240468496"/>
    <n v="3.7600153730856602E-2"/>
    <s v="False"/>
    <n v="0.86319208145141602"/>
  </r>
  <r>
    <s v="hogfeat_128_16_4_9_pca"/>
    <x v="0"/>
    <x v="0"/>
    <x v="9"/>
    <x v="9"/>
    <s v="holdout"/>
    <n v="0.75606650421966004"/>
    <n v="0"/>
    <s v="False"/>
    <n v="1.64777183532714"/>
  </r>
  <r>
    <s v="hogfeat_128_16_4_9_pca"/>
    <x v="0"/>
    <x v="0"/>
    <x v="9"/>
    <x v="9"/>
    <s v="crossvalidation"/>
    <n v="0.77984960401929704"/>
    <n v="4.4213380818776502E-2"/>
    <s v="False"/>
    <n v="31.551607131958001"/>
  </r>
  <r>
    <s v="hogfeat_128_16_4_9_pca"/>
    <x v="0"/>
    <x v="0"/>
    <x v="10"/>
    <x v="10"/>
    <s v="holdout"/>
    <n v="0.786755454690237"/>
    <n v="0"/>
    <s v="False"/>
    <n v="3.4775700569152801"/>
  </r>
  <r>
    <s v="hogfeat_128_16_4_9_pca"/>
    <x v="0"/>
    <x v="0"/>
    <x v="10"/>
    <x v="10"/>
    <s v="crossvalidation"/>
    <n v="0.79372542264597501"/>
    <n v="3.8545305369711798E-2"/>
    <s v="False"/>
    <n v="63.597707033157299"/>
  </r>
  <r>
    <s v="hogfeat_128_16_4_9_pca"/>
    <x v="0"/>
    <x v="0"/>
    <x v="11"/>
    <x v="11"/>
    <s v="holdout"/>
    <n v="0.77528409090909001"/>
    <n v="0"/>
    <s v="False"/>
    <n v="5.45424103736877"/>
  </r>
  <r>
    <s v="hogfeat_128_16_4_9_pca"/>
    <x v="0"/>
    <x v="0"/>
    <x v="11"/>
    <x v="11"/>
    <s v="crossvalidation"/>
    <n v="0.78234771207136"/>
    <n v="2.7237162148255601E-2"/>
    <s v="False"/>
    <n v="95.972770214080796"/>
  </r>
  <r>
    <s v="hogfeat_128_16_4_9_pca"/>
    <x v="1"/>
    <x v="1"/>
    <x v="0"/>
    <x v="12"/>
    <s v="holdout"/>
    <n v="0.74440495851519795"/>
    <n v="0"/>
    <s v="False"/>
    <n v="9.5932960510253906E-2"/>
  </r>
  <r>
    <s v="hogfeat_128_16_4_9_pca"/>
    <x v="1"/>
    <x v="1"/>
    <x v="0"/>
    <x v="12"/>
    <s v="crossvalidation"/>
    <n v="0.744793491724551"/>
    <n v="5.5748839090101102E-2"/>
    <s v="False"/>
    <n v="1.60715532302856"/>
  </r>
  <r>
    <s v="hogfeat_128_16_4_9_pca"/>
    <x v="1"/>
    <x v="1"/>
    <x v="1"/>
    <x v="13"/>
    <s v="holdout"/>
    <n v="0.74456336455190197"/>
    <n v="0"/>
    <s v="False"/>
    <n v="9.0823173522949205E-2"/>
  </r>
  <r>
    <s v="hogfeat_128_16_4_9_pca"/>
    <x v="1"/>
    <x v="1"/>
    <x v="1"/>
    <x v="13"/>
    <s v="crossvalidation"/>
    <n v="0.73542184590743298"/>
    <n v="4.3294481526964197E-2"/>
    <s v="False"/>
    <n v="1.6390628814697199"/>
  </r>
  <r>
    <s v="hogfeat_128_16_4_9_pca"/>
    <x v="1"/>
    <x v="1"/>
    <x v="2"/>
    <x v="14"/>
    <s v="holdout"/>
    <n v="0.71340068922305699"/>
    <n v="0"/>
    <s v="False"/>
    <n v="9.2965841293334905E-2"/>
  </r>
  <r>
    <s v="hogfeat_128_16_4_9_pca"/>
    <x v="1"/>
    <x v="1"/>
    <x v="2"/>
    <x v="14"/>
    <s v="crossvalidation"/>
    <n v="0.73799387445322495"/>
    <n v="4.22628291526808E-2"/>
    <s v="False"/>
    <n v="1.59663009643554"/>
  </r>
  <r>
    <s v="hogfeat_128_16_4_9_pca"/>
    <x v="1"/>
    <x v="1"/>
    <x v="3"/>
    <x v="15"/>
    <s v="holdout"/>
    <n v="0.67601960784313697"/>
    <n v="0"/>
    <s v="False"/>
    <n v="9.2242956161498996E-2"/>
  </r>
  <r>
    <s v="hogfeat_128_16_4_9_pca"/>
    <x v="1"/>
    <x v="1"/>
    <x v="3"/>
    <x v="15"/>
    <s v="crossvalidation"/>
    <n v="0.73672918847765001"/>
    <n v="3.3948755870273899E-2"/>
    <s v="False"/>
    <n v="1.61759209632873"/>
  </r>
  <r>
    <s v="hogfeat_128_16_4_9_pca"/>
    <x v="1"/>
    <x v="1"/>
    <x v="4"/>
    <x v="16"/>
    <s v="holdout"/>
    <n v="0.75698663605322003"/>
    <n v="0"/>
    <s v="False"/>
    <n v="9.5652103424072196E-2"/>
  </r>
  <r>
    <s v="hogfeat_128_16_4_9_pca"/>
    <x v="1"/>
    <x v="1"/>
    <x v="4"/>
    <x v="16"/>
    <s v="crossvalidation"/>
    <n v="0.75764567392477"/>
    <n v="3.5120761112026298E-2"/>
    <s v="False"/>
    <n v="1.6326918601989699"/>
  </r>
  <r>
    <s v="hogfeat_128_16_4_9_pca"/>
    <x v="1"/>
    <x v="1"/>
    <x v="5"/>
    <x v="17"/>
    <s v="holdout"/>
    <n v="0.76324404761904696"/>
    <n v="0"/>
    <s v="False"/>
    <n v="8.8942050933837793E-2"/>
  </r>
  <r>
    <s v="hogfeat_128_16_4_9_pca"/>
    <x v="1"/>
    <x v="1"/>
    <x v="5"/>
    <x v="17"/>
    <s v="crossvalidation"/>
    <n v="0.74386058622243301"/>
    <n v="3.6932664308748399E-2"/>
    <s v="False"/>
    <n v="1.63228106498718"/>
  </r>
  <r>
    <s v="hogfeat_128_16_4_9_pca"/>
    <x v="1"/>
    <x v="1"/>
    <x v="6"/>
    <x v="18"/>
    <s v="holdout"/>
    <n v="0.70718239351071699"/>
    <n v="0"/>
    <s v="False"/>
    <n v="9.4287872314453097E-2"/>
  </r>
  <r>
    <s v="hogfeat_128_16_4_9_pca"/>
    <x v="1"/>
    <x v="1"/>
    <x v="6"/>
    <x v="18"/>
    <s v="crossvalidation"/>
    <n v="0.73532522897187302"/>
    <n v="5.7893515295957099E-2"/>
    <s v="False"/>
    <n v="1.63243579864501"/>
  </r>
  <r>
    <s v="hogfeat_128_16_4_9_pca"/>
    <x v="1"/>
    <x v="1"/>
    <x v="7"/>
    <x v="19"/>
    <s v="holdout"/>
    <n v="0.70677093596059104"/>
    <n v="0"/>
    <s v="False"/>
    <n v="8.7195873260498005E-2"/>
  </r>
  <r>
    <s v="hogfeat_128_16_4_9_pca"/>
    <x v="1"/>
    <x v="1"/>
    <x v="7"/>
    <x v="19"/>
    <s v="crossvalidation"/>
    <n v="0.73792929173265798"/>
    <n v="4.0424532667026801E-2"/>
    <s v="False"/>
    <n v="1.6474628448486299"/>
  </r>
  <r>
    <s v="hogfeat_128_16_4_9_pca"/>
    <x v="1"/>
    <x v="1"/>
    <x v="8"/>
    <x v="20"/>
    <s v="holdout"/>
    <n v="0.71330973243623796"/>
    <n v="0"/>
    <s v="False"/>
    <n v="9.0810060501098605E-2"/>
  </r>
  <r>
    <s v="hogfeat_128_16_4_9_pca"/>
    <x v="1"/>
    <x v="1"/>
    <x v="8"/>
    <x v="20"/>
    <s v="crossvalidation"/>
    <n v="0.73893865063418096"/>
    <n v="3.86718845318006E-2"/>
    <s v="False"/>
    <n v="1.6631400585174501"/>
  </r>
  <r>
    <s v="hogfeat_128_16_4_9_pca"/>
    <x v="1"/>
    <x v="1"/>
    <x v="9"/>
    <x v="21"/>
    <s v="holdout"/>
    <n v="0.70084852294154598"/>
    <n v="0"/>
    <s v="False"/>
    <n v="9.54868793487548E-2"/>
  </r>
  <r>
    <s v="hogfeat_128_16_4_9_pca"/>
    <x v="1"/>
    <x v="1"/>
    <x v="9"/>
    <x v="21"/>
    <s v="crossvalidation"/>
    <n v="0.75147452927563496"/>
    <n v="4.1260582614928501E-2"/>
    <s v="False"/>
    <n v="1.6144819259643499"/>
  </r>
  <r>
    <s v="hogfeat_128_16_4_9_pca"/>
    <x v="1"/>
    <x v="1"/>
    <x v="10"/>
    <x v="22"/>
    <s v="holdout"/>
    <n v="0.72577781269641695"/>
    <n v="0"/>
    <s v="False"/>
    <n v="8.9813947677612305E-2"/>
  </r>
  <r>
    <s v="hogfeat_128_16_4_9_pca"/>
    <x v="1"/>
    <x v="1"/>
    <x v="10"/>
    <x v="22"/>
    <s v="crossvalidation"/>
    <n v="0.74635529163247605"/>
    <n v="4.87078248491883E-2"/>
    <s v="False"/>
    <n v="1.6535060405731199"/>
  </r>
  <r>
    <s v="hogfeat_128_16_4_9_pca"/>
    <x v="1"/>
    <x v="1"/>
    <x v="11"/>
    <x v="23"/>
    <s v="holdout"/>
    <n v="0.73783143939393903"/>
    <n v="0"/>
    <s v="False"/>
    <n v="9.2460155487060505E-2"/>
  </r>
  <r>
    <s v="hogfeat_128_16_4_9_pca"/>
    <x v="1"/>
    <x v="1"/>
    <x v="11"/>
    <x v="23"/>
    <s v="crossvalidation"/>
    <n v="0.73497998447403201"/>
    <n v="4.7745474137889501E-2"/>
    <s v="False"/>
    <n v="1.63584184646606"/>
  </r>
  <r>
    <s v="hogfeat_128_16_4_9_pca"/>
    <x v="2"/>
    <x v="2"/>
    <x v="0"/>
    <x v="24"/>
    <s v="holdout"/>
    <n v="0.79230480480480403"/>
    <n v="0"/>
    <s v="False"/>
    <n v="0.264409780502319"/>
  </r>
  <r>
    <s v="hogfeat_128_16_4_9_pca"/>
    <x v="2"/>
    <x v="2"/>
    <x v="0"/>
    <x v="24"/>
    <s v="crossvalidation"/>
    <n v="0.78269021953567397"/>
    <n v="5.0440261950311399E-2"/>
    <s v="False"/>
    <n v="6.8829648494720397"/>
  </r>
  <r>
    <s v="hogfeat_128_16_4_9_pca"/>
    <x v="2"/>
    <x v="2"/>
    <x v="1"/>
    <x v="25"/>
    <s v="holdout"/>
    <n v="0.77971721721721698"/>
    <n v="0"/>
    <s v="False"/>
    <n v="0.41133308410644498"/>
  </r>
  <r>
    <s v="hogfeat_128_16_4_9_pca"/>
    <x v="2"/>
    <x v="2"/>
    <x v="1"/>
    <x v="25"/>
    <s v="crossvalidation"/>
    <n v="0.79120434406368301"/>
    <n v="3.3731854400850997E-2"/>
    <s v="False"/>
    <n v="8.5856239795684797"/>
  </r>
  <r>
    <s v="hogfeat_128_16_4_9_pca"/>
    <x v="2"/>
    <x v="2"/>
    <x v="2"/>
    <x v="26"/>
    <s v="holdout"/>
    <n v="0.81791861114435005"/>
    <n v="0"/>
    <s v="False"/>
    <n v="0.58051323890686002"/>
  </r>
  <r>
    <s v="hogfeat_128_16_4_9_pca"/>
    <x v="2"/>
    <x v="2"/>
    <x v="2"/>
    <x v="26"/>
    <s v="crossvalidation"/>
    <n v="0.79750927048613196"/>
    <n v="3.7581399518288698E-2"/>
    <s v="False"/>
    <n v="10.657071113586399"/>
  </r>
  <r>
    <s v="hogfeat_128_16_4_9_pca"/>
    <x v="2"/>
    <x v="2"/>
    <x v="3"/>
    <x v="27"/>
    <s v="holdout"/>
    <n v="0.81038442940038602"/>
    <n v="0"/>
    <s v="False"/>
    <n v="0.95503163337707497"/>
  </r>
  <r>
    <s v="hogfeat_128_16_4_9_pca"/>
    <x v="2"/>
    <x v="2"/>
    <x v="3"/>
    <x v="27"/>
    <s v="crossvalidation"/>
    <n v="0.80106770640831404"/>
    <n v="2.5014725156786599E-2"/>
    <s v="False"/>
    <n v="12.485375881195001"/>
  </r>
  <r>
    <s v="hogfeat_128_16_4_9_pca"/>
    <x v="3"/>
    <x v="3"/>
    <x v="0"/>
    <x v="24"/>
    <s v="holdout"/>
    <n v="0.81861355441974704"/>
    <n v="0"/>
    <s v="False"/>
    <n v="1.90856909751892"/>
  </r>
  <r>
    <s v="hogfeat_128_16_4_9_pca"/>
    <x v="3"/>
    <x v="3"/>
    <x v="0"/>
    <x v="24"/>
    <s v="crossvalidation"/>
    <n v="0.78518965577909605"/>
    <n v="3.2231605543286697E-2"/>
    <s v="False"/>
    <n v="30.324907064437799"/>
  </r>
  <r>
    <s v="hogfeat_128_16_4_9_pca"/>
    <x v="3"/>
    <x v="3"/>
    <x v="1"/>
    <x v="25"/>
    <s v="holdout"/>
    <n v="0.76857591425967697"/>
    <n v="0"/>
    <s v="False"/>
    <n v="2.1322989463806099"/>
  </r>
  <r>
    <s v="hogfeat_128_16_4_9_pca"/>
    <x v="3"/>
    <x v="3"/>
    <x v="1"/>
    <x v="25"/>
    <s v="crossvalidation"/>
    <n v="0.80625033652657796"/>
    <n v="3.1685210038848E-2"/>
    <s v="False"/>
    <n v="40.388350963592501"/>
  </r>
  <r>
    <s v="hogfeat_128_16_4_9_pca"/>
    <x v="3"/>
    <x v="3"/>
    <x v="2"/>
    <x v="26"/>
    <s v="holdout"/>
    <n v="0.77500000000000002"/>
    <n v="0"/>
    <s v="False"/>
    <n v="2.8536629676818799"/>
  </r>
  <r>
    <s v="hogfeat_128_16_4_9_pca"/>
    <x v="3"/>
    <x v="3"/>
    <x v="2"/>
    <x v="26"/>
    <s v="crossvalidation"/>
    <n v="0.80242410979961798"/>
    <n v="2.3977121583192498E-2"/>
    <s v="False"/>
    <n v="52.192323923110898"/>
  </r>
  <r>
    <s v="hogfeat_128_16_4_9_pca"/>
    <x v="3"/>
    <x v="3"/>
    <x v="3"/>
    <x v="27"/>
    <s v="holdout"/>
    <n v="0.76934106012347103"/>
    <n v="0"/>
    <s v="False"/>
    <n v="3.6223940849304199"/>
  </r>
  <r>
    <s v="hogfeat_128_16_4_9_pca"/>
    <x v="3"/>
    <x v="3"/>
    <x v="3"/>
    <x v="27"/>
    <s v="crossvalidation"/>
    <n v="0.78883304663332698"/>
    <n v="3.93531253600303E-2"/>
    <s v="False"/>
    <n v="66.611352205276404"/>
  </r>
  <r>
    <s v="hogfeat_256_64_2_18"/>
    <x v="0"/>
    <x v="0"/>
    <x v="0"/>
    <x v="0"/>
    <s v="holdout"/>
    <n v="0.62538971367974505"/>
    <n v="0"/>
    <s v="False"/>
    <n v="0.13503599166870101"/>
  </r>
  <r>
    <s v="hogfeat_256_64_2_18"/>
    <x v="0"/>
    <x v="0"/>
    <x v="0"/>
    <x v="0"/>
    <s v="crossvalidation"/>
    <n v="0.59561426061196399"/>
    <n v="7.64533834414831E-2"/>
    <s v="False"/>
    <n v="1.6303560733795099"/>
  </r>
  <r>
    <s v="hogfeat_256_64_2_18"/>
    <x v="0"/>
    <x v="0"/>
    <x v="1"/>
    <x v="1"/>
    <s v="holdout"/>
    <n v="0.62836538461538405"/>
    <n v="0"/>
    <s v="False"/>
    <n v="0.234845876693725"/>
  </r>
  <r>
    <s v="hogfeat_256_64_2_18"/>
    <x v="0"/>
    <x v="0"/>
    <x v="1"/>
    <x v="1"/>
    <s v="crossvalidation"/>
    <n v="0.582059536334807"/>
    <n v="6.5341908440474605E-2"/>
    <s v="False"/>
    <n v="3.7102711200714098"/>
  </r>
  <r>
    <s v="hogfeat_256_64_2_18"/>
    <x v="0"/>
    <x v="0"/>
    <x v="2"/>
    <x v="2"/>
    <s v="holdout"/>
    <n v="0.63621959300585695"/>
    <n v="0"/>
    <s v="False"/>
    <n v="0.36441016197204501"/>
  </r>
  <r>
    <s v="hogfeat_256_64_2_18"/>
    <x v="0"/>
    <x v="0"/>
    <x v="2"/>
    <x v="2"/>
    <s v="crossvalidation"/>
    <n v="0.58323756436645702"/>
    <n v="7.4984420414711206E-2"/>
    <s v="False"/>
    <n v="4.9920909404754603"/>
  </r>
  <r>
    <s v="hogfeat_256_64_2_18"/>
    <x v="0"/>
    <x v="0"/>
    <x v="3"/>
    <x v="3"/>
    <s v="holdout"/>
    <n v="0.71204365079364995"/>
    <n v="0"/>
    <s v="False"/>
    <n v="0.17827105522155701"/>
  </r>
  <r>
    <s v="hogfeat_256_64_2_18"/>
    <x v="0"/>
    <x v="0"/>
    <x v="3"/>
    <x v="3"/>
    <s v="crossvalidation"/>
    <n v="0.746776522879673"/>
    <n v="5.0069445941028003E-2"/>
    <s v="False"/>
    <n v="2.7462530136108398"/>
  </r>
  <r>
    <s v="hogfeat_256_64_2_18"/>
    <x v="0"/>
    <x v="0"/>
    <x v="4"/>
    <x v="4"/>
    <s v="holdout"/>
    <n v="0.73807864903164799"/>
    <n v="0"/>
    <s v="False"/>
    <n v="0.30549716949462802"/>
  </r>
  <r>
    <s v="hogfeat_256_64_2_18"/>
    <x v="0"/>
    <x v="0"/>
    <x v="4"/>
    <x v="4"/>
    <s v="crossvalidation"/>
    <n v="0.78030974187015401"/>
    <n v="3.2778310281739699E-2"/>
    <s v="False"/>
    <n v="5.3128859996795601"/>
  </r>
  <r>
    <s v="hogfeat_256_64_2_18"/>
    <x v="0"/>
    <x v="0"/>
    <x v="5"/>
    <x v="5"/>
    <s v="holdout"/>
    <n v="0.76324509803921503"/>
    <n v="0"/>
    <s v="False"/>
    <n v="0.42922210693359297"/>
  </r>
  <r>
    <s v="hogfeat_256_64_2_18"/>
    <x v="0"/>
    <x v="0"/>
    <x v="5"/>
    <x v="5"/>
    <s v="crossvalidation"/>
    <n v="0.77148606291574595"/>
    <n v="2.96489495774486E-2"/>
    <s v="False"/>
    <n v="7.8075547218322701"/>
  </r>
  <r>
    <s v="hogfeat_256_64_2_18"/>
    <x v="0"/>
    <x v="0"/>
    <x v="6"/>
    <x v="6"/>
    <s v="holdout"/>
    <n v="0.75702368823229704"/>
    <n v="0"/>
    <s v="False"/>
    <n v="6.2578916549682603E-2"/>
  </r>
  <r>
    <s v="hogfeat_256_64_2_18"/>
    <x v="0"/>
    <x v="0"/>
    <x v="6"/>
    <x v="6"/>
    <s v="crossvalidation"/>
    <n v="0.73077673453271097"/>
    <n v="3.6740038143191101E-2"/>
    <s v="False"/>
    <n v="0.61334490776062001"/>
  </r>
  <r>
    <s v="hogfeat_256_64_2_18"/>
    <x v="0"/>
    <x v="0"/>
    <x v="7"/>
    <x v="7"/>
    <s v="holdout"/>
    <n v="0.75078431372549004"/>
    <n v="0"/>
    <s v="False"/>
    <n v="8.8772773742675698E-2"/>
  </r>
  <r>
    <s v="hogfeat_256_64_2_18"/>
    <x v="0"/>
    <x v="0"/>
    <x v="7"/>
    <x v="7"/>
    <s v="crossvalidation"/>
    <n v="0.736996204682696"/>
    <n v="3.1279590153051103E-2"/>
    <s v="False"/>
    <n v="1.0038478374481199"/>
  </r>
  <r>
    <s v="hogfeat_256_64_2_18"/>
    <x v="0"/>
    <x v="0"/>
    <x v="8"/>
    <x v="8"/>
    <s v="holdout"/>
    <n v="0.76324404761904696"/>
    <n v="0"/>
    <s v="False"/>
    <n v="0.115524768829345"/>
  </r>
  <r>
    <s v="hogfeat_256_64_2_18"/>
    <x v="0"/>
    <x v="0"/>
    <x v="8"/>
    <x v="8"/>
    <s v="crossvalidation"/>
    <n v="0.736889717483726"/>
    <n v="3.5072360563026997E-2"/>
    <s v="False"/>
    <n v="1.39247798919677"/>
  </r>
  <r>
    <s v="hogfeat_256_64_2_18"/>
    <x v="0"/>
    <x v="0"/>
    <x v="9"/>
    <x v="9"/>
    <s v="holdout"/>
    <n v="0.80610414437972899"/>
    <n v="0"/>
    <s v="False"/>
    <n v="10.713216066360401"/>
  </r>
  <r>
    <s v="hogfeat_256_64_2_18"/>
    <x v="0"/>
    <x v="0"/>
    <x v="9"/>
    <x v="9"/>
    <s v="crossvalidation"/>
    <n v="0.80617553850502"/>
    <n v="2.76244444860985E-2"/>
    <s v="False"/>
    <n v="136.06725287437399"/>
  </r>
  <r>
    <s v="hogfeat_256_64_2_18"/>
    <x v="0"/>
    <x v="0"/>
    <x v="10"/>
    <x v="10"/>
    <s v="holdout"/>
    <n v="0.76768926249451497"/>
    <n v="0"/>
    <s v="False"/>
    <n v="15.4129781723022"/>
  </r>
  <r>
    <s v="hogfeat_256_64_2_18"/>
    <x v="0"/>
    <x v="0"/>
    <x v="10"/>
    <x v="10"/>
    <s v="crossvalidation"/>
    <n v="0.80878689669388604"/>
    <n v="2.3382213308283401E-2"/>
    <s v="False"/>
    <n v="287.06236267089798"/>
  </r>
  <r>
    <s v="hogfeat_256_64_2_18"/>
    <x v="0"/>
    <x v="0"/>
    <x v="11"/>
    <x v="11"/>
    <s v="holdout"/>
    <n v="0.773122291766971"/>
    <n v="0"/>
    <s v="False"/>
    <n v="27.7938599586486"/>
  </r>
  <r>
    <s v="hogfeat_256_64_2_18"/>
    <x v="0"/>
    <x v="0"/>
    <x v="11"/>
    <x v="11"/>
    <s v="crossvalidation"/>
    <n v="0.80381752031832499"/>
    <n v="3.2186283462828702E-2"/>
    <s v="False"/>
    <n v="429.380456209182"/>
  </r>
  <r>
    <s v="hogfeat_256_64_2_18"/>
    <x v="1"/>
    <x v="1"/>
    <x v="0"/>
    <x v="12"/>
    <s v="holdout"/>
    <n v="0.77549249530956799"/>
    <n v="0"/>
    <s v="False"/>
    <n v="0.11334204673767"/>
  </r>
  <r>
    <s v="hogfeat_256_64_2_18"/>
    <x v="1"/>
    <x v="1"/>
    <x v="0"/>
    <x v="12"/>
    <s v="crossvalidation"/>
    <n v="0.78151807618120706"/>
    <n v="2.79101116364368E-2"/>
    <s v="False"/>
    <n v="1.82988286018371"/>
  </r>
  <r>
    <s v="hogfeat_256_64_2_18"/>
    <x v="1"/>
    <x v="1"/>
    <x v="1"/>
    <x v="13"/>
    <s v="holdout"/>
    <n v="0.78190922077413805"/>
    <n v="0"/>
    <s v="False"/>
    <n v="0.110435247421264"/>
  </r>
  <r>
    <s v="hogfeat_256_64_2_18"/>
    <x v="1"/>
    <x v="1"/>
    <x v="1"/>
    <x v="13"/>
    <s v="crossvalidation"/>
    <n v="0.75923333450499197"/>
    <n v="3.0853383341139001E-2"/>
    <s v="False"/>
    <n v="1.8443961143493599"/>
  </r>
  <r>
    <s v="hogfeat_256_64_2_18"/>
    <x v="1"/>
    <x v="1"/>
    <x v="2"/>
    <x v="14"/>
    <s v="holdout"/>
    <n v="0.80062656641604002"/>
    <n v="0"/>
    <s v="False"/>
    <n v="0.11284208297729401"/>
  </r>
  <r>
    <s v="hogfeat_256_64_2_18"/>
    <x v="1"/>
    <x v="1"/>
    <x v="2"/>
    <x v="14"/>
    <s v="crossvalidation"/>
    <n v="0.76537351021272804"/>
    <n v="4.75806595641977E-2"/>
    <s v="False"/>
    <n v="1.8582670688629099"/>
  </r>
  <r>
    <s v="hogfeat_256_64_2_18"/>
    <x v="1"/>
    <x v="1"/>
    <x v="3"/>
    <x v="15"/>
    <s v="holdout"/>
    <n v="0.76933773216031198"/>
    <n v="0"/>
    <s v="False"/>
    <n v="0.10797381401062001"/>
  </r>
  <r>
    <s v="hogfeat_256_64_2_18"/>
    <x v="1"/>
    <x v="1"/>
    <x v="3"/>
    <x v="15"/>
    <s v="crossvalidation"/>
    <n v="0.76790834856916201"/>
    <n v="3.5117147403464499E-2"/>
    <s v="False"/>
    <n v="1.8524749279022199"/>
  </r>
  <r>
    <s v="hogfeat_256_64_2_18"/>
    <x v="1"/>
    <x v="1"/>
    <x v="4"/>
    <x v="16"/>
    <s v="holdout"/>
    <n v="0.78194433559308696"/>
    <n v="0"/>
    <s v="False"/>
    <n v="0.123360157012939"/>
  </r>
  <r>
    <s v="hogfeat_256_64_2_18"/>
    <x v="1"/>
    <x v="1"/>
    <x v="4"/>
    <x v="16"/>
    <s v="crossvalidation"/>
    <n v="0.78787480654686903"/>
    <n v="3.3230937519868498E-2"/>
    <s v="False"/>
    <n v="2.1099832057952801"/>
  </r>
  <r>
    <s v="hogfeat_256_64_2_18"/>
    <x v="1"/>
    <x v="1"/>
    <x v="5"/>
    <x v="17"/>
    <s v="holdout"/>
    <n v="0.77570588235294102"/>
    <n v="0"/>
    <s v="False"/>
    <n v="0.124799966812133"/>
  </r>
  <r>
    <s v="hogfeat_256_64_2_18"/>
    <x v="1"/>
    <x v="1"/>
    <x v="5"/>
    <x v="17"/>
    <s v="crossvalidation"/>
    <n v="0.78054260829497801"/>
    <n v="2.9125852340259901E-2"/>
    <s v="False"/>
    <n v="2.1112949848175"/>
  </r>
  <r>
    <s v="hogfeat_256_64_2_18"/>
    <x v="1"/>
    <x v="1"/>
    <x v="6"/>
    <x v="18"/>
    <s v="holdout"/>
    <n v="0.77570588235294102"/>
    <n v="0"/>
    <s v="False"/>
    <n v="0.132071018218994"/>
  </r>
  <r>
    <s v="hogfeat_256_64_2_18"/>
    <x v="1"/>
    <x v="1"/>
    <x v="6"/>
    <x v="18"/>
    <s v="crossvalidation"/>
    <n v="0.79022622171913304"/>
    <n v="2.3039286441044401E-2"/>
    <s v="False"/>
    <n v="2.0911507606506299"/>
  </r>
  <r>
    <s v="hogfeat_256_64_2_18"/>
    <x v="1"/>
    <x v="1"/>
    <x v="7"/>
    <x v="19"/>
    <s v="holdout"/>
    <n v="0.78190922077413805"/>
    <n v="0"/>
    <s v="False"/>
    <n v="0.12479591369628899"/>
  </r>
  <r>
    <s v="hogfeat_256_64_2_18"/>
    <x v="1"/>
    <x v="1"/>
    <x v="7"/>
    <x v="19"/>
    <s v="crossvalidation"/>
    <n v="0.78286653005361795"/>
    <n v="2.7163088217105998E-2"/>
    <s v="False"/>
    <n v="2.0849940776824898"/>
  </r>
  <r>
    <s v="hogfeat_256_64_2_18"/>
    <x v="1"/>
    <x v="1"/>
    <x v="8"/>
    <x v="20"/>
    <s v="holdout"/>
    <n v="0.75702368823229704"/>
    <n v="0"/>
    <s v="False"/>
    <n v="0.118870019912719"/>
  </r>
  <r>
    <s v="hogfeat_256_64_2_18"/>
    <x v="1"/>
    <x v="1"/>
    <x v="8"/>
    <x v="20"/>
    <s v="crossvalidation"/>
    <n v="0.78293974582980796"/>
    <n v="3.28741314619636E-2"/>
    <s v="False"/>
    <n v="2.1072509288787802"/>
  </r>
  <r>
    <s v="hogfeat_256_64_2_18"/>
    <x v="1"/>
    <x v="1"/>
    <x v="9"/>
    <x v="21"/>
    <s v="holdout"/>
    <n v="0.75702368823229704"/>
    <n v="0"/>
    <s v="False"/>
    <n v="0.121270895004272"/>
  </r>
  <r>
    <s v="hogfeat_256_64_2_18"/>
    <x v="1"/>
    <x v="1"/>
    <x v="9"/>
    <x v="21"/>
    <s v="crossvalidation"/>
    <n v="0.799301966272841"/>
    <n v="3.3256626781588902E-2"/>
    <s v="False"/>
    <n v="2.0977790355682302"/>
  </r>
  <r>
    <s v="hogfeat_256_64_2_18"/>
    <x v="1"/>
    <x v="1"/>
    <x v="10"/>
    <x v="22"/>
    <s v="holdout"/>
    <n v="0.79437155101561496"/>
    <n v="0"/>
    <s v="False"/>
    <n v="0.12082099914550699"/>
  </r>
  <r>
    <s v="hogfeat_256_64_2_18"/>
    <x v="1"/>
    <x v="1"/>
    <x v="10"/>
    <x v="22"/>
    <s v="crossvalidation"/>
    <n v="0.78405974828914504"/>
    <n v="3.2362731777437002E-2"/>
    <s v="False"/>
    <n v="2.0946290493011399"/>
  </r>
  <r>
    <s v="hogfeat_256_64_2_18"/>
    <x v="1"/>
    <x v="1"/>
    <x v="11"/>
    <x v="23"/>
    <s v="holdout"/>
    <n v="0.80683553122178997"/>
    <n v="0"/>
    <s v="False"/>
    <n v="0.118462085723876"/>
  </r>
  <r>
    <s v="hogfeat_256_64_2_18"/>
    <x v="1"/>
    <x v="1"/>
    <x v="11"/>
    <x v="23"/>
    <s v="crossvalidation"/>
    <n v="0.79273579584006204"/>
    <n v="2.5304538412332701E-2"/>
    <s v="False"/>
    <n v="2.10078692436218"/>
  </r>
  <r>
    <s v="hogfeat_256_64_2_18"/>
    <x v="2"/>
    <x v="2"/>
    <x v="0"/>
    <x v="24"/>
    <s v="holdout"/>
    <n v="0.75982027724048995"/>
    <n v="0"/>
    <s v="False"/>
    <n v="2.5503897666931099"/>
  </r>
  <r>
    <s v="hogfeat_256_64_2_18"/>
    <x v="2"/>
    <x v="2"/>
    <x v="0"/>
    <x v="24"/>
    <s v="crossvalidation"/>
    <n v="0.78625558345486202"/>
    <n v="4.0745295592557601E-2"/>
    <s v="False"/>
    <n v="26.177162885665801"/>
  </r>
  <r>
    <s v="hogfeat_256_64_2_18"/>
    <x v="2"/>
    <x v="2"/>
    <x v="1"/>
    <x v="25"/>
    <s v="holdout"/>
    <n v="0.75029999999999997"/>
    <n v="0"/>
    <s v="False"/>
    <n v="2.8405511379241899"/>
  </r>
  <r>
    <s v="hogfeat_256_64_2_18"/>
    <x v="2"/>
    <x v="2"/>
    <x v="1"/>
    <x v="25"/>
    <s v="crossvalidation"/>
    <n v="0.76489105309278205"/>
    <n v="3.1434848724783797E-2"/>
    <s v="False"/>
    <n v="35.354609966277998"/>
  </r>
  <r>
    <s v="hogfeat_256_64_2_18"/>
    <x v="2"/>
    <x v="2"/>
    <x v="2"/>
    <x v="26"/>
    <s v="holdout"/>
    <n v="0.75132746521969695"/>
    <n v="0"/>
    <s v="False"/>
    <n v="2.5782580375671298"/>
  </r>
  <r>
    <s v="hogfeat_256_64_2_18"/>
    <x v="2"/>
    <x v="2"/>
    <x v="2"/>
    <x v="26"/>
    <s v="crossvalidation"/>
    <n v="0.77726012690262702"/>
    <n v="4.35547342899704E-2"/>
    <s v="False"/>
    <n v="41.807337045669499"/>
  </r>
  <r>
    <s v="hogfeat_256_64_2_18"/>
    <x v="2"/>
    <x v="2"/>
    <x v="3"/>
    <x v="27"/>
    <s v="holdout"/>
    <n v="0.74443626247749894"/>
    <n v="0"/>
    <s v="False"/>
    <n v="3.7752182483672998"/>
  </r>
  <r>
    <s v="hogfeat_256_64_2_18"/>
    <x v="2"/>
    <x v="2"/>
    <x v="3"/>
    <x v="27"/>
    <s v="crossvalidation"/>
    <n v="0.77867764503834003"/>
    <n v="4.7122769682218603E-2"/>
    <s v="False"/>
    <n v="54.614656925201402"/>
  </r>
  <r>
    <s v="hogfeat_256_64_2_18"/>
    <x v="3"/>
    <x v="3"/>
    <x v="0"/>
    <x v="24"/>
    <s v="holdout"/>
    <n v="0.77421165790730995"/>
    <n v="0"/>
    <s v="False"/>
    <n v="7.9099712371826101"/>
  </r>
  <r>
    <s v="hogfeat_256_64_2_18"/>
    <x v="3"/>
    <x v="3"/>
    <x v="0"/>
    <x v="24"/>
    <s v="crossvalidation"/>
    <n v="0.79896662525489404"/>
    <n v="2.8611833457309201E-2"/>
    <s v="False"/>
    <n v="117.73647999763401"/>
  </r>
  <r>
    <s v="hogfeat_256_64_2_18"/>
    <x v="3"/>
    <x v="3"/>
    <x v="1"/>
    <x v="25"/>
    <s v="holdout"/>
    <n v="0.78716269841269804"/>
    <n v="0"/>
    <s v="False"/>
    <n v="10.56427693367"/>
  </r>
  <r>
    <s v="hogfeat_256_64_2_18"/>
    <x v="3"/>
    <x v="3"/>
    <x v="1"/>
    <x v="25"/>
    <s v="crossvalidation"/>
    <n v="0.80759372646573202"/>
    <n v="2.6563976947741E-2"/>
    <s v="False"/>
    <n v="156.51922893524099"/>
  </r>
  <r>
    <s v="hogfeat_256_64_2_18"/>
    <x v="3"/>
    <x v="3"/>
    <x v="2"/>
    <x v="26"/>
    <s v="holdout"/>
    <n v="0.80610414437972899"/>
    <n v="0"/>
    <s v="False"/>
    <n v="10.716888904571499"/>
  </r>
  <r>
    <s v="hogfeat_256_64_2_18"/>
    <x v="3"/>
    <x v="3"/>
    <x v="2"/>
    <x v="26"/>
    <s v="crossvalidation"/>
    <n v="0.80141393865090405"/>
    <n v="2.38749571142657E-2"/>
    <s v="False"/>
    <n v="197.900776863098"/>
  </r>
  <r>
    <s v="hogfeat_256_64_2_18"/>
    <x v="3"/>
    <x v="3"/>
    <x v="3"/>
    <x v="27"/>
    <s v="holdout"/>
    <n v="0.76817093286696603"/>
    <n v="0"/>
    <s v="False"/>
    <n v="13.9049479961395"/>
  </r>
  <r>
    <s v="hogfeat_256_64_2_18"/>
    <x v="3"/>
    <x v="3"/>
    <x v="3"/>
    <x v="27"/>
    <s v="crossvalidation"/>
    <n v="0.81354737882525296"/>
    <n v="2.0191341890352699E-2"/>
    <s v="False"/>
    <n v="260.16616821289"/>
  </r>
  <r>
    <s v="hogfeat_256_64_2_9"/>
    <x v="0"/>
    <x v="0"/>
    <x v="0"/>
    <x v="0"/>
    <s v="holdout"/>
    <n v="0.57743651897908599"/>
    <n v="0"/>
    <s v="False"/>
    <n v="7.6554059982299805E-2"/>
  </r>
  <r>
    <s v="hogfeat_256_64_2_9"/>
    <x v="0"/>
    <x v="0"/>
    <x v="0"/>
    <x v="0"/>
    <s v="crossvalidation"/>
    <n v="0.52606952421675102"/>
    <n v="5.2268678124408698E-2"/>
    <s v="False"/>
    <n v="0.95922899246215798"/>
  </r>
  <r>
    <s v="hogfeat_256_64_2_9"/>
    <x v="0"/>
    <x v="0"/>
    <x v="1"/>
    <x v="1"/>
    <s v="holdout"/>
    <n v="0.58083139456847499"/>
    <n v="0"/>
    <s v="False"/>
    <n v="0.13805198669433499"/>
  </r>
  <r>
    <s v="hogfeat_256_64_2_9"/>
    <x v="0"/>
    <x v="0"/>
    <x v="1"/>
    <x v="1"/>
    <s v="crossvalidation"/>
    <n v="0.54156857873487696"/>
    <n v="7.7118243702564898E-2"/>
    <s v="False"/>
    <n v="2.3074381351470898"/>
  </r>
  <r>
    <s v="hogfeat_256_64_2_9"/>
    <x v="0"/>
    <x v="0"/>
    <x v="2"/>
    <x v="2"/>
    <s v="holdout"/>
    <n v="0.55334492863853901"/>
    <n v="0"/>
    <s v="False"/>
    <n v="0.19500780105590801"/>
  </r>
  <r>
    <s v="hogfeat_256_64_2_9"/>
    <x v="0"/>
    <x v="0"/>
    <x v="2"/>
    <x v="2"/>
    <s v="crossvalidation"/>
    <n v="0.53110675116063299"/>
    <n v="6.99200077807626E-2"/>
    <s v="False"/>
    <n v="2.70166611671447"/>
  </r>
  <r>
    <s v="hogfeat_256_64_2_9"/>
    <x v="0"/>
    <x v="0"/>
    <x v="3"/>
    <x v="3"/>
    <s v="holdout"/>
    <n v="0.69453275529865099"/>
    <n v="0"/>
    <s v="False"/>
    <n v="0.10965013504028299"/>
  </r>
  <r>
    <s v="hogfeat_256_64_2_9"/>
    <x v="0"/>
    <x v="0"/>
    <x v="3"/>
    <x v="3"/>
    <s v="crossvalidation"/>
    <n v="0.75910721015171001"/>
    <n v="4.8597599286506102E-2"/>
    <s v="False"/>
    <n v="1.5245330333709699"/>
  </r>
  <r>
    <s v="hogfeat_256_64_2_9"/>
    <x v="0"/>
    <x v="0"/>
    <x v="4"/>
    <x v="4"/>
    <s v="holdout"/>
    <n v="0.75055109431585498"/>
    <n v="0"/>
    <s v="False"/>
    <n v="0.19469022750854401"/>
  </r>
  <r>
    <s v="hogfeat_256_64_2_9"/>
    <x v="0"/>
    <x v="0"/>
    <x v="4"/>
    <x v="4"/>
    <s v="crossvalidation"/>
    <n v="0.74917639409317804"/>
    <n v="2.92085181676194E-2"/>
    <s v="False"/>
    <n v="2.7847700119018501"/>
  </r>
  <r>
    <s v="hogfeat_256_64_2_9"/>
    <x v="0"/>
    <x v="0"/>
    <x v="5"/>
    <x v="5"/>
    <s v="holdout"/>
    <n v="0.74420443349753695"/>
    <n v="0"/>
    <s v="False"/>
    <n v="0.217926025390625"/>
  </r>
  <r>
    <s v="hogfeat_256_64_2_9"/>
    <x v="0"/>
    <x v="0"/>
    <x v="5"/>
    <x v="5"/>
    <s v="crossvalidation"/>
    <n v="0.78891027350901199"/>
    <n v="3.4554571270852097E-2"/>
    <s v="False"/>
    <n v="4.0365331172943097"/>
  </r>
  <r>
    <s v="hogfeat_256_64_2_9"/>
    <x v="0"/>
    <x v="0"/>
    <x v="6"/>
    <x v="6"/>
    <s v="holdout"/>
    <n v="0.75687300931933399"/>
    <n v="0"/>
    <s v="False"/>
    <n v="4.9138069152831997E-2"/>
  </r>
  <r>
    <s v="hogfeat_256_64_2_9"/>
    <x v="0"/>
    <x v="0"/>
    <x v="6"/>
    <x v="6"/>
    <s v="crossvalidation"/>
    <n v="0.74157070687322002"/>
    <n v="3.7945683952048698E-2"/>
    <s v="False"/>
    <n v="0.50945425033569303"/>
  </r>
  <r>
    <s v="hogfeat_256_64_2_9"/>
    <x v="0"/>
    <x v="0"/>
    <x v="7"/>
    <x v="7"/>
    <s v="holdout"/>
    <n v="0.77563370364575102"/>
    <n v="0"/>
    <s v="False"/>
    <n v="6.9032192230224595E-2"/>
  </r>
  <r>
    <s v="hogfeat_256_64_2_9"/>
    <x v="0"/>
    <x v="0"/>
    <x v="7"/>
    <x v="7"/>
    <s v="crossvalidation"/>
    <n v="0.744128439523982"/>
    <n v="3.5125425690338302E-2"/>
    <s v="False"/>
    <n v="0.80291104316711404"/>
  </r>
  <r>
    <s v="hogfeat_256_64_2_9"/>
    <x v="0"/>
    <x v="0"/>
    <x v="8"/>
    <x v="8"/>
    <s v="holdout"/>
    <n v="0.77570488721804498"/>
    <n v="0"/>
    <s v="False"/>
    <n v="7.9433202743530204E-2"/>
  </r>
  <r>
    <s v="hogfeat_256_64_2_9"/>
    <x v="0"/>
    <x v="0"/>
    <x v="8"/>
    <x v="8"/>
    <s v="crossvalidation"/>
    <n v="0.73794872176701798"/>
    <n v="4.09514330246388E-2"/>
    <s v="False"/>
    <n v="1.0663599967956501"/>
  </r>
  <r>
    <s v="hogfeat_256_64_2_9"/>
    <x v="0"/>
    <x v="0"/>
    <x v="9"/>
    <x v="9"/>
    <s v="holdout"/>
    <n v="0.74960317460317405"/>
    <n v="0"/>
    <s v="False"/>
    <n v="9.7275459766387904"/>
  </r>
  <r>
    <s v="hogfeat_256_64_2_9"/>
    <x v="0"/>
    <x v="0"/>
    <x v="9"/>
    <x v="9"/>
    <s v="crossvalidation"/>
    <n v="0.79116317396046498"/>
    <n v="3.22785729573579E-2"/>
    <s v="False"/>
    <n v="141.26222896575899"/>
  </r>
  <r>
    <s v="hogfeat_256_64_2_9"/>
    <x v="0"/>
    <x v="0"/>
    <x v="10"/>
    <x v="10"/>
    <s v="holdout"/>
    <n v="0.76051797464291404"/>
    <n v="0"/>
    <s v="False"/>
    <n v="16.782362222671502"/>
  </r>
  <r>
    <s v="hogfeat_256_64_2_9"/>
    <x v="0"/>
    <x v="0"/>
    <x v="10"/>
    <x v="10"/>
    <s v="crossvalidation"/>
    <n v="0.77708819529043605"/>
    <n v="3.3370869252658898E-2"/>
    <s v="False"/>
    <n v="307.40409708022997"/>
  </r>
  <r>
    <s v="hogfeat_256_64_2_9"/>
    <x v="0"/>
    <x v="0"/>
    <x v="11"/>
    <x v="11"/>
    <s v="holdout"/>
    <n v="0.76113331202045997"/>
    <n v="0"/>
    <s v="False"/>
    <n v="19.1141259670257"/>
  </r>
  <r>
    <s v="hogfeat_256_64_2_9"/>
    <x v="0"/>
    <x v="0"/>
    <x v="11"/>
    <x v="11"/>
    <s v="crossvalidation"/>
    <n v="0.79139449853874599"/>
    <n v="3.51136325977814E-2"/>
    <s v="False"/>
    <n v="450.590893030166"/>
  </r>
  <r>
    <s v="hogfeat_256_64_2_9"/>
    <x v="1"/>
    <x v="1"/>
    <x v="0"/>
    <x v="12"/>
    <s v="holdout"/>
    <n v="0.76324404761904696"/>
    <n v="0"/>
    <s v="False"/>
    <n v="0.108271121978759"/>
  </r>
  <r>
    <s v="hogfeat_256_64_2_9"/>
    <x v="1"/>
    <x v="1"/>
    <x v="0"/>
    <x v="12"/>
    <s v="crossvalidation"/>
    <n v="0.76913454978420803"/>
    <n v="3.8309602140452502E-2"/>
    <s v="False"/>
    <n v="1.73383116722106"/>
  </r>
  <r>
    <s v="hogfeat_256_64_2_9"/>
    <x v="1"/>
    <x v="1"/>
    <x v="1"/>
    <x v="13"/>
    <s v="holdout"/>
    <n v="0.74456336455190197"/>
    <n v="0"/>
    <s v="False"/>
    <n v="9.5191955566406194E-2"/>
  </r>
  <r>
    <s v="hogfeat_256_64_2_9"/>
    <x v="1"/>
    <x v="1"/>
    <x v="1"/>
    <x v="13"/>
    <s v="crossvalidation"/>
    <n v="0.772022631075023"/>
    <n v="3.4268029316892698E-2"/>
    <s v="False"/>
    <n v="1.7876119613647401"/>
  </r>
  <r>
    <s v="hogfeat_256_64_2_9"/>
    <x v="1"/>
    <x v="1"/>
    <x v="2"/>
    <x v="14"/>
    <s v="holdout"/>
    <n v="0.788165726817042"/>
    <n v="0"/>
    <s v="False"/>
    <n v="0.10185194015502901"/>
  </r>
  <r>
    <s v="hogfeat_256_64_2_9"/>
    <x v="1"/>
    <x v="1"/>
    <x v="2"/>
    <x v="14"/>
    <s v="crossvalidation"/>
    <n v="0.77700924814780203"/>
    <n v="2.1643674660335802E-2"/>
    <s v="False"/>
    <n v="1.7459127902984599"/>
  </r>
  <r>
    <s v="hogfeat_256_64_2_9"/>
    <x v="1"/>
    <x v="1"/>
    <x v="3"/>
    <x v="15"/>
    <s v="holdout"/>
    <n v="0.77570588235294102"/>
    <n v="0"/>
    <s v="False"/>
    <n v="9.4010829925537095E-2"/>
  </r>
  <r>
    <s v="hogfeat_256_64_2_9"/>
    <x v="1"/>
    <x v="1"/>
    <x v="3"/>
    <x v="15"/>
    <s v="crossvalidation"/>
    <n v="0.77451460947697404"/>
    <n v="3.86238754624336E-2"/>
    <s v="False"/>
    <n v="1.7136251926422099"/>
  </r>
  <r>
    <s v="hogfeat_256_64_2_9"/>
    <x v="1"/>
    <x v="1"/>
    <x v="4"/>
    <x v="16"/>
    <s v="holdout"/>
    <n v="0.78190922077413805"/>
    <n v="0"/>
    <s v="False"/>
    <n v="0.112310886383056"/>
  </r>
  <r>
    <s v="hogfeat_256_64_2_9"/>
    <x v="1"/>
    <x v="1"/>
    <x v="4"/>
    <x v="16"/>
    <s v="crossvalidation"/>
    <n v="0.78693680666035304"/>
    <n v="3.6611683622544001E-2"/>
    <s v="False"/>
    <n v="1.87169408798217"/>
  </r>
  <r>
    <s v="hogfeat_256_64_2_9"/>
    <x v="1"/>
    <x v="1"/>
    <x v="5"/>
    <x v="17"/>
    <s v="holdout"/>
    <n v="0.78190922077413805"/>
    <n v="0"/>
    <s v="False"/>
    <n v="0.10668683052062899"/>
  </r>
  <r>
    <s v="hogfeat_256_64_2_9"/>
    <x v="1"/>
    <x v="1"/>
    <x v="5"/>
    <x v="17"/>
    <s v="crossvalidation"/>
    <n v="0.79414306466542595"/>
    <n v="2.3247843196580398E-2"/>
    <s v="False"/>
    <n v="1.88168716430664"/>
  </r>
  <r>
    <s v="hogfeat_256_64_2_9"/>
    <x v="1"/>
    <x v="1"/>
    <x v="6"/>
    <x v="18"/>
    <s v="holdout"/>
    <n v="0.76324509803921503"/>
    <n v="0"/>
    <s v="False"/>
    <n v="0.110249996185302"/>
  </r>
  <r>
    <s v="hogfeat_256_64_2_9"/>
    <x v="1"/>
    <x v="1"/>
    <x v="6"/>
    <x v="18"/>
    <s v="crossvalidation"/>
    <n v="0.79179621655731203"/>
    <n v="2.2160469924371401E-2"/>
    <s v="False"/>
    <n v="1.86865305900573"/>
  </r>
  <r>
    <s v="hogfeat_256_64_2_9"/>
    <x v="1"/>
    <x v="1"/>
    <x v="7"/>
    <x v="19"/>
    <s v="holdout"/>
    <n v="0.80062745098039201"/>
    <n v="0"/>
    <s v="False"/>
    <n v="9.8361730575561496E-2"/>
  </r>
  <r>
    <s v="hogfeat_256_64_2_9"/>
    <x v="1"/>
    <x v="1"/>
    <x v="7"/>
    <x v="19"/>
    <s v="crossvalidation"/>
    <n v="0.77694941229050896"/>
    <n v="1.8299781150434801E-2"/>
    <s v="False"/>
    <n v="1.9092588424682599"/>
  </r>
  <r>
    <s v="hogfeat_256_64_2_9"/>
    <x v="1"/>
    <x v="1"/>
    <x v="8"/>
    <x v="20"/>
    <s v="holdout"/>
    <n v="0.77549598488426996"/>
    <n v="0"/>
    <s v="False"/>
    <n v="9.9390983581542899E-2"/>
  </r>
  <r>
    <s v="hogfeat_256_64_2_9"/>
    <x v="1"/>
    <x v="1"/>
    <x v="8"/>
    <x v="20"/>
    <s v="crossvalidation"/>
    <n v="0.78286193410845994"/>
    <n v="2.7684690028985999E-2"/>
    <s v="False"/>
    <n v="1.9485898017883301"/>
  </r>
  <r>
    <s v="hogfeat_256_64_2_9"/>
    <x v="1"/>
    <x v="1"/>
    <x v="9"/>
    <x v="21"/>
    <s v="holdout"/>
    <n v="0.78816666666666602"/>
    <n v="0"/>
    <s v="False"/>
    <n v="0.109827995300292"/>
  </r>
  <r>
    <s v="hogfeat_256_64_2_9"/>
    <x v="1"/>
    <x v="1"/>
    <x v="9"/>
    <x v="21"/>
    <s v="crossvalidation"/>
    <n v="0.78567922269441803"/>
    <n v="2.3766446961257199E-2"/>
    <s v="False"/>
    <n v="1.88085389137268"/>
  </r>
  <r>
    <s v="hogfeat_256_64_2_9"/>
    <x v="1"/>
    <x v="1"/>
    <x v="10"/>
    <x v="22"/>
    <s v="holdout"/>
    <n v="0.77570488721804498"/>
    <n v="0"/>
    <s v="False"/>
    <n v="0.10517406463623"/>
  </r>
  <r>
    <s v="hogfeat_256_64_2_9"/>
    <x v="1"/>
    <x v="1"/>
    <x v="10"/>
    <x v="22"/>
    <s v="crossvalidation"/>
    <n v="0.80164329501687104"/>
    <n v="2.2943455451096401E-2"/>
    <s v="False"/>
    <n v="1.8713572025298999"/>
  </r>
  <r>
    <s v="hogfeat_256_64_2_9"/>
    <x v="1"/>
    <x v="1"/>
    <x v="11"/>
    <x v="23"/>
    <s v="holdout"/>
    <n v="0.79427419354838702"/>
    <n v="0"/>
    <s v="False"/>
    <n v="0.10646009445190401"/>
  </r>
  <r>
    <s v="hogfeat_256_64_2_9"/>
    <x v="1"/>
    <x v="1"/>
    <x v="11"/>
    <x v="23"/>
    <s v="crossvalidation"/>
    <n v="0.78542475185655503"/>
    <n v="3.3676123740546203E-2"/>
    <s v="False"/>
    <n v="1.8435730934143"/>
  </r>
  <r>
    <s v="hogfeat_256_64_2_9"/>
    <x v="2"/>
    <x v="2"/>
    <x v="0"/>
    <x v="24"/>
    <s v="holdout"/>
    <n v="0.75101842461122303"/>
    <n v="0"/>
    <s v="False"/>
    <n v="1.2422859668731601"/>
  </r>
  <r>
    <s v="hogfeat_256_64_2_9"/>
    <x v="2"/>
    <x v="2"/>
    <x v="0"/>
    <x v="24"/>
    <s v="crossvalidation"/>
    <n v="0.77608081236406801"/>
    <n v="3.3055640744546297E-2"/>
    <s v="False"/>
    <n v="26.286783933639501"/>
  </r>
  <r>
    <s v="hogfeat_256_64_2_9"/>
    <x v="2"/>
    <x v="2"/>
    <x v="1"/>
    <x v="25"/>
    <s v="holdout"/>
    <n v="0.73631556683587096"/>
    <n v="0"/>
    <s v="False"/>
    <n v="1.2792720794677701"/>
  </r>
  <r>
    <s v="hogfeat_256_64_2_9"/>
    <x v="2"/>
    <x v="2"/>
    <x v="1"/>
    <x v="25"/>
    <s v="crossvalidation"/>
    <n v="0.75409295051004699"/>
    <n v="3.7742663721939899E-2"/>
    <s v="False"/>
    <n v="31.0788879394531"/>
  </r>
  <r>
    <s v="hogfeat_256_64_2_9"/>
    <x v="2"/>
    <x v="2"/>
    <x v="2"/>
    <x v="26"/>
    <s v="holdout"/>
    <n v="0.72345291155957203"/>
    <n v="0"/>
    <s v="False"/>
    <n v="2.2937698364257799"/>
  </r>
  <r>
    <s v="hogfeat_256_64_2_9"/>
    <x v="2"/>
    <x v="2"/>
    <x v="2"/>
    <x v="26"/>
    <s v="crossvalidation"/>
    <n v="0.75990297098498005"/>
    <n v="2.7729856591745299E-2"/>
    <s v="False"/>
    <n v="38.586838006973203"/>
  </r>
  <r>
    <s v="hogfeat_256_64_2_9"/>
    <x v="2"/>
    <x v="2"/>
    <x v="3"/>
    <x v="27"/>
    <s v="holdout"/>
    <n v="0.73364741418955604"/>
    <n v="0"/>
    <s v="False"/>
    <n v="2.78076815605163"/>
  </r>
  <r>
    <s v="hogfeat_256_64_2_9"/>
    <x v="2"/>
    <x v="2"/>
    <x v="3"/>
    <x v="27"/>
    <s v="crossvalidation"/>
    <n v="0.77647964321914897"/>
    <n v="3.3805489081699697E-2"/>
    <s v="False"/>
    <n v="48.718331098556497"/>
  </r>
  <r>
    <s v="hogfeat_256_64_2_9"/>
    <x v="3"/>
    <x v="3"/>
    <x v="0"/>
    <x v="24"/>
    <s v="holdout"/>
    <n v="0.76496763261496004"/>
    <n v="0"/>
    <s v="False"/>
    <n v="6.4563300609588596"/>
  </r>
  <r>
    <s v="hogfeat_256_64_2_9"/>
    <x v="3"/>
    <x v="3"/>
    <x v="0"/>
    <x v="24"/>
    <s v="crossvalidation"/>
    <n v="0.78122158771141104"/>
    <n v="3.98471393574127E-2"/>
    <s v="False"/>
    <n v="112.384995937347"/>
  </r>
  <r>
    <s v="hogfeat_256_64_2_9"/>
    <x v="3"/>
    <x v="3"/>
    <x v="1"/>
    <x v="25"/>
    <s v="holdout"/>
    <n v="0.76113331202045997"/>
    <n v="0"/>
    <s v="False"/>
    <n v="8.8221499919891304"/>
  </r>
  <r>
    <s v="hogfeat_256_64_2_9"/>
    <x v="3"/>
    <x v="3"/>
    <x v="1"/>
    <x v="25"/>
    <s v="crossvalidation"/>
    <n v="0.78265738174296695"/>
    <n v="2.49352919971659E-2"/>
    <s v="False"/>
    <n v="148.619025945663"/>
  </r>
  <r>
    <s v="hogfeat_256_64_2_9"/>
    <x v="3"/>
    <x v="3"/>
    <x v="2"/>
    <x v="26"/>
    <s v="holdout"/>
    <n v="0.74912406434145495"/>
    <n v="0"/>
    <s v="False"/>
    <n v="10.450655937194799"/>
  </r>
  <r>
    <s v="hogfeat_256_64_2_9"/>
    <x v="3"/>
    <x v="3"/>
    <x v="2"/>
    <x v="26"/>
    <s v="crossvalidation"/>
    <n v="0.79356442743357103"/>
    <n v="3.8397305459352403E-2"/>
    <s v="False"/>
    <n v="183.548376083374"/>
  </r>
  <r>
    <s v="hogfeat_256_64_2_9"/>
    <x v="3"/>
    <x v="3"/>
    <x v="3"/>
    <x v="27"/>
    <s v="holdout"/>
    <n v="0.77490353266476797"/>
    <n v="0"/>
    <s v="False"/>
    <n v="11.0551259517669"/>
  </r>
  <r>
    <s v="hogfeat_256_64_2_9"/>
    <x v="3"/>
    <x v="3"/>
    <x v="3"/>
    <x v="27"/>
    <s v="crossvalidation"/>
    <n v="0.783848591723876"/>
    <n v="2.9433248427328799E-2"/>
    <s v="False"/>
    <n v="235.973227024078"/>
  </r>
  <r>
    <s v="hogfeat_128_16_4_9"/>
    <x v="0"/>
    <x v="0"/>
    <x v="0"/>
    <x v="0"/>
    <s v="holdout"/>
    <n v="0.52719459890512499"/>
    <n v="0"/>
    <s v="False"/>
    <n v="0.53688502311706499"/>
  </r>
  <r>
    <s v="hogfeat_128_16_4_9"/>
    <x v="0"/>
    <x v="0"/>
    <x v="0"/>
    <x v="0"/>
    <s v="crossvalidation"/>
    <n v="0.51001071409765897"/>
    <n v="4.6173426786343501E-2"/>
    <s v="False"/>
    <n v="6.3601567745208696"/>
  </r>
  <r>
    <s v="hogfeat_128_16_4_9"/>
    <x v="0"/>
    <x v="0"/>
    <x v="1"/>
    <x v="1"/>
    <s v="holdout"/>
    <n v="0.496948236879864"/>
    <n v="0"/>
    <s v="False"/>
    <n v="1.12420606613159"/>
  </r>
  <r>
    <s v="hogfeat_128_16_4_9"/>
    <x v="0"/>
    <x v="0"/>
    <x v="1"/>
    <x v="1"/>
    <s v="crossvalidation"/>
    <n v="0.52399558430134796"/>
    <n v="4.4810435164102699E-2"/>
    <s v="False"/>
    <n v="13.3274228572845"/>
  </r>
  <r>
    <s v="hogfeat_128_16_4_9"/>
    <x v="0"/>
    <x v="0"/>
    <x v="2"/>
    <x v="2"/>
    <s v="holdout"/>
    <n v="0.48723921289710698"/>
    <n v="0"/>
    <s v="False"/>
    <n v="1.60786509513854"/>
  </r>
  <r>
    <s v="hogfeat_128_16_4_9"/>
    <x v="0"/>
    <x v="0"/>
    <x v="2"/>
    <x v="2"/>
    <s v="crossvalidation"/>
    <n v="0.48539737226332402"/>
    <n v="5.94202287795405E-2"/>
    <s v="False"/>
    <n v="19.716748952865601"/>
  </r>
  <r>
    <s v="hogfeat_128_16_4_9"/>
    <x v="0"/>
    <x v="0"/>
    <x v="3"/>
    <x v="3"/>
    <s v="holdout"/>
    <n v="0.67591534971053002"/>
    <n v="0"/>
    <s v="False"/>
    <n v="0.85153222084045399"/>
  </r>
  <r>
    <s v="hogfeat_128_16_4_9"/>
    <x v="0"/>
    <x v="0"/>
    <x v="3"/>
    <x v="3"/>
    <s v="crossvalidation"/>
    <n v="0.70482333112010298"/>
    <n v="4.0443169883545002E-2"/>
    <s v="False"/>
    <n v="14.203930854797299"/>
  </r>
  <r>
    <s v="hogfeat_128_16_4_9"/>
    <x v="0"/>
    <x v="0"/>
    <x v="4"/>
    <x v="4"/>
    <s v="holdout"/>
    <n v="0.72534380371933105"/>
    <n v="0"/>
    <s v="False"/>
    <n v="1.38074398040771"/>
  </r>
  <r>
    <s v="hogfeat_128_16_4_9"/>
    <x v="0"/>
    <x v="0"/>
    <x v="4"/>
    <x v="4"/>
    <s v="crossvalidation"/>
    <n v="0.72331347054918704"/>
    <n v="5.4251514023037302E-2"/>
    <s v="False"/>
    <n v="27.998891115188599"/>
  </r>
  <r>
    <s v="hogfeat_128_16_4_9"/>
    <x v="0"/>
    <x v="0"/>
    <x v="5"/>
    <x v="5"/>
    <s v="holdout"/>
    <n v="0.71946885690692397"/>
    <n v="0"/>
    <s v="False"/>
    <n v="2.1541607379913299"/>
  </r>
  <r>
    <s v="hogfeat_128_16_4_9"/>
    <x v="0"/>
    <x v="0"/>
    <x v="5"/>
    <x v="5"/>
    <s v="crossvalidation"/>
    <n v="0.720950499930054"/>
    <n v="5.0037801431834297E-2"/>
    <s v="False"/>
    <n v="41.585646152496302"/>
  </r>
  <r>
    <s v="hogfeat_128_16_4_9"/>
    <x v="0"/>
    <x v="0"/>
    <x v="6"/>
    <x v="6"/>
    <s v="holdout"/>
    <n v="0.74456336455190197"/>
    <n v="0"/>
    <s v="False"/>
    <n v="9.8255157470703097E-2"/>
  </r>
  <r>
    <s v="hogfeat_128_16_4_9"/>
    <x v="0"/>
    <x v="0"/>
    <x v="6"/>
    <x v="6"/>
    <s v="crossvalidation"/>
    <n v="0.73240313398974299"/>
    <n v="2.11195408086308E-2"/>
    <s v="False"/>
    <n v="1.5671141147613501"/>
  </r>
  <r>
    <s v="hogfeat_128_16_4_9"/>
    <x v="0"/>
    <x v="0"/>
    <x v="7"/>
    <x v="7"/>
    <s v="holdout"/>
    <n v="0.73824245757385198"/>
    <n v="0"/>
    <s v="False"/>
    <n v="0.15003085136413499"/>
  </r>
  <r>
    <s v="hogfeat_128_16_4_9"/>
    <x v="0"/>
    <x v="0"/>
    <x v="7"/>
    <x v="7"/>
    <s v="crossvalidation"/>
    <n v="0.72980916081226099"/>
    <n v="2.7374009398058698E-2"/>
    <s v="False"/>
    <n v="2.6184408664703298"/>
  </r>
  <r>
    <s v="hogfeat_128_16_4_9"/>
    <x v="0"/>
    <x v="0"/>
    <x v="8"/>
    <x v="8"/>
    <s v="holdout"/>
    <n v="0.732062188468935"/>
    <n v="0"/>
    <s v="False"/>
    <n v="0.222342729568481"/>
  </r>
  <r>
    <s v="hogfeat_128_16_4_9"/>
    <x v="0"/>
    <x v="0"/>
    <x v="8"/>
    <x v="8"/>
    <s v="crossvalidation"/>
    <n v="0.73580556121962903"/>
    <n v="2.4400054502913101E-2"/>
    <s v="False"/>
    <n v="3.6548938751220699"/>
  </r>
  <r>
    <s v="hogfeat_128_16_4_9"/>
    <x v="0"/>
    <x v="0"/>
    <x v="9"/>
    <x v="9"/>
    <s v="holdout"/>
    <n v="0.77528409090909001"/>
    <n v="0"/>
    <s v="False"/>
    <n v="11.657587289810101"/>
  </r>
  <r>
    <s v="hogfeat_128_16_4_9"/>
    <x v="0"/>
    <x v="0"/>
    <x v="9"/>
    <x v="9"/>
    <s v="crossvalidation"/>
    <n v="0.79472996680736496"/>
    <n v="3.7398666324605701E-2"/>
    <s v="False"/>
    <n v="176.961018085479"/>
  </r>
  <r>
    <s v="hogfeat_128_16_4_9"/>
    <x v="0"/>
    <x v="0"/>
    <x v="10"/>
    <x v="10"/>
    <s v="holdout"/>
    <n v="0.76166786112438201"/>
    <n v="0"/>
    <s v="False"/>
    <n v="23.531684160232501"/>
  </r>
  <r>
    <s v="hogfeat_128_16_4_9"/>
    <x v="0"/>
    <x v="0"/>
    <x v="10"/>
    <x v="10"/>
    <s v="crossvalidation"/>
    <n v="0.78184994519691398"/>
    <n v="3.4537034572147199E-2"/>
    <s v="False"/>
    <n v="353.199065208435"/>
  </r>
  <r>
    <s v="hogfeat_128_16_4_9"/>
    <x v="0"/>
    <x v="0"/>
    <x v="11"/>
    <x v="11"/>
    <s v="holdout"/>
    <n v="0.76916009852216705"/>
    <n v="0"/>
    <s v="False"/>
    <n v="32.7301251888275"/>
  </r>
  <r>
    <s v="hogfeat_128_16_4_9"/>
    <x v="0"/>
    <x v="0"/>
    <x v="11"/>
    <x v="11"/>
    <s v="crossvalidation"/>
    <n v="0.78689711691745901"/>
    <n v="2.33698591243982E-2"/>
    <s v="False"/>
    <n v="535.25929713249195"/>
  </r>
  <r>
    <s v="hogfeat_128_16_4_9"/>
    <x v="1"/>
    <x v="1"/>
    <x v="0"/>
    <x v="12"/>
    <s v="holdout"/>
    <n v="0.72577452667814102"/>
    <n v="0"/>
    <s v="False"/>
    <n v="0.15859603881835899"/>
  </r>
  <r>
    <s v="hogfeat_128_16_4_9"/>
    <x v="1"/>
    <x v="1"/>
    <x v="0"/>
    <x v="12"/>
    <s v="crossvalidation"/>
    <n v="0.738926047399175"/>
    <n v="5.0172724120893603E-2"/>
    <s v="False"/>
    <n v="2.7861440181732098"/>
  </r>
  <r>
    <s v="hogfeat_128_16_4_9"/>
    <x v="1"/>
    <x v="1"/>
    <x v="1"/>
    <x v="13"/>
    <s v="holdout"/>
    <n v="0.75070411516194602"/>
    <n v="0"/>
    <s v="False"/>
    <n v="0.165879011154174"/>
  </r>
  <r>
    <s v="hogfeat_128_16_4_9"/>
    <x v="1"/>
    <x v="1"/>
    <x v="1"/>
    <x v="13"/>
    <s v="crossvalidation"/>
    <n v="0.74573637106444202"/>
    <n v="5.7015995508069198E-2"/>
    <s v="False"/>
    <n v="2.7798078060150102"/>
  </r>
  <r>
    <s v="hogfeat_128_16_4_9"/>
    <x v="1"/>
    <x v="1"/>
    <x v="2"/>
    <x v="14"/>
    <s v="holdout"/>
    <n v="0.73205989980822594"/>
    <n v="0"/>
    <s v="False"/>
    <n v="0.157841205596923"/>
  </r>
  <r>
    <s v="hogfeat_128_16_4_9"/>
    <x v="1"/>
    <x v="1"/>
    <x v="2"/>
    <x v="14"/>
    <s v="crossvalidation"/>
    <n v="0.73702973749490797"/>
    <n v="6.3104329893162198E-2"/>
    <s v="False"/>
    <n v="2.8409049510955802"/>
  </r>
  <r>
    <s v="hogfeat_128_16_4_9"/>
    <x v="1"/>
    <x v="1"/>
    <x v="3"/>
    <x v="15"/>
    <s v="holdout"/>
    <n v="0.72560193871169398"/>
    <n v="0"/>
    <s v="False"/>
    <n v="0.15249371528625399"/>
  </r>
  <r>
    <s v="hogfeat_128_16_4_9"/>
    <x v="1"/>
    <x v="1"/>
    <x v="3"/>
    <x v="15"/>
    <s v="crossvalidation"/>
    <n v="0.73792777734724202"/>
    <n v="5.56692160115905E-2"/>
    <s v="False"/>
    <n v="2.83712410926818"/>
  </r>
  <r>
    <s v="hogfeat_128_16_4_9"/>
    <x v="1"/>
    <x v="1"/>
    <x v="4"/>
    <x v="16"/>
    <s v="holdout"/>
    <n v="0.73193304007820104"/>
    <n v="0"/>
    <s v="False"/>
    <n v="0.203166007995605"/>
  </r>
  <r>
    <s v="hogfeat_128_16_4_9"/>
    <x v="1"/>
    <x v="1"/>
    <x v="4"/>
    <x v="16"/>
    <s v="crossvalidation"/>
    <n v="0.73877357671532695"/>
    <n v="3.8953795241109E-2"/>
    <s v="False"/>
    <n v="3.5022311210632302"/>
  </r>
  <r>
    <s v="hogfeat_128_16_4_9"/>
    <x v="1"/>
    <x v="1"/>
    <x v="5"/>
    <x v="17"/>
    <s v="holdout"/>
    <n v="0.70676653901762299"/>
    <n v="0"/>
    <s v="False"/>
    <n v="0.19710421562194799"/>
  </r>
  <r>
    <s v="hogfeat_128_16_4_9"/>
    <x v="1"/>
    <x v="1"/>
    <x v="5"/>
    <x v="17"/>
    <s v="crossvalidation"/>
    <n v="0.74043978012456202"/>
    <n v="4.5678248618421902E-2"/>
    <s v="False"/>
    <n v="3.5683569908142001"/>
  </r>
  <r>
    <s v="hogfeat_128_16_4_9"/>
    <x v="1"/>
    <x v="1"/>
    <x v="6"/>
    <x v="18"/>
    <s v="holdout"/>
    <n v="0.73832236842105203"/>
    <n v="0"/>
    <s v="False"/>
    <n v="0.19322586059570299"/>
  </r>
  <r>
    <s v="hogfeat_128_16_4_9"/>
    <x v="1"/>
    <x v="1"/>
    <x v="6"/>
    <x v="18"/>
    <s v="crossvalidation"/>
    <n v="0.74475038919522496"/>
    <n v="4.4929490342633903E-2"/>
    <s v="False"/>
    <n v="3.4787781238555899"/>
  </r>
  <r>
    <s v="hogfeat_128_16_4_9"/>
    <x v="1"/>
    <x v="1"/>
    <x v="7"/>
    <x v="19"/>
    <s v="holdout"/>
    <n v="0.71285943116111805"/>
    <n v="0"/>
    <s v="False"/>
    <n v="0.18856310844421301"/>
  </r>
  <r>
    <s v="hogfeat_128_16_4_9"/>
    <x v="1"/>
    <x v="1"/>
    <x v="7"/>
    <x v="19"/>
    <s v="crossvalidation"/>
    <n v="0.74188855390157304"/>
    <n v="4.0962935025585998E-2"/>
    <s v="False"/>
    <n v="3.4837901592254599"/>
  </r>
  <r>
    <s v="hogfeat_128_16_4_9"/>
    <x v="1"/>
    <x v="1"/>
    <x v="8"/>
    <x v="20"/>
    <s v="holdout"/>
    <n v="0.75702368823229704"/>
    <n v="0"/>
    <s v="False"/>
    <n v="0.21091198921203599"/>
  </r>
  <r>
    <s v="hogfeat_128_16_4_9"/>
    <x v="1"/>
    <x v="1"/>
    <x v="8"/>
    <x v="20"/>
    <s v="crossvalidation"/>
    <n v="0.73720773937023298"/>
    <n v="3.1345697063278499E-2"/>
    <s v="False"/>
    <n v="3.53841924667358"/>
  </r>
  <r>
    <s v="hogfeat_128_16_4_9"/>
    <x v="1"/>
    <x v="1"/>
    <x v="9"/>
    <x v="21"/>
    <s v="holdout"/>
    <n v="0.73172257825016596"/>
    <n v="0"/>
    <s v="False"/>
    <n v="0.19483995437622001"/>
  </r>
  <r>
    <s v="hogfeat_128_16_4_9"/>
    <x v="1"/>
    <x v="1"/>
    <x v="9"/>
    <x v="21"/>
    <s v="crossvalidation"/>
    <n v="0.72826620690442601"/>
    <n v="5.3831864543514997E-2"/>
    <s v="False"/>
    <n v="3.5271608829498202"/>
  </r>
  <r>
    <s v="hogfeat_128_16_4_9"/>
    <x v="1"/>
    <x v="1"/>
    <x v="10"/>
    <x v="22"/>
    <s v="holdout"/>
    <n v="0.73832236842105203"/>
    <n v="0"/>
    <s v="False"/>
    <n v="0.198795080184936"/>
  </r>
  <r>
    <s v="hogfeat_128_16_4_9"/>
    <x v="1"/>
    <x v="1"/>
    <x v="10"/>
    <x v="22"/>
    <s v="crossvalidation"/>
    <n v="0.75797509974802002"/>
    <n v="3.9457911640656901E-2"/>
    <s v="False"/>
    <n v="3.49532914161682"/>
  </r>
  <r>
    <s v="hogfeat_128_16_4_9"/>
    <x v="1"/>
    <x v="1"/>
    <x v="11"/>
    <x v="23"/>
    <s v="holdout"/>
    <n v="0.73205989980822594"/>
    <n v="0"/>
    <s v="False"/>
    <n v="0.202855110168457"/>
  </r>
  <r>
    <s v="hogfeat_128_16_4_9"/>
    <x v="1"/>
    <x v="1"/>
    <x v="11"/>
    <x v="23"/>
    <s v="crossvalidation"/>
    <n v="0.73689081577554605"/>
    <n v="5.1599008094743402E-2"/>
    <s v="False"/>
    <n v="3.54711413383483"/>
  </r>
  <r>
    <s v="hogfeat_128_16_4_9"/>
    <x v="2"/>
    <x v="2"/>
    <x v="0"/>
    <x v="24"/>
    <s v="holdout"/>
    <n v="0.76051797464291404"/>
    <n v="0"/>
    <s v="False"/>
    <n v="5.5978279113769496"/>
  </r>
  <r>
    <s v="hogfeat_128_16_4_9"/>
    <x v="2"/>
    <x v="2"/>
    <x v="0"/>
    <x v="24"/>
    <s v="crossvalidation"/>
    <n v="0.77957843883594502"/>
    <n v="2.3762206317954102E-2"/>
    <s v="False"/>
    <n v="42.099580049514699"/>
  </r>
  <r>
    <s v="hogfeat_128_16_4_9"/>
    <x v="2"/>
    <x v="2"/>
    <x v="1"/>
    <x v="25"/>
    <s v="holdout"/>
    <n v="0.71600207068473298"/>
    <n v="0"/>
    <s v="False"/>
    <n v="6.86759281158447"/>
  </r>
  <r>
    <s v="hogfeat_128_16_4_9"/>
    <x v="2"/>
    <x v="2"/>
    <x v="1"/>
    <x v="25"/>
    <s v="crossvalidation"/>
    <n v="0.77241727254839398"/>
    <n v="3.9092870590532902E-2"/>
    <s v="False"/>
    <n v="59.624083995818999"/>
  </r>
  <r>
    <s v="hogfeat_128_16_4_9"/>
    <x v="2"/>
    <x v="2"/>
    <x v="2"/>
    <x v="26"/>
    <s v="holdout"/>
    <n v="0.71677927927927898"/>
    <n v="0"/>
    <s v="False"/>
    <n v="7.1438028812408403"/>
  </r>
  <r>
    <s v="hogfeat_128_16_4_9"/>
    <x v="2"/>
    <x v="2"/>
    <x v="2"/>
    <x v="26"/>
    <s v="crossvalidation"/>
    <n v="0.76008047966857695"/>
    <n v="3.5703588567215498E-2"/>
    <s v="False"/>
    <n v="79.766031026840196"/>
  </r>
  <r>
    <s v="hogfeat_128_16_4_9"/>
    <x v="2"/>
    <x v="2"/>
    <x v="3"/>
    <x v="27"/>
    <s v="holdout"/>
    <n v="0.74791365751885697"/>
    <n v="0"/>
    <s v="False"/>
    <n v="8.8421478271484304"/>
  </r>
  <r>
    <s v="hogfeat_128_16_4_9"/>
    <x v="2"/>
    <x v="2"/>
    <x v="3"/>
    <x v="27"/>
    <s v="crossvalidation"/>
    <n v="0.77287486403315298"/>
    <n v="2.9972037404807399E-2"/>
    <s v="False"/>
    <n v="124.470983028411"/>
  </r>
  <r>
    <s v="hogfeat_128_16_4_9"/>
    <x v="3"/>
    <x v="3"/>
    <x v="0"/>
    <x v="24"/>
    <s v="holdout"/>
    <n v="0.76857591425967697"/>
    <n v="0"/>
    <s v="False"/>
    <n v="13.491574048995901"/>
  </r>
  <r>
    <s v="hogfeat_128_16_4_9"/>
    <x v="3"/>
    <x v="3"/>
    <x v="0"/>
    <x v="24"/>
    <s v="crossvalidation"/>
    <n v="0.78923880673889502"/>
    <n v="2.8984113855668799E-2"/>
    <s v="False"/>
    <n v="188.56224679946899"/>
  </r>
  <r>
    <s v="hogfeat_128_16_4_9"/>
    <x v="3"/>
    <x v="3"/>
    <x v="1"/>
    <x v="25"/>
    <s v="holdout"/>
    <n v="0.76302353960006297"/>
    <n v="0"/>
    <s v="False"/>
    <n v="18.346954822540201"/>
  </r>
  <r>
    <s v="hogfeat_128_16_4_9"/>
    <x v="3"/>
    <x v="3"/>
    <x v="1"/>
    <x v="25"/>
    <s v="crossvalidation"/>
    <n v="0.79663511329246195"/>
    <n v="3.5227806855600202E-2"/>
    <s v="False"/>
    <n v="296.46869707107498"/>
  </r>
  <r>
    <s v="hogfeat_128_16_4_9"/>
    <x v="3"/>
    <x v="3"/>
    <x v="2"/>
    <x v="26"/>
    <s v="holdout"/>
    <n v="0.77500000000000002"/>
    <n v="0"/>
    <s v="False"/>
    <n v="21.995641946792599"/>
  </r>
  <r>
    <s v="hogfeat_128_16_4_9"/>
    <x v="3"/>
    <x v="3"/>
    <x v="2"/>
    <x v="26"/>
    <s v="crossvalidation"/>
    <n v="0.78833163851542198"/>
    <n v="2.42769568774522E-2"/>
    <s v="False"/>
    <n v="391.93693494796702"/>
  </r>
  <r>
    <s v="hogfeat_128_16_4_9"/>
    <x v="3"/>
    <x v="3"/>
    <x v="3"/>
    <x v="27"/>
    <s v="holdout"/>
    <n v="0.74856138107416803"/>
    <n v="0"/>
    <s v="False"/>
    <n v="36.731286048889103"/>
  </r>
  <r>
    <s v="hogfeat_128_16_4_9"/>
    <x v="3"/>
    <x v="3"/>
    <x v="3"/>
    <x v="27"/>
    <s v="crossvalidation"/>
    <n v="0.784342572421036"/>
    <n v="2.8674141946696801E-2"/>
    <s v="False"/>
    <n v="642.58542418479897"/>
  </r>
  <r>
    <s v="hogfeat_256_32_2_9_pca"/>
    <x v="0"/>
    <x v="0"/>
    <x v="0"/>
    <x v="0"/>
    <s v="holdout"/>
    <n v="0.69562753036437197"/>
    <n v="0"/>
    <s v="False"/>
    <n v="4.8348903656005797E-2"/>
  </r>
  <r>
    <s v="hogfeat_256_32_2_9_pca"/>
    <x v="0"/>
    <x v="0"/>
    <x v="0"/>
    <x v="0"/>
    <s v="crossvalidation"/>
    <n v="0.713413037237425"/>
    <n v="5.2701146182724999E-2"/>
    <s v="False"/>
    <n v="0.726995229721069"/>
  </r>
  <r>
    <s v="hogfeat_256_32_2_9_pca"/>
    <x v="0"/>
    <x v="0"/>
    <x v="1"/>
    <x v="1"/>
    <s v="holdout"/>
    <n v="0.72345291155957203"/>
    <n v="0"/>
    <s v="False"/>
    <n v="0.107636928558349"/>
  </r>
  <r>
    <s v="hogfeat_256_32_2_9_pca"/>
    <x v="0"/>
    <x v="0"/>
    <x v="1"/>
    <x v="1"/>
    <s v="crossvalidation"/>
    <n v="0.72574075148147899"/>
    <n v="6.5655023544376995E-2"/>
    <s v="False"/>
    <n v="1.43661904335021"/>
  </r>
  <r>
    <s v="hogfeat_256_32_2_9_pca"/>
    <x v="0"/>
    <x v="0"/>
    <x v="2"/>
    <x v="2"/>
    <s v="holdout"/>
    <n v="0.72468974358974303"/>
    <n v="0"/>
    <s v="False"/>
    <n v="0.118421077728271"/>
  </r>
  <r>
    <s v="hogfeat_256_32_2_9_pca"/>
    <x v="0"/>
    <x v="0"/>
    <x v="2"/>
    <x v="2"/>
    <s v="crossvalidation"/>
    <n v="0.71932178417923498"/>
    <n v="5.0356134193862201E-2"/>
    <s v="False"/>
    <n v="2.3839919567108101"/>
  </r>
  <r>
    <s v="hogfeat_256_32_2_9_pca"/>
    <x v="0"/>
    <x v="0"/>
    <x v="3"/>
    <x v="3"/>
    <s v="holdout"/>
    <n v="0.79230480480480403"/>
    <n v="0"/>
    <s v="False"/>
    <n v="5.72779178619384E-2"/>
  </r>
  <r>
    <s v="hogfeat_256_32_2_9_pca"/>
    <x v="0"/>
    <x v="0"/>
    <x v="3"/>
    <x v="3"/>
    <s v="crossvalidation"/>
    <n v="0.74390288816923"/>
    <n v="3.6078031361296801E-2"/>
    <s v="False"/>
    <n v="0.66415905952453602"/>
  </r>
  <r>
    <s v="hogfeat_256_32_2_9_pca"/>
    <x v="0"/>
    <x v="0"/>
    <x v="4"/>
    <x v="4"/>
    <s v="holdout"/>
    <n v="0.75386846126010199"/>
    <n v="0"/>
    <s v="False"/>
    <n v="7.9393863677978502E-2"/>
  </r>
  <r>
    <s v="hogfeat_256_32_2_9_pca"/>
    <x v="0"/>
    <x v="0"/>
    <x v="4"/>
    <x v="4"/>
    <s v="crossvalidation"/>
    <n v="0.73629965235394801"/>
    <n v="4.3842259828461301E-2"/>
    <s v="False"/>
    <n v="1.10059213638305"/>
  </r>
  <r>
    <s v="hogfeat_256_32_2_9_pca"/>
    <x v="0"/>
    <x v="0"/>
    <x v="5"/>
    <x v="5"/>
    <s v="holdout"/>
    <n v="0.77464285714285697"/>
    <n v="0"/>
    <s v="False"/>
    <n v="0.10613894462585401"/>
  </r>
  <r>
    <s v="hogfeat_256_32_2_9_pca"/>
    <x v="0"/>
    <x v="0"/>
    <x v="5"/>
    <x v="5"/>
    <s v="crossvalidation"/>
    <n v="0.74495489798121495"/>
    <n v="3.1430790866731201E-2"/>
    <s v="False"/>
    <n v="1.5956122875213601"/>
  </r>
  <r>
    <s v="hogfeat_256_32_2_9_pca"/>
    <x v="0"/>
    <x v="0"/>
    <x v="6"/>
    <x v="6"/>
    <s v="holdout"/>
    <n v="0.73750000000000004"/>
    <n v="0"/>
    <s v="False"/>
    <n v="4.8519849777221603E-2"/>
  </r>
  <r>
    <s v="hogfeat_256_32_2_9_pca"/>
    <x v="0"/>
    <x v="0"/>
    <x v="6"/>
    <x v="6"/>
    <s v="crossvalidation"/>
    <n v="0.73622217158271397"/>
    <n v="3.4388580757828198E-2"/>
    <s v="False"/>
    <n v="0.52384877204894997"/>
  </r>
  <r>
    <s v="hogfeat_256_32_2_9_pca"/>
    <x v="0"/>
    <x v="0"/>
    <x v="7"/>
    <x v="7"/>
    <s v="holdout"/>
    <n v="0.73708333333333298"/>
    <n v="0"/>
    <s v="False"/>
    <n v="5.8273077011108398E-2"/>
  </r>
  <r>
    <s v="hogfeat_256_32_2_9_pca"/>
    <x v="0"/>
    <x v="0"/>
    <x v="7"/>
    <x v="7"/>
    <s v="crossvalidation"/>
    <n v="0.74604165536217804"/>
    <n v="3.5235861064021198E-2"/>
    <s v="False"/>
    <n v="0.73079109191894498"/>
  </r>
  <r>
    <s v="hogfeat_256_32_2_9_pca"/>
    <x v="0"/>
    <x v="0"/>
    <x v="8"/>
    <x v="8"/>
    <s v="holdout"/>
    <n v="0.75513192533205697"/>
    <n v="0"/>
    <s v="False"/>
    <n v="7.0625066757202107E-2"/>
  </r>
  <r>
    <s v="hogfeat_256_32_2_9_pca"/>
    <x v="0"/>
    <x v="0"/>
    <x v="8"/>
    <x v="8"/>
    <s v="crossvalidation"/>
    <n v="0.74363375759336703"/>
    <n v="3.8040704506792297E-2"/>
    <s v="False"/>
    <n v="0.96878385543823198"/>
  </r>
  <r>
    <s v="hogfeat_256_32_2_9_pca"/>
    <x v="0"/>
    <x v="0"/>
    <x v="9"/>
    <x v="9"/>
    <s v="holdout"/>
    <n v="0.76212301587301501"/>
    <n v="0"/>
    <s v="False"/>
    <n v="2.2602581977844198"/>
  </r>
  <r>
    <s v="hogfeat_256_32_2_9_pca"/>
    <x v="0"/>
    <x v="0"/>
    <x v="9"/>
    <x v="9"/>
    <s v="crossvalidation"/>
    <n v="0.79786107980446097"/>
    <n v="2.9842691677212801E-2"/>
    <s v="False"/>
    <n v="36.354346990585299"/>
  </r>
  <r>
    <s v="hogfeat_256_32_2_9_pca"/>
    <x v="0"/>
    <x v="0"/>
    <x v="10"/>
    <x v="10"/>
    <s v="holdout"/>
    <n v="0.77370524296675103"/>
    <n v="0"/>
    <s v="False"/>
    <n v="3.8473742008209202"/>
  </r>
  <r>
    <s v="hogfeat_256_32_2_9_pca"/>
    <x v="0"/>
    <x v="0"/>
    <x v="10"/>
    <x v="10"/>
    <s v="crossvalidation"/>
    <n v="0.801294747932351"/>
    <n v="3.1652088672602802E-2"/>
    <s v="False"/>
    <n v="72.447184085845905"/>
  </r>
  <r>
    <s v="hogfeat_256_32_2_9_pca"/>
    <x v="0"/>
    <x v="0"/>
    <x v="11"/>
    <x v="11"/>
    <s v="holdout"/>
    <n v="0.76857591425967697"/>
    <n v="0"/>
    <s v="False"/>
    <n v="5.8106110095977703"/>
  </r>
  <r>
    <s v="hogfeat_256_32_2_9_pca"/>
    <x v="0"/>
    <x v="0"/>
    <x v="11"/>
    <x v="11"/>
    <s v="crossvalidation"/>
    <n v="0.78739559841826301"/>
    <n v="2.5938662982039298E-2"/>
    <s v="False"/>
    <n v="108.975172042846"/>
  </r>
  <r>
    <s v="hogfeat_256_32_2_9_pca"/>
    <x v="1"/>
    <x v="1"/>
    <x v="0"/>
    <x v="12"/>
    <s v="holdout"/>
    <n v="0.76768926249451497"/>
    <n v="0"/>
    <s v="False"/>
    <n v="9.7685098648071206E-2"/>
  </r>
  <r>
    <s v="hogfeat_256_32_2_9_pca"/>
    <x v="1"/>
    <x v="1"/>
    <x v="0"/>
    <x v="12"/>
    <s v="crossvalidation"/>
    <n v="0.75586142677864498"/>
    <n v="3.8466984678273398E-2"/>
    <s v="False"/>
    <n v="1.6838517189025799"/>
  </r>
  <r>
    <s v="hogfeat_256_32_2_9_pca"/>
    <x v="1"/>
    <x v="1"/>
    <x v="1"/>
    <x v="13"/>
    <s v="holdout"/>
    <n v="0.786755454690237"/>
    <n v="0"/>
    <s v="False"/>
    <n v="9.4430923461913993E-2"/>
  </r>
  <r>
    <s v="hogfeat_256_32_2_9_pca"/>
    <x v="1"/>
    <x v="1"/>
    <x v="1"/>
    <x v="13"/>
    <s v="crossvalidation"/>
    <n v="0.76837481027715004"/>
    <n v="3.6748148599956801E-2"/>
    <s v="False"/>
    <n v="1.6991779804229701"/>
  </r>
  <r>
    <s v="hogfeat_256_32_2_9_pca"/>
    <x v="1"/>
    <x v="1"/>
    <x v="2"/>
    <x v="14"/>
    <s v="holdout"/>
    <n v="0.76166786112438201"/>
    <n v="0"/>
    <s v="False"/>
    <n v="9.8085880279541002E-2"/>
  </r>
  <r>
    <s v="hogfeat_256_32_2_9_pca"/>
    <x v="1"/>
    <x v="1"/>
    <x v="2"/>
    <x v="14"/>
    <s v="crossvalidation"/>
    <n v="0.75358237389175198"/>
    <n v="1.90095052755378E-2"/>
    <s v="False"/>
    <n v="1.7378518581390301"/>
  </r>
  <r>
    <s v="hogfeat_256_32_2_9_pca"/>
    <x v="1"/>
    <x v="1"/>
    <x v="3"/>
    <x v="15"/>
    <s v="holdout"/>
    <n v="0.77370524296675103"/>
    <n v="0"/>
    <s v="False"/>
    <n v="9.6842288970947196E-2"/>
  </r>
  <r>
    <s v="hogfeat_256_32_2_9_pca"/>
    <x v="1"/>
    <x v="1"/>
    <x v="3"/>
    <x v="15"/>
    <s v="crossvalidation"/>
    <n v="0.75562237729660198"/>
    <n v="2.1537383777948602E-2"/>
    <s v="False"/>
    <n v="1.6858267784118599"/>
  </r>
  <r>
    <s v="hogfeat_256_32_2_9_pca"/>
    <x v="1"/>
    <x v="1"/>
    <x v="4"/>
    <x v="16"/>
    <s v="holdout"/>
    <n v="0.805764835645295"/>
    <n v="0"/>
    <s v="False"/>
    <n v="9.1496944427490207E-2"/>
  </r>
  <r>
    <s v="hogfeat_256_32_2_9_pca"/>
    <x v="1"/>
    <x v="1"/>
    <x v="4"/>
    <x v="16"/>
    <s v="crossvalidation"/>
    <n v="0.75809798131313599"/>
    <n v="2.83899068535431E-2"/>
    <s v="False"/>
    <n v="1.69764375686645"/>
  </r>
  <r>
    <s v="hogfeat_256_32_2_9_pca"/>
    <x v="1"/>
    <x v="1"/>
    <x v="5"/>
    <x v="17"/>
    <s v="holdout"/>
    <n v="0.79323353471918601"/>
    <n v="0"/>
    <s v="False"/>
    <n v="9.6548795700073201E-2"/>
  </r>
  <r>
    <s v="hogfeat_256_32_2_9_pca"/>
    <x v="1"/>
    <x v="1"/>
    <x v="5"/>
    <x v="17"/>
    <s v="crossvalidation"/>
    <n v="0.75512867728379796"/>
    <n v="2.2430724964912201E-2"/>
    <s v="False"/>
    <n v="1.7248630523681601"/>
  </r>
  <r>
    <s v="hogfeat_256_32_2_9_pca"/>
    <x v="1"/>
    <x v="1"/>
    <x v="6"/>
    <x v="18"/>
    <s v="holdout"/>
    <n v="0.7353093403948"/>
    <n v="0"/>
    <s v="False"/>
    <n v="9.3585968017578097E-2"/>
  </r>
  <r>
    <s v="hogfeat_256_32_2_9_pca"/>
    <x v="1"/>
    <x v="1"/>
    <x v="6"/>
    <x v="18"/>
    <s v="crossvalidation"/>
    <n v="0.765952654739538"/>
    <n v="3.1551290832138798E-2"/>
    <s v="False"/>
    <n v="1.71377396583557"/>
  </r>
  <r>
    <s v="hogfeat_256_32_2_9_pca"/>
    <x v="1"/>
    <x v="1"/>
    <x v="7"/>
    <x v="19"/>
    <s v="holdout"/>
    <n v="0.76768926249451497"/>
    <n v="0"/>
    <s v="False"/>
    <n v="9.4913005828857394E-2"/>
  </r>
  <r>
    <s v="hogfeat_256_32_2_9_pca"/>
    <x v="1"/>
    <x v="1"/>
    <x v="7"/>
    <x v="19"/>
    <s v="crossvalidation"/>
    <n v="0.74624071651226898"/>
    <n v="2.6367560562410599E-2"/>
    <s v="False"/>
    <n v="1.7219421863555899"/>
  </r>
  <r>
    <s v="hogfeat_256_32_2_9_pca"/>
    <x v="1"/>
    <x v="1"/>
    <x v="8"/>
    <x v="20"/>
    <s v="holdout"/>
    <n v="0.77971721721721698"/>
    <n v="0"/>
    <s v="False"/>
    <n v="9.5341920852661105E-2"/>
  </r>
  <r>
    <s v="hogfeat_256_32_2_9_pca"/>
    <x v="1"/>
    <x v="1"/>
    <x v="8"/>
    <x v="20"/>
    <s v="crossvalidation"/>
    <n v="0.747900111174296"/>
    <n v="2.0728434151105399E-2"/>
    <s v="False"/>
    <n v="1.72134184837341"/>
  </r>
  <r>
    <s v="hogfeat_256_32_2_9_pca"/>
    <x v="1"/>
    <x v="1"/>
    <x v="9"/>
    <x v="21"/>
    <s v="holdout"/>
    <n v="0.76857591425967697"/>
    <n v="0"/>
    <s v="False"/>
    <n v="9.7032070159912095E-2"/>
  </r>
  <r>
    <s v="hogfeat_256_32_2_9_pca"/>
    <x v="1"/>
    <x v="1"/>
    <x v="9"/>
    <x v="21"/>
    <s v="crossvalidation"/>
    <n v="0.75680908521863799"/>
    <n v="2.9673221155936999E-2"/>
    <s v="False"/>
    <n v="1.7542698383331199"/>
  </r>
  <r>
    <s v="hogfeat_256_32_2_9_pca"/>
    <x v="1"/>
    <x v="1"/>
    <x v="10"/>
    <x v="22"/>
    <s v="holdout"/>
    <n v="0.76768926249451497"/>
    <n v="0"/>
    <s v="False"/>
    <n v="9.4715118408203097E-2"/>
  </r>
  <r>
    <s v="hogfeat_256_32_2_9_pca"/>
    <x v="1"/>
    <x v="1"/>
    <x v="10"/>
    <x v="22"/>
    <s v="crossvalidation"/>
    <n v="0.75344630015695802"/>
    <n v="3.5124072170549699E-2"/>
    <s v="False"/>
    <n v="1.6953310966491699"/>
  </r>
  <r>
    <s v="hogfeat_256_32_2_9_pca"/>
    <x v="1"/>
    <x v="1"/>
    <x v="11"/>
    <x v="23"/>
    <s v="holdout"/>
    <n v="0.773122291766971"/>
    <n v="0"/>
    <s v="False"/>
    <n v="9.42051410675048E-2"/>
  </r>
  <r>
    <s v="hogfeat_256_32_2_9_pca"/>
    <x v="1"/>
    <x v="1"/>
    <x v="11"/>
    <x v="23"/>
    <s v="crossvalidation"/>
    <n v="0.762801165762094"/>
    <n v="2.42183701335336E-2"/>
    <s v="False"/>
    <n v="1.7159569263458201"/>
  </r>
  <r>
    <s v="hogfeat_256_32_2_9_pca"/>
    <x v="2"/>
    <x v="2"/>
    <x v="0"/>
    <x v="24"/>
    <s v="holdout"/>
    <n v="0.75563963194085604"/>
    <n v="0"/>
    <s v="False"/>
    <n v="0.33285212516784601"/>
  </r>
  <r>
    <s v="hogfeat_256_32_2_9_pca"/>
    <x v="2"/>
    <x v="2"/>
    <x v="0"/>
    <x v="24"/>
    <s v="crossvalidation"/>
    <n v="0.78948320346054601"/>
    <n v="3.10888644597264E-2"/>
    <s v="False"/>
    <n v="6.5304689407348597"/>
  </r>
  <r>
    <s v="hogfeat_256_32_2_9_pca"/>
    <x v="2"/>
    <x v="2"/>
    <x v="1"/>
    <x v="25"/>
    <s v="holdout"/>
    <n v="0.77246131528046402"/>
    <n v="0"/>
    <s v="False"/>
    <n v="0.43401503562927202"/>
  </r>
  <r>
    <s v="hogfeat_256_32_2_9_pca"/>
    <x v="2"/>
    <x v="2"/>
    <x v="1"/>
    <x v="25"/>
    <s v="crossvalidation"/>
    <n v="0.78398564855861996"/>
    <n v="3.7738438518111199E-2"/>
    <s v="False"/>
    <n v="8.6181013584136892"/>
  </r>
  <r>
    <s v="hogfeat_256_32_2_9_pca"/>
    <x v="2"/>
    <x v="2"/>
    <x v="2"/>
    <x v="26"/>
    <s v="holdout"/>
    <n v="0.77911272164368095"/>
    <n v="0"/>
    <s v="False"/>
    <n v="0.62972903251647905"/>
  </r>
  <r>
    <s v="hogfeat_256_32_2_9_pca"/>
    <x v="2"/>
    <x v="2"/>
    <x v="2"/>
    <x v="26"/>
    <s v="crossvalidation"/>
    <n v="0.79300987672484202"/>
    <n v="3.31435724968175E-2"/>
    <s v="False"/>
    <n v="10.6062340736389"/>
  </r>
  <r>
    <s v="hogfeat_256_32_2_9_pca"/>
    <x v="2"/>
    <x v="2"/>
    <x v="3"/>
    <x v="27"/>
    <s v="holdout"/>
    <n v="0.77911272164368095"/>
    <n v="0"/>
    <s v="False"/>
    <n v="0.73909711837768499"/>
  </r>
  <r>
    <s v="hogfeat_256_32_2_9_pca"/>
    <x v="2"/>
    <x v="2"/>
    <x v="3"/>
    <x v="27"/>
    <s v="crossvalidation"/>
    <n v="0.790150510007539"/>
    <n v="3.3591022792191602E-2"/>
    <s v="False"/>
    <n v="12.8188729286193"/>
  </r>
  <r>
    <s v="hogfeat_256_32_2_9_pca"/>
    <x v="3"/>
    <x v="3"/>
    <x v="0"/>
    <x v="24"/>
    <s v="holdout"/>
    <n v="0.73001725100713899"/>
    <n v="0"/>
    <s v="False"/>
    <n v="1.7817311286926201"/>
  </r>
  <r>
    <s v="hogfeat_256_32_2_9_pca"/>
    <x v="3"/>
    <x v="3"/>
    <x v="0"/>
    <x v="24"/>
    <s v="crossvalidation"/>
    <n v="0.79506975401421398"/>
    <n v="4.0104249539057897E-2"/>
    <s v="False"/>
    <n v="30.572792053222599"/>
  </r>
  <r>
    <s v="hogfeat_256_32_2_9_pca"/>
    <x v="3"/>
    <x v="3"/>
    <x v="1"/>
    <x v="25"/>
    <s v="holdout"/>
    <n v="0.76279987373737301"/>
    <n v="0"/>
    <s v="False"/>
    <n v="2.4335880279540998"/>
  </r>
  <r>
    <s v="hogfeat_256_32_2_9_pca"/>
    <x v="3"/>
    <x v="3"/>
    <x v="1"/>
    <x v="25"/>
    <s v="crossvalidation"/>
    <n v="0.80026254101584404"/>
    <n v="3.4316163167058003E-2"/>
    <s v="False"/>
    <n v="42.287877798080402"/>
  </r>
  <r>
    <s v="hogfeat_256_32_2_9_pca"/>
    <x v="3"/>
    <x v="3"/>
    <x v="2"/>
    <x v="26"/>
    <s v="holdout"/>
    <n v="0.76166786112438201"/>
    <n v="0"/>
    <s v="False"/>
    <n v="2.5487780570983798"/>
  </r>
  <r>
    <s v="hogfeat_256_32_2_9_pca"/>
    <x v="3"/>
    <x v="3"/>
    <x v="2"/>
    <x v="26"/>
    <s v="crossvalidation"/>
    <n v="0.79286541502427699"/>
    <n v="3.4158060339424798E-2"/>
    <s v="False"/>
    <n v="52.673905849456702"/>
  </r>
  <r>
    <s v="hogfeat_256_32_2_9_pca"/>
    <x v="3"/>
    <x v="3"/>
    <x v="3"/>
    <x v="27"/>
    <s v="holdout"/>
    <n v="0.76857591425967697"/>
    <n v="0"/>
    <s v="False"/>
    <n v="3.55137991905212"/>
  </r>
  <r>
    <s v="hogfeat_256_32_2_9_pca"/>
    <x v="3"/>
    <x v="3"/>
    <x v="3"/>
    <x v="27"/>
    <s v="crossvalidation"/>
    <n v="0.79644845994395996"/>
    <n v="3.5140349037070098E-2"/>
    <s v="False"/>
    <n v="64.368307828903198"/>
  </r>
  <r>
    <s v="hogfeat_128_16_2_9_pca"/>
    <x v="0"/>
    <x v="0"/>
    <x v="0"/>
    <x v="0"/>
    <s v="holdout"/>
    <n v="0.67714316006300701"/>
    <n v="0"/>
    <s v="False"/>
    <n v="4.5845985412597601E-2"/>
  </r>
  <r>
    <s v="hogfeat_128_16_2_9_pca"/>
    <x v="0"/>
    <x v="0"/>
    <x v="0"/>
    <x v="0"/>
    <s v="crossvalidation"/>
    <n v="0.69273854796524104"/>
    <n v="3.7101606211600802E-2"/>
    <s v="False"/>
    <n v="0.68671607971191395"/>
  </r>
  <r>
    <s v="hogfeat_128_16_2_9_pca"/>
    <x v="0"/>
    <x v="0"/>
    <x v="1"/>
    <x v="1"/>
    <s v="holdout"/>
    <n v="0.69075781030115302"/>
    <n v="0"/>
    <s v="False"/>
    <n v="7.3474168777465806E-2"/>
  </r>
  <r>
    <s v="hogfeat_128_16_2_9_pca"/>
    <x v="0"/>
    <x v="0"/>
    <x v="1"/>
    <x v="1"/>
    <s v="crossvalidation"/>
    <n v="0.70306591146846098"/>
    <n v="3.7345157008343302E-2"/>
    <s v="False"/>
    <n v="1.3436589241027801"/>
  </r>
  <r>
    <s v="hogfeat_128_16_2_9_pca"/>
    <x v="0"/>
    <x v="0"/>
    <x v="2"/>
    <x v="2"/>
    <s v="holdout"/>
    <n v="0.67133301096067"/>
    <n v="0"/>
    <s v="False"/>
    <n v="9.5994949340820299E-2"/>
  </r>
  <r>
    <s v="hogfeat_128_16_2_9_pca"/>
    <x v="0"/>
    <x v="0"/>
    <x v="2"/>
    <x v="2"/>
    <s v="crossvalidation"/>
    <n v="0.70297038163522396"/>
    <n v="3.6943077833274302E-2"/>
    <s v="False"/>
    <n v="1.9624772071838299"/>
  </r>
  <r>
    <s v="hogfeat_128_16_2_9_pca"/>
    <x v="0"/>
    <x v="0"/>
    <x v="3"/>
    <x v="3"/>
    <s v="holdout"/>
    <n v="0.72534722222222203"/>
    <n v="0"/>
    <s v="False"/>
    <n v="5.8522939682006801E-2"/>
  </r>
  <r>
    <s v="hogfeat_128_16_2_9_pca"/>
    <x v="0"/>
    <x v="0"/>
    <x v="3"/>
    <x v="3"/>
    <s v="crossvalidation"/>
    <n v="0.72001169145312605"/>
    <n v="3.8204984311582202E-2"/>
    <s v="False"/>
    <n v="0.73965001106262196"/>
  </r>
  <r>
    <s v="hogfeat_128_16_2_9_pca"/>
    <x v="0"/>
    <x v="0"/>
    <x v="4"/>
    <x v="4"/>
    <s v="holdout"/>
    <n v="0.70419169169169105"/>
    <n v="0"/>
    <s v="False"/>
    <n v="7.6872825622558594E-2"/>
  </r>
  <r>
    <s v="hogfeat_128_16_2_9_pca"/>
    <x v="0"/>
    <x v="0"/>
    <x v="4"/>
    <x v="4"/>
    <s v="crossvalidation"/>
    <n v="0.73315645102775695"/>
    <n v="3.3401339122218897E-2"/>
    <s v="False"/>
    <n v="1.2511410713195801"/>
  </r>
  <r>
    <s v="hogfeat_128_16_2_9_pca"/>
    <x v="0"/>
    <x v="0"/>
    <x v="5"/>
    <x v="5"/>
    <s v="holdout"/>
    <n v="0.72456349206349202"/>
    <n v="0"/>
    <s v="False"/>
    <n v="0.11799812316894499"/>
  </r>
  <r>
    <s v="hogfeat_128_16_2_9_pca"/>
    <x v="0"/>
    <x v="0"/>
    <x v="5"/>
    <x v="5"/>
    <s v="crossvalidation"/>
    <n v="0.72894840316223097"/>
    <n v="2.8730190545751599E-2"/>
    <s v="False"/>
    <n v="1.78529405593872"/>
  </r>
  <r>
    <s v="hogfeat_128_16_2_9_pca"/>
    <x v="0"/>
    <x v="0"/>
    <x v="6"/>
    <x v="6"/>
    <s v="holdout"/>
    <n v="0.71340196078431295"/>
    <n v="0"/>
    <s v="False"/>
    <n v="4.5762062072753899E-2"/>
  </r>
  <r>
    <s v="hogfeat_128_16_2_9_pca"/>
    <x v="0"/>
    <x v="0"/>
    <x v="6"/>
    <x v="6"/>
    <s v="crossvalidation"/>
    <n v="0.68219068257264104"/>
    <n v="5.3001790797601797E-2"/>
    <s v="False"/>
    <n v="0.47783684730529702"/>
  </r>
  <r>
    <s v="hogfeat_128_16_2_9_pca"/>
    <x v="0"/>
    <x v="0"/>
    <x v="7"/>
    <x v="7"/>
    <s v="holdout"/>
    <n v="0.68221057884231495"/>
    <n v="0"/>
    <s v="False"/>
    <n v="4.5146942138671799E-2"/>
  </r>
  <r>
    <s v="hogfeat_128_16_2_9_pca"/>
    <x v="0"/>
    <x v="0"/>
    <x v="7"/>
    <x v="7"/>
    <s v="crossvalidation"/>
    <n v="0.67969990783226297"/>
    <n v="4.0580053977542101E-2"/>
    <s v="False"/>
    <n v="0.769264936447143"/>
  </r>
  <r>
    <s v="hogfeat_128_16_2_9_pca"/>
    <x v="0"/>
    <x v="0"/>
    <x v="8"/>
    <x v="8"/>
    <s v="holdout"/>
    <n v="0.707135239325271"/>
    <n v="0"/>
    <s v="False"/>
    <n v="6.8638086318969699E-2"/>
  </r>
  <r>
    <s v="hogfeat_128_16_2_9_pca"/>
    <x v="0"/>
    <x v="0"/>
    <x v="8"/>
    <x v="8"/>
    <s v="crossvalidation"/>
    <n v="0.67733573777059997"/>
    <n v="4.7439149415659097E-2"/>
    <s v="False"/>
    <n v="1.05660700798034"/>
  </r>
  <r>
    <s v="hogfeat_128_16_2_9_pca"/>
    <x v="0"/>
    <x v="0"/>
    <x v="9"/>
    <x v="9"/>
    <s v="holdout"/>
    <n v="0.75606650421966004"/>
    <n v="0"/>
    <s v="False"/>
    <n v="2.25770807266235"/>
  </r>
  <r>
    <s v="hogfeat_128_16_2_9_pca"/>
    <x v="0"/>
    <x v="0"/>
    <x v="9"/>
    <x v="9"/>
    <s v="crossvalidation"/>
    <n v="0.76840394890589403"/>
    <n v="4.2168334015888403E-2"/>
    <s v="False"/>
    <n v="35.786258935928302"/>
  </r>
  <r>
    <s v="hogfeat_128_16_2_9_pca"/>
    <x v="0"/>
    <x v="0"/>
    <x v="10"/>
    <x v="10"/>
    <s v="holdout"/>
    <n v="0.75606650421966004"/>
    <n v="0"/>
    <s v="False"/>
    <n v="3.9808700084686199"/>
  </r>
  <r>
    <s v="hogfeat_128_16_2_9_pca"/>
    <x v="0"/>
    <x v="0"/>
    <x v="10"/>
    <x v="10"/>
    <s v="crossvalidation"/>
    <n v="0.77988808618856897"/>
    <n v="3.5076507882314499E-2"/>
    <s v="False"/>
    <n v="70.551172018051105"/>
  </r>
  <r>
    <s v="hogfeat_128_16_2_9_pca"/>
    <x v="0"/>
    <x v="0"/>
    <x v="11"/>
    <x v="11"/>
    <s v="holdout"/>
    <n v="0.773122291766971"/>
    <n v="0"/>
    <s v="False"/>
    <n v="5.4660210609436"/>
  </r>
  <r>
    <s v="hogfeat_128_16_2_9_pca"/>
    <x v="0"/>
    <x v="0"/>
    <x v="11"/>
    <x v="11"/>
    <s v="crossvalidation"/>
    <n v="0.78608695980957699"/>
    <n v="3.2709001123597703E-2"/>
    <s v="False"/>
    <n v="104.48890280723499"/>
  </r>
  <r>
    <s v="hogfeat_128_16_2_9_pca"/>
    <x v="1"/>
    <x v="1"/>
    <x v="0"/>
    <x v="12"/>
    <s v="holdout"/>
    <n v="0.75078320802005005"/>
    <n v="0"/>
    <s v="False"/>
    <n v="9.9167823791503906E-2"/>
  </r>
  <r>
    <s v="hogfeat_128_16_2_9_pca"/>
    <x v="1"/>
    <x v="1"/>
    <x v="0"/>
    <x v="12"/>
    <s v="crossvalidation"/>
    <n v="0.73921935511725201"/>
    <n v="4.10908874628651E-2"/>
    <s v="False"/>
    <n v="1.6693298816680899"/>
  </r>
  <r>
    <s v="hogfeat_128_16_2_9_pca"/>
    <x v="1"/>
    <x v="1"/>
    <x v="1"/>
    <x v="13"/>
    <s v="holdout"/>
    <n v="0.756682266009852"/>
    <n v="0"/>
    <s v="False"/>
    <n v="9.0580940246582003E-2"/>
  </r>
  <r>
    <s v="hogfeat_128_16_2_9_pca"/>
    <x v="1"/>
    <x v="1"/>
    <x v="1"/>
    <x v="13"/>
    <s v="crossvalidation"/>
    <n v="0.73385119179871094"/>
    <n v="2.1745388501052999E-2"/>
    <s v="False"/>
    <n v="1.64963722229003"/>
  </r>
  <r>
    <s v="hogfeat_128_16_2_9_pca"/>
    <x v="1"/>
    <x v="1"/>
    <x v="2"/>
    <x v="14"/>
    <s v="holdout"/>
    <n v="0.69453275529865099"/>
    <n v="0"/>
    <s v="False"/>
    <n v="9.3343973159789997E-2"/>
  </r>
  <r>
    <s v="hogfeat_128_16_2_9_pca"/>
    <x v="1"/>
    <x v="1"/>
    <x v="2"/>
    <x v="14"/>
    <s v="crossvalidation"/>
    <n v="0.75426609575387105"/>
    <n v="2.2890545624428799E-2"/>
    <s v="False"/>
    <n v="1.69460678100585"/>
  </r>
  <r>
    <s v="hogfeat_128_16_2_9_pca"/>
    <x v="1"/>
    <x v="1"/>
    <x v="3"/>
    <x v="15"/>
    <s v="holdout"/>
    <n v="0.73205989980822594"/>
    <n v="0"/>
    <s v="False"/>
    <n v="9.0337991714477497E-2"/>
  </r>
  <r>
    <s v="hogfeat_128_16_2_9_pca"/>
    <x v="1"/>
    <x v="1"/>
    <x v="3"/>
    <x v="15"/>
    <s v="crossvalidation"/>
    <n v="0.73417599795338895"/>
    <n v="3.9720856810610598E-2"/>
    <s v="False"/>
    <n v="1.6654701232910101"/>
  </r>
  <r>
    <s v="hogfeat_128_16_2_9_pca"/>
    <x v="1"/>
    <x v="1"/>
    <x v="4"/>
    <x v="16"/>
    <s v="holdout"/>
    <n v="0.71340196078431295"/>
    <n v="0"/>
    <s v="False"/>
    <n v="0.10542416572570799"/>
  </r>
  <r>
    <s v="hogfeat_128_16_2_9_pca"/>
    <x v="1"/>
    <x v="1"/>
    <x v="4"/>
    <x v="16"/>
    <s v="crossvalidation"/>
    <n v="0.73881722961762697"/>
    <n v="4.3799145801750199E-2"/>
    <s v="False"/>
    <n v="1.6877129077911299"/>
  </r>
  <r>
    <s v="hogfeat_128_16_2_9_pca"/>
    <x v="1"/>
    <x v="1"/>
    <x v="5"/>
    <x v="17"/>
    <s v="holdout"/>
    <n v="0.72586274509803905"/>
    <n v="0"/>
    <s v="False"/>
    <n v="0.10135388374328599"/>
  </r>
  <r>
    <s v="hogfeat_128_16_2_9_pca"/>
    <x v="1"/>
    <x v="1"/>
    <x v="5"/>
    <x v="17"/>
    <s v="crossvalidation"/>
    <n v="0.74611168187060695"/>
    <n v="4.12682623569866E-2"/>
    <s v="False"/>
    <n v="1.7001709938049301"/>
  </r>
  <r>
    <s v="hogfeat_128_16_2_9_pca"/>
    <x v="1"/>
    <x v="1"/>
    <x v="6"/>
    <x v="18"/>
    <s v="holdout"/>
    <n v="0.71313375846323401"/>
    <n v="0"/>
    <s v="False"/>
    <n v="9.6768856048583901E-2"/>
  </r>
  <r>
    <s v="hogfeat_128_16_2_9_pca"/>
    <x v="1"/>
    <x v="1"/>
    <x v="6"/>
    <x v="18"/>
    <s v="crossvalidation"/>
    <n v="0.76179767105306395"/>
    <n v="2.44102236290356E-2"/>
    <s v="False"/>
    <n v="1.7375638484954801"/>
  </r>
  <r>
    <s v="hogfeat_128_16_2_9_pca"/>
    <x v="1"/>
    <x v="1"/>
    <x v="7"/>
    <x v="19"/>
    <s v="holdout"/>
    <n v="0.75698663605322003"/>
    <n v="0"/>
    <s v="False"/>
    <n v="9.1043949127197196E-2"/>
  </r>
  <r>
    <s v="hogfeat_128_16_2_9_pca"/>
    <x v="1"/>
    <x v="1"/>
    <x v="7"/>
    <x v="19"/>
    <s v="crossvalidation"/>
    <n v="0.73061342638972304"/>
    <n v="2.62915165499755E-2"/>
    <s v="False"/>
    <n v="1.70269179344177"/>
  </r>
  <r>
    <s v="hogfeat_128_16_2_9_pca"/>
    <x v="1"/>
    <x v="1"/>
    <x v="8"/>
    <x v="20"/>
    <s v="holdout"/>
    <n v="0.75606650421966004"/>
    <n v="0"/>
    <s v="False"/>
    <n v="9.2808961868286105E-2"/>
  </r>
  <r>
    <s v="hogfeat_128_16_2_9_pca"/>
    <x v="1"/>
    <x v="1"/>
    <x v="8"/>
    <x v="20"/>
    <s v="crossvalidation"/>
    <n v="0.74239775709673095"/>
    <n v="3.61072173000552E-2"/>
    <s v="False"/>
    <n v="1.7016739845275799"/>
  </r>
  <r>
    <s v="hogfeat_128_16_2_9_pca"/>
    <x v="1"/>
    <x v="1"/>
    <x v="9"/>
    <x v="21"/>
    <s v="holdout"/>
    <n v="0.75031565656565602"/>
    <n v="0"/>
    <s v="False"/>
    <n v="9.3857049942016602E-2"/>
  </r>
  <r>
    <s v="hogfeat_128_16_2_9_pca"/>
    <x v="1"/>
    <x v="1"/>
    <x v="9"/>
    <x v="21"/>
    <s v="crossvalidation"/>
    <n v="0.742324998639599"/>
    <n v="2.2291295962846298E-2"/>
    <s v="False"/>
    <n v="1.7151350975036599"/>
  </r>
  <r>
    <s v="hogfeat_128_16_2_9_pca"/>
    <x v="1"/>
    <x v="1"/>
    <x v="10"/>
    <x v="22"/>
    <s v="holdout"/>
    <n v="0.74392210896448197"/>
    <n v="0"/>
    <s v="False"/>
    <n v="0.106208086013793"/>
  </r>
  <r>
    <s v="hogfeat_128_16_2_9_pca"/>
    <x v="1"/>
    <x v="1"/>
    <x v="10"/>
    <x v="22"/>
    <s v="crossvalidation"/>
    <n v="0.73283359756788202"/>
    <n v="2.4088206942364701E-2"/>
    <s v="False"/>
    <n v="1.68401670455932"/>
  </r>
  <r>
    <s v="hogfeat_128_16_2_9_pca"/>
    <x v="1"/>
    <x v="1"/>
    <x v="11"/>
    <x v="23"/>
    <s v="holdout"/>
    <n v="0.72586274509803905"/>
    <n v="0"/>
    <s v="False"/>
    <n v="9.1409921646118095E-2"/>
  </r>
  <r>
    <s v="hogfeat_128_16_2_9_pca"/>
    <x v="1"/>
    <x v="1"/>
    <x v="11"/>
    <x v="23"/>
    <s v="crossvalidation"/>
    <n v="0.75087053055582997"/>
    <n v="2.7274137268986601E-2"/>
    <s v="False"/>
    <n v="1.6765949726104701"/>
  </r>
  <r>
    <s v="hogfeat_128_16_2_9_pca"/>
    <x v="2"/>
    <x v="2"/>
    <x v="0"/>
    <x v="24"/>
    <s v="holdout"/>
    <n v="0.76166786112438201"/>
    <n v="0"/>
    <s v="False"/>
    <n v="0.25856590270995999"/>
  </r>
  <r>
    <s v="hogfeat_128_16_2_9_pca"/>
    <x v="2"/>
    <x v="2"/>
    <x v="0"/>
    <x v="24"/>
    <s v="crossvalidation"/>
    <n v="0.77030009101132302"/>
    <n v="2.2703600984248999E-2"/>
    <s v="False"/>
    <n v="6.33147692680358"/>
  </r>
  <r>
    <s v="hogfeat_128_16_2_9_pca"/>
    <x v="2"/>
    <x v="2"/>
    <x v="1"/>
    <x v="25"/>
    <s v="holdout"/>
    <n v="0.74195445445445396"/>
    <n v="0"/>
    <s v="False"/>
    <n v="0.39177918434143"/>
  </r>
  <r>
    <s v="hogfeat_128_16_2_9_pca"/>
    <x v="2"/>
    <x v="2"/>
    <x v="1"/>
    <x v="25"/>
    <s v="crossvalidation"/>
    <n v="0.76317778771183598"/>
    <n v="4.0469595668455399E-2"/>
    <s v="False"/>
    <n v="8.3019108772277797"/>
  </r>
  <r>
    <s v="hogfeat_128_16_2_9_pca"/>
    <x v="2"/>
    <x v="2"/>
    <x v="2"/>
    <x v="26"/>
    <s v="holdout"/>
    <n v="0.75386846126010199"/>
    <n v="0"/>
    <s v="False"/>
    <n v="0.47295570373535101"/>
  </r>
  <r>
    <s v="hogfeat_128_16_2_9_pca"/>
    <x v="2"/>
    <x v="2"/>
    <x v="2"/>
    <x v="26"/>
    <s v="crossvalidation"/>
    <n v="0.75980587501346597"/>
    <n v="2.72059185164387E-2"/>
    <s v="False"/>
    <n v="10.2170121669769"/>
  </r>
  <r>
    <s v="hogfeat_128_16_2_9_pca"/>
    <x v="2"/>
    <x v="2"/>
    <x v="3"/>
    <x v="27"/>
    <s v="holdout"/>
    <n v="0.73453820116054103"/>
    <n v="0"/>
    <s v="False"/>
    <n v="0.64534306526184004"/>
  </r>
  <r>
    <s v="hogfeat_128_16_2_9_pca"/>
    <x v="2"/>
    <x v="2"/>
    <x v="3"/>
    <x v="27"/>
    <s v="crossvalidation"/>
    <n v="0.76690741172452104"/>
    <n v="2.7242161139649699E-2"/>
    <s v="False"/>
    <n v="12.5131022930145"/>
  </r>
  <r>
    <s v="hogfeat_128_16_2_9_pca"/>
    <x v="3"/>
    <x v="3"/>
    <x v="0"/>
    <x v="24"/>
    <s v="holdout"/>
    <n v="0.73658026755852801"/>
    <n v="0"/>
    <s v="False"/>
    <n v="1.4599418640136701"/>
  </r>
  <r>
    <s v="hogfeat_128_16_2_9_pca"/>
    <x v="3"/>
    <x v="3"/>
    <x v="0"/>
    <x v="24"/>
    <s v="crossvalidation"/>
    <n v="0.769031644647999"/>
    <n v="3.34027258296552E-2"/>
    <s v="False"/>
    <n v="29.053304195403999"/>
  </r>
  <r>
    <s v="hogfeat_128_16_2_9_pca"/>
    <x v="3"/>
    <x v="3"/>
    <x v="1"/>
    <x v="25"/>
    <s v="holdout"/>
    <n v="0.73104768413962495"/>
    <n v="0"/>
    <s v="False"/>
    <n v="2.0539069175720202"/>
  </r>
  <r>
    <s v="hogfeat_128_16_2_9_pca"/>
    <x v="3"/>
    <x v="3"/>
    <x v="1"/>
    <x v="25"/>
    <s v="crossvalidation"/>
    <n v="0.76608636720213397"/>
    <n v="3.4920743367868802E-2"/>
    <s v="False"/>
    <n v="39.580062866210902"/>
  </r>
  <r>
    <s v="hogfeat_128_16_2_9_pca"/>
    <x v="3"/>
    <x v="3"/>
    <x v="2"/>
    <x v="26"/>
    <s v="holdout"/>
    <n v="0.73750000000000004"/>
    <n v="0"/>
    <s v="False"/>
    <n v="2.7046761512756299"/>
  </r>
  <r>
    <s v="hogfeat_128_16_2_9_pca"/>
    <x v="3"/>
    <x v="3"/>
    <x v="2"/>
    <x v="26"/>
    <s v="crossvalidation"/>
    <n v="0.758858126348259"/>
    <n v="3.3487821575507899E-2"/>
    <s v="False"/>
    <n v="50.4809119701385"/>
  </r>
  <r>
    <s v="hogfeat_128_16_2_9_pca"/>
    <x v="3"/>
    <x v="3"/>
    <x v="3"/>
    <x v="27"/>
    <s v="holdout"/>
    <n v="0.73807864903164799"/>
    <n v="0"/>
    <s v="False"/>
    <n v="3.24545001983642"/>
  </r>
  <r>
    <s v="hogfeat_128_16_2_9_pca"/>
    <x v="3"/>
    <x v="3"/>
    <x v="3"/>
    <x v="27"/>
    <s v="crossvalidation"/>
    <n v="0.76407800986956798"/>
    <n v="2.9642558828760299E-2"/>
    <s v="False"/>
    <n v="65.056900262832599"/>
  </r>
  <r>
    <s v="hogfeat_128_32_2_9"/>
    <x v="0"/>
    <x v="0"/>
    <x v="0"/>
    <x v="0"/>
    <s v="holdout"/>
    <n v="0.54645833333333305"/>
    <n v="0"/>
    <s v="False"/>
    <n v="8.1060171127319294E-2"/>
  </r>
  <r>
    <s v="hogfeat_128_32_2_9"/>
    <x v="0"/>
    <x v="0"/>
    <x v="0"/>
    <x v="0"/>
    <s v="crossvalidation"/>
    <n v="0.52944848279650303"/>
    <n v="4.9086584980585303E-2"/>
    <s v="False"/>
    <n v="1.4864320755004801"/>
  </r>
  <r>
    <s v="hogfeat_128_32_2_9"/>
    <x v="0"/>
    <x v="0"/>
    <x v="1"/>
    <x v="1"/>
    <s v="holdout"/>
    <n v="0.56229685065891899"/>
    <n v="0"/>
    <s v="False"/>
    <n v="0.16223788261413499"/>
  </r>
  <r>
    <s v="hogfeat_128_32_2_9"/>
    <x v="0"/>
    <x v="0"/>
    <x v="1"/>
    <x v="1"/>
    <s v="crossvalidation"/>
    <n v="0.53185905791920096"/>
    <n v="4.5686273480560202E-2"/>
    <s v="False"/>
    <n v="2.8911323547363201"/>
  </r>
  <r>
    <s v="hogfeat_128_32_2_9"/>
    <x v="0"/>
    <x v="0"/>
    <x v="2"/>
    <x v="2"/>
    <s v="holdout"/>
    <n v="0.54051306090779705"/>
    <n v="0"/>
    <s v="False"/>
    <n v="0.18971490859985299"/>
  </r>
  <r>
    <s v="hogfeat_128_32_2_9"/>
    <x v="0"/>
    <x v="0"/>
    <x v="2"/>
    <x v="2"/>
    <s v="crossvalidation"/>
    <n v="0.52033217192120695"/>
    <n v="6.7551258722757496E-2"/>
    <s v="False"/>
    <n v="4.0464820861816397"/>
  </r>
  <r>
    <s v="hogfeat_128_32_2_9"/>
    <x v="0"/>
    <x v="0"/>
    <x v="3"/>
    <x v="3"/>
    <s v="holdout"/>
    <n v="0.73658026755852801"/>
    <n v="0"/>
    <s v="False"/>
    <n v="0.10400199890136699"/>
  </r>
  <r>
    <s v="hogfeat_128_32_2_9"/>
    <x v="0"/>
    <x v="0"/>
    <x v="3"/>
    <x v="3"/>
    <s v="crossvalidation"/>
    <n v="0.71493793196286604"/>
    <n v="5.6243694210666502E-2"/>
    <s v="False"/>
    <n v="1.4950928688049301"/>
  </r>
  <r>
    <s v="hogfeat_128_32_2_9"/>
    <x v="0"/>
    <x v="0"/>
    <x v="4"/>
    <x v="4"/>
    <s v="holdout"/>
    <n v="0.76249999999999996"/>
    <n v="0"/>
    <s v="False"/>
    <n v="0.19029617309570299"/>
  </r>
  <r>
    <s v="hogfeat_128_32_2_9"/>
    <x v="0"/>
    <x v="0"/>
    <x v="4"/>
    <x v="4"/>
    <s v="crossvalidation"/>
    <n v="0.73667690553419196"/>
    <n v="3.3875716798716503E-2"/>
    <s v="False"/>
    <n v="2.8033871650695801"/>
  </r>
  <r>
    <s v="hogfeat_128_32_2_9"/>
    <x v="0"/>
    <x v="0"/>
    <x v="5"/>
    <x v="5"/>
    <s v="holdout"/>
    <n v="0.73057703008863595"/>
    <n v="0"/>
    <s v="False"/>
    <n v="0.26782989501953097"/>
  </r>
  <r>
    <s v="hogfeat_128_32_2_9"/>
    <x v="0"/>
    <x v="0"/>
    <x v="5"/>
    <x v="5"/>
    <s v="crossvalidation"/>
    <n v="0.73262278457644203"/>
    <n v="3.47797931621096E-2"/>
    <s v="False"/>
    <n v="4.0573101043701101"/>
  </r>
  <r>
    <s v="hogfeat_128_32_2_9"/>
    <x v="0"/>
    <x v="0"/>
    <x v="6"/>
    <x v="6"/>
    <s v="holdout"/>
    <n v="0.74420443349753695"/>
    <n v="0"/>
    <s v="False"/>
    <n v="4.39679622650146E-2"/>
  </r>
  <r>
    <s v="hogfeat_128_32_2_9"/>
    <x v="0"/>
    <x v="0"/>
    <x v="6"/>
    <x v="6"/>
    <s v="crossvalidation"/>
    <n v="0.71140759732139103"/>
    <n v="2.3514187956500399E-2"/>
    <s v="False"/>
    <n v="0.47619032859802202"/>
  </r>
  <r>
    <s v="hogfeat_128_32_2_9"/>
    <x v="0"/>
    <x v="0"/>
    <x v="7"/>
    <x v="7"/>
    <s v="holdout"/>
    <n v="0.72499999999999998"/>
    <n v="0"/>
    <s v="False"/>
    <n v="4.6605110168456997E-2"/>
  </r>
  <r>
    <s v="hogfeat_128_32_2_9"/>
    <x v="0"/>
    <x v="0"/>
    <x v="7"/>
    <x v="7"/>
    <s v="crossvalidation"/>
    <n v="0.71260316764329101"/>
    <n v="2.71440074868248E-2"/>
    <s v="False"/>
    <n v="0.76919221878051702"/>
  </r>
  <r>
    <s v="hogfeat_128_32_2_9"/>
    <x v="0"/>
    <x v="0"/>
    <x v="8"/>
    <x v="8"/>
    <s v="holdout"/>
    <n v="0.73783143939393903"/>
    <n v="0"/>
    <s v="False"/>
    <n v="5.9029102325439398E-2"/>
  </r>
  <r>
    <s v="hogfeat_128_32_2_9"/>
    <x v="0"/>
    <x v="0"/>
    <x v="8"/>
    <x v="8"/>
    <s v="crossvalidation"/>
    <n v="0.71643654625102204"/>
    <n v="2.5339032660623501E-2"/>
    <s v="False"/>
    <n v="1.0843210220336901"/>
  </r>
  <r>
    <s v="hogfeat_128_32_2_9"/>
    <x v="0"/>
    <x v="0"/>
    <x v="9"/>
    <x v="9"/>
    <s v="holdout"/>
    <n v="0.76166786112438201"/>
    <n v="0"/>
    <s v="False"/>
    <n v="6.5184209346771196"/>
  </r>
  <r>
    <s v="hogfeat_128_32_2_9"/>
    <x v="0"/>
    <x v="0"/>
    <x v="9"/>
    <x v="9"/>
    <s v="crossvalidation"/>
    <n v="0.76970856634165696"/>
    <n v="4.29499556667274E-2"/>
    <s v="False"/>
    <n v="120.77451181411701"/>
  </r>
  <r>
    <s v="hogfeat_128_32_2_9"/>
    <x v="0"/>
    <x v="0"/>
    <x v="10"/>
    <x v="10"/>
    <s v="holdout"/>
    <n v="0.77500000000000002"/>
    <n v="0"/>
    <s v="False"/>
    <n v="14.3913509845733"/>
  </r>
  <r>
    <s v="hogfeat_128_32_2_9"/>
    <x v="0"/>
    <x v="0"/>
    <x v="10"/>
    <x v="10"/>
    <s v="crossvalidation"/>
    <n v="0.76599300842192197"/>
    <n v="3.0155956318879799E-2"/>
    <s v="False"/>
    <n v="257.69304108619599"/>
  </r>
  <r>
    <s v="hogfeat_128_32_2_9"/>
    <x v="0"/>
    <x v="0"/>
    <x v="11"/>
    <x v="11"/>
    <s v="holdout"/>
    <n v="0.76212301587301501"/>
    <n v="0"/>
    <s v="False"/>
    <n v="19.048495054244899"/>
  </r>
  <r>
    <s v="hogfeat_128_32_2_9"/>
    <x v="0"/>
    <x v="0"/>
    <x v="11"/>
    <x v="11"/>
    <s v="crossvalidation"/>
    <n v="0.76359271738385703"/>
    <n v="4.5872997774083102E-2"/>
    <s v="False"/>
    <n v="365.68959832191399"/>
  </r>
  <r>
    <s v="hogfeat_128_32_2_9"/>
    <x v="1"/>
    <x v="1"/>
    <x v="0"/>
    <x v="12"/>
    <s v="holdout"/>
    <n v="0.74456336455190197"/>
    <n v="0"/>
    <s v="False"/>
    <n v="9.7726106643676702E-2"/>
  </r>
  <r>
    <s v="hogfeat_128_32_2_9"/>
    <x v="1"/>
    <x v="1"/>
    <x v="0"/>
    <x v="12"/>
    <s v="crossvalidation"/>
    <n v="0.72005991780096601"/>
    <n v="3.9199011059878199E-2"/>
    <s v="False"/>
    <n v="1.7618281841278001"/>
  </r>
  <r>
    <s v="hogfeat_128_32_2_9"/>
    <x v="1"/>
    <x v="1"/>
    <x v="1"/>
    <x v="13"/>
    <s v="holdout"/>
    <n v="0.76324404761904696"/>
    <n v="0"/>
    <s v="False"/>
    <n v="0.105831861495971"/>
  </r>
  <r>
    <s v="hogfeat_128_32_2_9"/>
    <x v="1"/>
    <x v="1"/>
    <x v="1"/>
    <x v="13"/>
    <s v="crossvalidation"/>
    <n v="0.73663012475276402"/>
    <n v="3.3361677543321901E-2"/>
    <s v="False"/>
    <n v="1.7417511940002399"/>
  </r>
  <r>
    <s v="hogfeat_128_32_2_9"/>
    <x v="1"/>
    <x v="1"/>
    <x v="2"/>
    <x v="14"/>
    <s v="holdout"/>
    <n v="0.73823932092004296"/>
    <n v="0"/>
    <s v="False"/>
    <n v="9.8229169845580999E-2"/>
  </r>
  <r>
    <s v="hogfeat_128_32_2_9"/>
    <x v="1"/>
    <x v="1"/>
    <x v="2"/>
    <x v="14"/>
    <s v="crossvalidation"/>
    <n v="0.73511650341492296"/>
    <n v="4.6794988452001599E-2"/>
    <s v="False"/>
    <n v="1.73481392860412"/>
  </r>
  <r>
    <s v="hogfeat_128_32_2_9"/>
    <x v="1"/>
    <x v="1"/>
    <x v="3"/>
    <x v="15"/>
    <s v="holdout"/>
    <n v="0.73172257825016596"/>
    <n v="0"/>
    <s v="False"/>
    <n v="0.11432981491088801"/>
  </r>
  <r>
    <s v="hogfeat_128_32_2_9"/>
    <x v="1"/>
    <x v="1"/>
    <x v="3"/>
    <x v="15"/>
    <s v="crossvalidation"/>
    <n v="0.719339878454333"/>
    <n v="3.3876748438486003E-2"/>
    <s v="False"/>
    <n v="1.81929111480712"/>
  </r>
  <r>
    <s v="hogfeat_128_32_2_9"/>
    <x v="1"/>
    <x v="1"/>
    <x v="4"/>
    <x v="16"/>
    <s v="holdout"/>
    <n v="0.78816666666666602"/>
    <n v="0"/>
    <s v="False"/>
    <n v="0.100737810134887"/>
  </r>
  <r>
    <s v="hogfeat_128_32_2_9"/>
    <x v="1"/>
    <x v="1"/>
    <x v="4"/>
    <x v="16"/>
    <s v="crossvalidation"/>
    <n v="0.75666819747266401"/>
    <n v="2.17050186503269E-2"/>
    <s v="False"/>
    <n v="1.91003489494323"/>
  </r>
  <r>
    <s v="hogfeat_128_32_2_9"/>
    <x v="1"/>
    <x v="1"/>
    <x v="5"/>
    <x v="17"/>
    <s v="holdout"/>
    <n v="0.77570588235294102"/>
    <n v="0"/>
    <s v="False"/>
    <n v="0.118785142898559"/>
  </r>
  <r>
    <s v="hogfeat_128_32_2_9"/>
    <x v="1"/>
    <x v="1"/>
    <x v="5"/>
    <x v="17"/>
    <s v="crossvalidation"/>
    <n v="0.74285015049986303"/>
    <n v="4.3427785748401899E-2"/>
    <s v="False"/>
    <n v="1.8991107940673799"/>
  </r>
  <r>
    <s v="hogfeat_128_32_2_9"/>
    <x v="1"/>
    <x v="1"/>
    <x v="6"/>
    <x v="18"/>
    <s v="holdout"/>
    <n v="0.78190922077413805"/>
    <n v="0"/>
    <s v="False"/>
    <n v="0.107247114181518"/>
  </r>
  <r>
    <s v="hogfeat_128_32_2_9"/>
    <x v="1"/>
    <x v="1"/>
    <x v="6"/>
    <x v="18"/>
    <s v="crossvalidation"/>
    <n v="0.74164202447463701"/>
    <n v="3.24024082196398E-2"/>
    <s v="False"/>
    <n v="1.87561702728271"/>
  </r>
  <r>
    <s v="hogfeat_128_32_2_9"/>
    <x v="1"/>
    <x v="1"/>
    <x v="7"/>
    <x v="19"/>
    <s v="holdout"/>
    <n v="0.76324404761904696"/>
    <n v="0"/>
    <s v="False"/>
    <n v="0.114342212677001"/>
  </r>
  <r>
    <s v="hogfeat_128_32_2_9"/>
    <x v="1"/>
    <x v="1"/>
    <x v="7"/>
    <x v="19"/>
    <s v="crossvalidation"/>
    <n v="0.73426979904800804"/>
    <n v="3.8335203676577799E-2"/>
    <s v="False"/>
    <n v="1.9172658920287999"/>
  </r>
  <r>
    <s v="hogfeat_128_32_2_9"/>
    <x v="1"/>
    <x v="1"/>
    <x v="8"/>
    <x v="20"/>
    <s v="holdout"/>
    <n v="0.77570588235294102"/>
    <n v="0"/>
    <s v="False"/>
    <n v="0.11176872253417899"/>
  </r>
  <r>
    <s v="hogfeat_128_32_2_9"/>
    <x v="1"/>
    <x v="1"/>
    <x v="8"/>
    <x v="20"/>
    <s v="crossvalidation"/>
    <n v="0.74045680987078899"/>
    <n v="3.7377514552142999E-2"/>
    <s v="False"/>
    <n v="1.89076471328735"/>
  </r>
  <r>
    <s v="hogfeat_128_32_2_9"/>
    <x v="1"/>
    <x v="1"/>
    <x v="9"/>
    <x v="21"/>
    <s v="holdout"/>
    <n v="0.769484011912692"/>
    <n v="0"/>
    <s v="False"/>
    <n v="0.10382413864135701"/>
  </r>
  <r>
    <s v="hogfeat_128_32_2_9"/>
    <x v="1"/>
    <x v="1"/>
    <x v="9"/>
    <x v="21"/>
    <s v="crossvalidation"/>
    <n v="0.74902171751818103"/>
    <n v="2.9126206230212701E-2"/>
    <s v="False"/>
    <n v="1.87324094772338"/>
  </r>
  <r>
    <s v="hogfeat_128_32_2_9"/>
    <x v="1"/>
    <x v="1"/>
    <x v="10"/>
    <x v="22"/>
    <s v="holdout"/>
    <n v="0.74456336455190197"/>
    <n v="0"/>
    <s v="False"/>
    <n v="0.110067844390869"/>
  </r>
  <r>
    <s v="hogfeat_128_32_2_9"/>
    <x v="1"/>
    <x v="1"/>
    <x v="10"/>
    <x v="22"/>
    <s v="crossvalidation"/>
    <n v="0.75150352118022501"/>
    <n v="3.66019098060099E-2"/>
    <s v="False"/>
    <n v="1.91639971733093"/>
  </r>
  <r>
    <s v="hogfeat_128_32_2_9"/>
    <x v="1"/>
    <x v="1"/>
    <x v="11"/>
    <x v="23"/>
    <s v="holdout"/>
    <n v="0.78190922077413805"/>
    <n v="0"/>
    <s v="False"/>
    <n v="0.107958078384399"/>
  </r>
  <r>
    <s v="hogfeat_128_32_2_9"/>
    <x v="1"/>
    <x v="1"/>
    <x v="11"/>
    <x v="23"/>
    <s v="crossvalidation"/>
    <n v="0.76399744874714604"/>
    <n v="4.4116143673811697E-2"/>
    <s v="False"/>
    <n v="1.8800020217895499"/>
  </r>
  <r>
    <s v="hogfeat_128_32_2_9"/>
    <x v="2"/>
    <x v="2"/>
    <x v="0"/>
    <x v="24"/>
    <s v="holdout"/>
    <n v="0.777672084906043"/>
    <n v="0"/>
    <s v="False"/>
    <n v="0.96350121498107899"/>
  </r>
  <r>
    <s v="hogfeat_128_32_2_9"/>
    <x v="2"/>
    <x v="2"/>
    <x v="0"/>
    <x v="24"/>
    <s v="crossvalidation"/>
    <n v="0.769094352214439"/>
    <n v="4.4305992880422002E-2"/>
    <s v="False"/>
    <n v="20.7664041519165"/>
  </r>
  <r>
    <s v="hogfeat_128_32_2_9"/>
    <x v="2"/>
    <x v="2"/>
    <x v="1"/>
    <x v="25"/>
    <s v="holdout"/>
    <n v="0.73050115207373201"/>
    <n v="0"/>
    <s v="False"/>
    <n v="1.2203161716461099"/>
  </r>
  <r>
    <s v="hogfeat_128_32_2_9"/>
    <x v="2"/>
    <x v="2"/>
    <x v="1"/>
    <x v="25"/>
    <s v="crossvalidation"/>
    <n v="0.74352478059661298"/>
    <n v="3.5787550679175502E-2"/>
    <s v="False"/>
    <n v="28.3431429862976"/>
  </r>
  <r>
    <s v="hogfeat_128_32_2_9"/>
    <x v="2"/>
    <x v="2"/>
    <x v="2"/>
    <x v="26"/>
    <s v="holdout"/>
    <n v="0.71908603848259001"/>
    <n v="0"/>
    <s v="False"/>
    <n v="1.7195341587066599"/>
  </r>
  <r>
    <s v="hogfeat_128_32_2_9"/>
    <x v="2"/>
    <x v="2"/>
    <x v="2"/>
    <x v="26"/>
    <s v="crossvalidation"/>
    <n v="0.73251534907950799"/>
    <n v="4.22182949073917E-2"/>
    <s v="False"/>
    <n v="34.108970880508402"/>
  </r>
  <r>
    <s v="hogfeat_128_32_2_9"/>
    <x v="2"/>
    <x v="2"/>
    <x v="3"/>
    <x v="27"/>
    <s v="holdout"/>
    <n v="0.72310296371997895"/>
    <n v="0"/>
    <s v="False"/>
    <n v="2.1164691448211599"/>
  </r>
  <r>
    <s v="hogfeat_128_32_2_9"/>
    <x v="2"/>
    <x v="2"/>
    <x v="3"/>
    <x v="27"/>
    <s v="crossvalidation"/>
    <n v="0.74200050795938"/>
    <n v="3.8354678208148897E-2"/>
    <s v="False"/>
    <n v="48.141411066055298"/>
  </r>
  <r>
    <s v="hogfeat_128_32_2_9"/>
    <x v="3"/>
    <x v="3"/>
    <x v="0"/>
    <x v="24"/>
    <s v="holdout"/>
    <n v="0.79929925147316405"/>
    <n v="0"/>
    <s v="False"/>
    <n v="5.0876500606536803"/>
  </r>
  <r>
    <s v="hogfeat_128_32_2_9"/>
    <x v="3"/>
    <x v="3"/>
    <x v="0"/>
    <x v="24"/>
    <s v="crossvalidation"/>
    <n v="0.78256307565511296"/>
    <n v="3.7010297244183497E-2"/>
    <s v="False"/>
    <n v="95.710052728652897"/>
  </r>
  <r>
    <s v="hogfeat_128_32_2_9"/>
    <x v="3"/>
    <x v="3"/>
    <x v="1"/>
    <x v="25"/>
    <s v="holdout"/>
    <n v="0.78108532429969402"/>
    <n v="0"/>
    <s v="False"/>
    <n v="7.1937131881713796"/>
  </r>
  <r>
    <s v="hogfeat_128_32_2_9"/>
    <x v="3"/>
    <x v="3"/>
    <x v="1"/>
    <x v="25"/>
    <s v="crossvalidation"/>
    <n v="0.77482763960416201"/>
    <n v="4.1759935113486003E-2"/>
    <s v="False"/>
    <n v="140.15991878509499"/>
  </r>
  <r>
    <s v="hogfeat_128_32_2_9"/>
    <x v="3"/>
    <x v="3"/>
    <x v="2"/>
    <x v="26"/>
    <s v="holdout"/>
    <n v="0.74635627530364301"/>
    <n v="0"/>
    <s v="False"/>
    <n v="8.8475940227508492"/>
  </r>
  <r>
    <s v="hogfeat_128_32_2_9"/>
    <x v="3"/>
    <x v="3"/>
    <x v="2"/>
    <x v="26"/>
    <s v="crossvalidation"/>
    <n v="0.76854439962704302"/>
    <n v="2.9604873679371198E-2"/>
    <s v="False"/>
    <n v="172.48136401176399"/>
  </r>
  <r>
    <s v="hogfeat_128_32_2_9"/>
    <x v="3"/>
    <x v="3"/>
    <x v="3"/>
    <x v="27"/>
    <s v="holdout"/>
    <n v="0.80638013116826601"/>
    <n v="0"/>
    <s v="False"/>
    <n v="11.4512898921966"/>
  </r>
  <r>
    <s v="hogfeat_128_32_2_9"/>
    <x v="3"/>
    <x v="3"/>
    <x v="3"/>
    <x v="27"/>
    <s v="crossvalidation"/>
    <n v="0.75795045397263905"/>
    <n v="3.3132647060857001E-2"/>
    <s v="False"/>
    <n v="243.206264019012"/>
  </r>
  <r>
    <s v="lbpfeat_256_6_48"/>
    <x v="0"/>
    <x v="0"/>
    <x v="0"/>
    <x v="0"/>
    <s v="holdout"/>
    <n v="0.66292194092826995"/>
    <n v="0"/>
    <s v="False"/>
    <n v="3.57172489166259E-2"/>
  </r>
  <r>
    <s v="lbpfeat_256_6_48"/>
    <x v="0"/>
    <x v="0"/>
    <x v="0"/>
    <x v="0"/>
    <s v="crossvalidation"/>
    <n v="0.66435671846251898"/>
    <n v="5.10121995907089E-2"/>
    <s v="False"/>
    <n v="0.59433293342590299"/>
  </r>
  <r>
    <s v="lbpfeat_256_6_48"/>
    <x v="0"/>
    <x v="0"/>
    <x v="1"/>
    <x v="1"/>
    <s v="holdout"/>
    <n v="0.63236125787640396"/>
    <n v="0"/>
    <s v="False"/>
    <n v="6.2469959259033203E-2"/>
  </r>
  <r>
    <s v="lbpfeat_256_6_48"/>
    <x v="0"/>
    <x v="0"/>
    <x v="1"/>
    <x v="1"/>
    <s v="crossvalidation"/>
    <n v="0.66468909763851003"/>
    <n v="6.3806891039314195E-2"/>
    <s v="False"/>
    <n v="1.0688159465789699"/>
  </r>
  <r>
    <s v="lbpfeat_256_6_48"/>
    <x v="0"/>
    <x v="0"/>
    <x v="2"/>
    <x v="2"/>
    <s v="holdout"/>
    <n v="0.64465542521994101"/>
    <n v="0"/>
    <s v="False"/>
    <n v="8.1968069076538003E-2"/>
  </r>
  <r>
    <s v="lbpfeat_256_6_48"/>
    <x v="0"/>
    <x v="0"/>
    <x v="2"/>
    <x v="2"/>
    <s v="crossvalidation"/>
    <n v="0.67145657035867001"/>
    <n v="5.1420803910043403E-2"/>
    <s v="False"/>
    <n v="1.69872403144836"/>
  </r>
  <r>
    <s v="lbpfeat_256_6_48"/>
    <x v="0"/>
    <x v="0"/>
    <x v="3"/>
    <x v="3"/>
    <s v="holdout"/>
    <n v="0.76933773216031198"/>
    <n v="0"/>
    <s v="False"/>
    <n v="4.8806190490722601E-2"/>
  </r>
  <r>
    <s v="lbpfeat_256_6_48"/>
    <x v="0"/>
    <x v="0"/>
    <x v="3"/>
    <x v="3"/>
    <s v="crossvalidation"/>
    <n v="0.73395828133951602"/>
    <n v="6.6543187542759494E-2"/>
    <s v="False"/>
    <n v="0.49220395088195801"/>
  </r>
  <r>
    <s v="lbpfeat_256_6_48"/>
    <x v="0"/>
    <x v="0"/>
    <x v="4"/>
    <x v="4"/>
    <s v="holdout"/>
    <n v="0.72586274509803905"/>
    <n v="0"/>
    <s v="False"/>
    <n v="5.1856994628906201E-2"/>
  </r>
  <r>
    <s v="lbpfeat_256_6_48"/>
    <x v="0"/>
    <x v="0"/>
    <x v="4"/>
    <x v="4"/>
    <s v="crossvalidation"/>
    <n v="0.719752928171141"/>
    <n v="5.7444992528052102E-2"/>
    <s v="False"/>
    <n v="0.80285000801086404"/>
  </r>
  <r>
    <s v="lbpfeat_256_6_48"/>
    <x v="0"/>
    <x v="0"/>
    <x v="5"/>
    <x v="5"/>
    <s v="holdout"/>
    <n v="0.75070411516194602"/>
    <n v="0"/>
    <s v="False"/>
    <n v="7.8685998916625893E-2"/>
  </r>
  <r>
    <s v="lbpfeat_256_6_48"/>
    <x v="0"/>
    <x v="0"/>
    <x v="5"/>
    <x v="5"/>
    <s v="crossvalidation"/>
    <n v="0.73345131495927296"/>
    <n v="4.9814119626520603E-2"/>
    <s v="False"/>
    <n v="0.99992322921752896"/>
  </r>
  <r>
    <s v="lbpfeat_256_6_48"/>
    <x v="0"/>
    <x v="0"/>
    <x v="6"/>
    <x v="6"/>
    <s v="holdout"/>
    <n v="0.732062188468935"/>
    <n v="0"/>
    <s v="False"/>
    <n v="3.7029981613159103E-2"/>
  </r>
  <r>
    <s v="lbpfeat_256_6_48"/>
    <x v="0"/>
    <x v="0"/>
    <x v="6"/>
    <x v="6"/>
    <s v="crossvalidation"/>
    <n v="0.70613420857798703"/>
    <n v="4.1986457263653201E-2"/>
    <s v="False"/>
    <n v="0.43886590003967202"/>
  </r>
  <r>
    <s v="lbpfeat_256_6_48"/>
    <x v="0"/>
    <x v="0"/>
    <x v="7"/>
    <x v="7"/>
    <s v="holdout"/>
    <n v="0.732062188468935"/>
    <n v="0"/>
    <s v="False"/>
    <n v="4.7837257385253899E-2"/>
  </r>
  <r>
    <s v="lbpfeat_256_6_48"/>
    <x v="0"/>
    <x v="0"/>
    <x v="7"/>
    <x v="7"/>
    <s v="crossvalidation"/>
    <n v="0.70599474925217398"/>
    <n v="4.3413977475376203E-2"/>
    <s v="False"/>
    <n v="0.67463994026184004"/>
  </r>
  <r>
    <s v="lbpfeat_256_6_48"/>
    <x v="0"/>
    <x v="0"/>
    <x v="8"/>
    <x v="8"/>
    <s v="holdout"/>
    <n v="0.73832352941176405"/>
    <n v="0"/>
    <s v="False"/>
    <n v="6.6003084182739202E-2"/>
  </r>
  <r>
    <s v="lbpfeat_256_6_48"/>
    <x v="0"/>
    <x v="0"/>
    <x v="8"/>
    <x v="8"/>
    <s v="crossvalidation"/>
    <n v="0.70618092395559795"/>
    <n v="4.2597554522096501E-2"/>
    <s v="False"/>
    <n v="0.90801191329955999"/>
  </r>
  <r>
    <s v="lbpfeat_256_6_48"/>
    <x v="0"/>
    <x v="0"/>
    <x v="9"/>
    <x v="9"/>
    <s v="holdout"/>
    <n v="0.756069084729872"/>
    <n v="0"/>
    <s v="False"/>
    <n v="4.22503590583801"/>
  </r>
  <r>
    <s v="lbpfeat_256_6_48"/>
    <x v="0"/>
    <x v="0"/>
    <x v="9"/>
    <x v="9"/>
    <s v="crossvalidation"/>
    <n v="0.76429594892255204"/>
    <n v="6.1226613806049497E-2"/>
    <s v="False"/>
    <n v="85.277333021163898"/>
  </r>
  <r>
    <s v="lbpfeat_256_6_48"/>
    <x v="0"/>
    <x v="0"/>
    <x v="10"/>
    <x v="10"/>
    <s v="holdout"/>
    <n v="0.75686950146627496"/>
    <n v="0"/>
    <s v="False"/>
    <n v="8.6266500949859601"/>
  </r>
  <r>
    <s v="lbpfeat_256_6_48"/>
    <x v="0"/>
    <x v="0"/>
    <x v="10"/>
    <x v="10"/>
    <s v="crossvalidation"/>
    <n v="0.75395408877759196"/>
    <n v="5.5806527226545E-2"/>
    <s v="False"/>
    <n v="176.77395009994501"/>
  </r>
  <r>
    <s v="lbpfeat_256_6_48"/>
    <x v="0"/>
    <x v="0"/>
    <x v="11"/>
    <x v="11"/>
    <s v="holdout"/>
    <n v="0.73708977965306999"/>
    <n v="0"/>
    <s v="False"/>
    <n v="12.403882026672299"/>
  </r>
  <r>
    <s v="lbpfeat_256_6_48"/>
    <x v="0"/>
    <x v="0"/>
    <x v="11"/>
    <x v="11"/>
    <s v="crossvalidation"/>
    <n v="0.76034909380298299"/>
    <n v="5.64022996157501E-2"/>
    <s v="False"/>
    <n v="290.66512203216502"/>
  </r>
  <r>
    <s v="lbpfeat_256_6_48"/>
    <x v="1"/>
    <x v="1"/>
    <x v="0"/>
    <x v="12"/>
    <s v="holdout"/>
    <n v="0.80062745098039201"/>
    <n v="0"/>
    <s v="False"/>
    <n v="0.1008141040802"/>
  </r>
  <r>
    <s v="lbpfeat_256_6_48"/>
    <x v="1"/>
    <x v="1"/>
    <x v="0"/>
    <x v="12"/>
    <s v="crossvalidation"/>
    <n v="0.74878192565040302"/>
    <n v="5.7202235901526101E-2"/>
    <s v="False"/>
    <n v="1.6710000038146899"/>
  </r>
  <r>
    <s v="lbpfeat_256_6_48"/>
    <x v="1"/>
    <x v="1"/>
    <x v="1"/>
    <x v="13"/>
    <s v="holdout"/>
    <n v="0.78163465671525101"/>
    <n v="0"/>
    <s v="False"/>
    <n v="8.6993217468261705E-2"/>
  </r>
  <r>
    <s v="lbpfeat_256_6_48"/>
    <x v="1"/>
    <x v="1"/>
    <x v="1"/>
    <x v="13"/>
    <s v="crossvalidation"/>
    <n v="0.74387571511613304"/>
    <n v="5.91974474852048E-2"/>
    <s v="False"/>
    <n v="1.70701003074646"/>
  </r>
  <r>
    <s v="lbpfeat_256_6_48"/>
    <x v="1"/>
    <x v="1"/>
    <x v="2"/>
    <x v="14"/>
    <s v="holdout"/>
    <n v="0.76915663709897997"/>
    <n v="0"/>
    <s v="False"/>
    <n v="9.2985868453979395E-2"/>
  </r>
  <r>
    <s v="lbpfeat_256_6_48"/>
    <x v="1"/>
    <x v="1"/>
    <x v="2"/>
    <x v="14"/>
    <s v="crossvalidation"/>
    <n v="0.75522958472305701"/>
    <n v="5.5312534321194498E-2"/>
    <s v="False"/>
    <n v="1.6518981456756501"/>
  </r>
  <r>
    <s v="lbpfeat_256_6_48"/>
    <x v="1"/>
    <x v="1"/>
    <x v="3"/>
    <x v="15"/>
    <s v="holdout"/>
    <n v="0.75686950146627496"/>
    <n v="0"/>
    <s v="False"/>
    <n v="0.103775024414062"/>
  </r>
  <r>
    <s v="lbpfeat_256_6_48"/>
    <x v="1"/>
    <x v="1"/>
    <x v="3"/>
    <x v="15"/>
    <s v="crossvalidation"/>
    <n v="0.74135963652508896"/>
    <n v="6.18445332987341E-2"/>
    <s v="False"/>
    <n v="1.6625401973724301"/>
  </r>
  <r>
    <s v="lbpfeat_256_6_48"/>
    <x v="1"/>
    <x v="1"/>
    <x v="4"/>
    <x v="16"/>
    <s v="holdout"/>
    <n v="0.75031254883575504"/>
    <n v="0"/>
    <s v="False"/>
    <n v="8.9648246765136705E-2"/>
  </r>
  <r>
    <s v="lbpfeat_256_6_48"/>
    <x v="1"/>
    <x v="1"/>
    <x v="4"/>
    <x v="16"/>
    <s v="crossvalidation"/>
    <n v="0.75667572874009603"/>
    <n v="6.2230275078547899E-2"/>
    <s v="False"/>
    <n v="1.6845901012420601"/>
  </r>
  <r>
    <s v="lbpfeat_256_6_48"/>
    <x v="1"/>
    <x v="1"/>
    <x v="5"/>
    <x v="17"/>
    <s v="holdout"/>
    <n v="0.76933773216031198"/>
    <n v="0"/>
    <s v="False"/>
    <n v="9.2566013336181599E-2"/>
  </r>
  <r>
    <s v="lbpfeat_256_6_48"/>
    <x v="1"/>
    <x v="1"/>
    <x v="5"/>
    <x v="17"/>
    <s v="crossvalidation"/>
    <n v="0.74770491745905499"/>
    <n v="6.6827726662704201E-2"/>
    <s v="False"/>
    <n v="1.65250992774963"/>
  </r>
  <r>
    <s v="lbpfeat_256_6_48"/>
    <x v="1"/>
    <x v="1"/>
    <x v="6"/>
    <x v="18"/>
    <s v="holdout"/>
    <n v="0.76933773216031198"/>
    <n v="0"/>
    <s v="False"/>
    <n v="9.2720270156860296E-2"/>
  </r>
  <r>
    <s v="lbpfeat_256_6_48"/>
    <x v="1"/>
    <x v="1"/>
    <x v="6"/>
    <x v="18"/>
    <s v="crossvalidation"/>
    <n v="0.74897983792261902"/>
    <n v="5.6018362614971597E-2"/>
    <s v="False"/>
    <n v="1.6465580463409399"/>
  </r>
  <r>
    <s v="lbpfeat_256_6_48"/>
    <x v="1"/>
    <x v="1"/>
    <x v="7"/>
    <x v="19"/>
    <s v="holdout"/>
    <n v="0.80062656641604002"/>
    <n v="0"/>
    <s v="False"/>
    <n v="8.9278221130371094E-2"/>
  </r>
  <r>
    <s v="lbpfeat_256_6_48"/>
    <x v="1"/>
    <x v="1"/>
    <x v="7"/>
    <x v="19"/>
    <s v="crossvalidation"/>
    <n v="0.74913882924092101"/>
    <n v="5.1954515799320103E-2"/>
    <s v="False"/>
    <n v="1.70003008842468"/>
  </r>
  <r>
    <s v="lbpfeat_256_6_48"/>
    <x v="1"/>
    <x v="1"/>
    <x v="8"/>
    <x v="20"/>
    <s v="holdout"/>
    <n v="0.81308740601503704"/>
    <n v="0"/>
    <s v="False"/>
    <n v="9.04083251953125E-2"/>
  </r>
  <r>
    <s v="lbpfeat_256_6_48"/>
    <x v="1"/>
    <x v="1"/>
    <x v="8"/>
    <x v="20"/>
    <s v="crossvalidation"/>
    <n v="0.76274623657268004"/>
    <n v="7.09822544747606E-2"/>
    <s v="False"/>
    <n v="1.6991453170776301"/>
  </r>
  <r>
    <s v="lbpfeat_256_6_48"/>
    <x v="1"/>
    <x v="1"/>
    <x v="9"/>
    <x v="21"/>
    <s v="holdout"/>
    <n v="0.76915663709897997"/>
    <n v="0"/>
    <s v="False"/>
    <n v="9.9818944931030204E-2"/>
  </r>
  <r>
    <s v="lbpfeat_256_6_48"/>
    <x v="1"/>
    <x v="1"/>
    <x v="9"/>
    <x v="21"/>
    <s v="crossvalidation"/>
    <n v="0.74790077881649097"/>
    <n v="6.7033065777058101E-2"/>
    <s v="False"/>
    <n v="1.67876625061035"/>
  </r>
  <r>
    <s v="lbpfeat_256_6_48"/>
    <x v="1"/>
    <x v="1"/>
    <x v="10"/>
    <x v="22"/>
    <s v="holdout"/>
    <n v="0.80043777360850499"/>
    <n v="0"/>
    <s v="False"/>
    <n v="0.10555100440979"/>
  </r>
  <r>
    <s v="lbpfeat_256_6_48"/>
    <x v="1"/>
    <x v="1"/>
    <x v="10"/>
    <x v="22"/>
    <s v="crossvalidation"/>
    <n v="0.75769155034479896"/>
    <n v="6.2148073924490101E-2"/>
    <s v="False"/>
    <n v="1.68285703659057"/>
  </r>
  <r>
    <s v="lbpfeat_256_6_48"/>
    <x v="1"/>
    <x v="1"/>
    <x v="11"/>
    <x v="23"/>
    <s v="holdout"/>
    <n v="0.78190922077413805"/>
    <n v="0"/>
    <s v="False"/>
    <n v="9.9514245986938393E-2"/>
  </r>
  <r>
    <s v="lbpfeat_256_6_48"/>
    <x v="1"/>
    <x v="1"/>
    <x v="11"/>
    <x v="23"/>
    <s v="crossvalidation"/>
    <n v="0.74881999964514101"/>
    <n v="6.8066431416501594E-2"/>
    <s v="False"/>
    <n v="1.68076395988464"/>
  </r>
  <r>
    <s v="lbpfeat_256_6_48"/>
    <x v="2"/>
    <x v="2"/>
    <x v="0"/>
    <x v="24"/>
    <s v="holdout"/>
    <n v="0.75"/>
    <n v="0"/>
    <s v="False"/>
    <n v="0.55585479736328103"/>
  </r>
  <r>
    <s v="lbpfeat_256_6_48"/>
    <x v="2"/>
    <x v="2"/>
    <x v="0"/>
    <x v="24"/>
    <s v="crossvalidation"/>
    <n v="0.72798554666377302"/>
    <n v="4.83284804819165E-2"/>
    <s v="False"/>
    <n v="14.4566631317138"/>
  </r>
  <r>
    <s v="lbpfeat_256_6_48"/>
    <x v="2"/>
    <x v="2"/>
    <x v="1"/>
    <x v="25"/>
    <s v="holdout"/>
    <n v="0.73708977965306999"/>
    <n v="0"/>
    <s v="False"/>
    <n v="0.75894904136657704"/>
  </r>
  <r>
    <s v="lbpfeat_256_6_48"/>
    <x v="2"/>
    <x v="2"/>
    <x v="1"/>
    <x v="25"/>
    <s v="crossvalidation"/>
    <n v="0.725437474460353"/>
    <n v="5.20203603267725E-2"/>
    <s v="False"/>
    <n v="20.1163601875305"/>
  </r>
  <r>
    <s v="lbpfeat_256_6_48"/>
    <x v="2"/>
    <x v="2"/>
    <x v="2"/>
    <x v="26"/>
    <s v="holdout"/>
    <n v="0.73659709193245704"/>
    <n v="0"/>
    <s v="False"/>
    <n v="1.0268249511718699"/>
  </r>
  <r>
    <s v="lbpfeat_256_6_48"/>
    <x v="2"/>
    <x v="2"/>
    <x v="2"/>
    <x v="26"/>
    <s v="crossvalidation"/>
    <n v="0.73149804235502303"/>
    <n v="5.0004796849567303E-2"/>
    <s v="False"/>
    <n v="23.592782020568801"/>
  </r>
  <r>
    <s v="lbpfeat_256_6_48"/>
    <x v="2"/>
    <x v="2"/>
    <x v="3"/>
    <x v="27"/>
    <s v="holdout"/>
    <n v="0.74311916298698699"/>
    <n v="0"/>
    <s v="False"/>
    <n v="1.2293906211853001"/>
  </r>
  <r>
    <s v="lbpfeat_256_6_48"/>
    <x v="2"/>
    <x v="2"/>
    <x v="3"/>
    <x v="27"/>
    <s v="crossvalidation"/>
    <n v="0.73268497482594996"/>
    <n v="5.3292575871970498E-2"/>
    <s v="False"/>
    <n v="29.427833318710299"/>
  </r>
  <r>
    <s v="lbpfeat_256_6_48"/>
    <x v="3"/>
    <x v="3"/>
    <x v="0"/>
    <x v="24"/>
    <s v="holdout"/>
    <n v="0.73004154447702796"/>
    <n v="0"/>
    <s v="False"/>
    <n v="3.8474812507629301"/>
  </r>
  <r>
    <s v="lbpfeat_256_6_48"/>
    <x v="3"/>
    <x v="3"/>
    <x v="0"/>
    <x v="24"/>
    <s v="crossvalidation"/>
    <n v="0.75003143913409098"/>
    <n v="5.2069514276344001E-2"/>
    <s v="False"/>
    <n v="76.641353845596299"/>
  </r>
  <r>
    <s v="lbpfeat_256_6_48"/>
    <x v="3"/>
    <x v="3"/>
    <x v="1"/>
    <x v="25"/>
    <s v="holdout"/>
    <n v="0.75564993552420701"/>
    <n v="0"/>
    <s v="False"/>
    <n v="4.71512699127197"/>
  </r>
  <r>
    <s v="lbpfeat_256_6_48"/>
    <x v="3"/>
    <x v="3"/>
    <x v="1"/>
    <x v="25"/>
    <s v="crossvalidation"/>
    <n v="0.75232768159679697"/>
    <n v="5.6452705294060497E-2"/>
    <s v="False"/>
    <n v="98.570028066635103"/>
  </r>
  <r>
    <s v="lbpfeat_256_6_48"/>
    <x v="3"/>
    <x v="3"/>
    <x v="2"/>
    <x v="26"/>
    <s v="holdout"/>
    <n v="0.73602135815991199"/>
    <n v="0"/>
    <s v="False"/>
    <n v="5.6075420379638601"/>
  </r>
  <r>
    <s v="lbpfeat_256_6_48"/>
    <x v="3"/>
    <x v="3"/>
    <x v="2"/>
    <x v="26"/>
    <s v="crossvalidation"/>
    <n v="0.74822388507089699"/>
    <n v="6.3564129978566503E-2"/>
    <s v="False"/>
    <n v="124.894532203674"/>
  </r>
  <r>
    <s v="lbpfeat_256_6_48"/>
    <x v="3"/>
    <x v="3"/>
    <x v="3"/>
    <x v="27"/>
    <s v="holdout"/>
    <n v="0.76933773216031198"/>
    <n v="0"/>
    <s v="False"/>
    <n v="7.2826049327850297"/>
  </r>
  <r>
    <s v="lbpfeat_256_6_48"/>
    <x v="3"/>
    <x v="3"/>
    <x v="3"/>
    <x v="27"/>
    <s v="crossvalidation"/>
    <n v="0.75143751922449498"/>
    <n v="5.6957666835546997E-2"/>
    <s v="False"/>
    <n v="159.85038280487001"/>
  </r>
  <r>
    <s v="lbpfeat_256_12_96"/>
    <x v="0"/>
    <x v="0"/>
    <x v="0"/>
    <x v="0"/>
    <s v="holdout"/>
    <n v="0.65599486308058896"/>
    <n v="0"/>
    <s v="False"/>
    <n v="5.1287174224853502E-2"/>
  </r>
  <r>
    <s v="lbpfeat_256_12_96"/>
    <x v="0"/>
    <x v="0"/>
    <x v="0"/>
    <x v="0"/>
    <s v="crossvalidation"/>
    <n v="0.63575277201006897"/>
    <n v="5.32916811421692E-2"/>
    <s v="False"/>
    <n v="0.72694993019104004"/>
  </r>
  <r>
    <s v="lbpfeat_256_12_96"/>
    <x v="0"/>
    <x v="0"/>
    <x v="1"/>
    <x v="1"/>
    <s v="holdout"/>
    <n v="0.63625312695434599"/>
    <n v="0"/>
    <s v="False"/>
    <n v="7.8346014022827107E-2"/>
  </r>
  <r>
    <s v="lbpfeat_256_12_96"/>
    <x v="0"/>
    <x v="0"/>
    <x v="1"/>
    <x v="1"/>
    <s v="crossvalidation"/>
    <n v="0.65955495691890798"/>
    <n v="5.9355950714574703E-2"/>
    <s v="False"/>
    <n v="1.4585380554199201"/>
  </r>
  <r>
    <s v="lbpfeat_256_12_96"/>
    <x v="0"/>
    <x v="0"/>
    <x v="2"/>
    <x v="2"/>
    <s v="holdout"/>
    <n v="0.66197257383966202"/>
    <n v="0"/>
    <s v="False"/>
    <n v="0.124754905700683"/>
  </r>
  <r>
    <s v="lbpfeat_256_12_96"/>
    <x v="0"/>
    <x v="0"/>
    <x v="2"/>
    <x v="2"/>
    <s v="crossvalidation"/>
    <n v="0.659327260589053"/>
    <n v="5.7670537918243697E-2"/>
    <s v="False"/>
    <n v="2.06992316246032"/>
  </r>
  <r>
    <s v="lbpfeat_256_12_96"/>
    <x v="0"/>
    <x v="0"/>
    <x v="3"/>
    <x v="3"/>
    <s v="holdout"/>
    <n v="0.79411267633152205"/>
    <n v="0"/>
    <s v="False"/>
    <n v="5.7434797286987298E-2"/>
  </r>
  <r>
    <s v="lbpfeat_256_12_96"/>
    <x v="0"/>
    <x v="0"/>
    <x v="3"/>
    <x v="3"/>
    <s v="crossvalidation"/>
    <n v="0.74795256682709799"/>
    <n v="7.5980074307601203E-2"/>
    <s v="False"/>
    <n v="0.59210085868835405"/>
  </r>
  <r>
    <s v="lbpfeat_256_12_96"/>
    <x v="0"/>
    <x v="0"/>
    <x v="4"/>
    <x v="4"/>
    <s v="holdout"/>
    <n v="0.76944689053266002"/>
    <n v="0"/>
    <s v="False"/>
    <n v="7.5696945190429604E-2"/>
  </r>
  <r>
    <s v="lbpfeat_256_12_96"/>
    <x v="0"/>
    <x v="0"/>
    <x v="4"/>
    <x v="4"/>
    <s v="crossvalidation"/>
    <n v="0.75522271084972603"/>
    <n v="7.3132598943361493E-2"/>
    <s v="False"/>
    <n v="0.97729182243347101"/>
  </r>
  <r>
    <s v="lbpfeat_256_12_96"/>
    <x v="0"/>
    <x v="0"/>
    <x v="5"/>
    <x v="5"/>
    <s v="holdout"/>
    <n v="0.788165726817042"/>
    <n v="0"/>
    <s v="False"/>
    <n v="9.3859672546386705E-2"/>
  </r>
  <r>
    <s v="lbpfeat_256_12_96"/>
    <x v="0"/>
    <x v="0"/>
    <x v="5"/>
    <x v="5"/>
    <s v="crossvalidation"/>
    <n v="0.76168051531523895"/>
    <n v="4.4019188198059798E-2"/>
    <s v="False"/>
    <n v="1.3428587913513099"/>
  </r>
  <r>
    <s v="lbpfeat_256_12_96"/>
    <x v="0"/>
    <x v="0"/>
    <x v="6"/>
    <x v="6"/>
    <s v="holdout"/>
    <n v="0.73807864903164799"/>
    <n v="0"/>
    <s v="False"/>
    <n v="3.8248777389526298E-2"/>
  </r>
  <r>
    <s v="lbpfeat_256_12_96"/>
    <x v="0"/>
    <x v="0"/>
    <x v="6"/>
    <x v="6"/>
    <s v="crossvalidation"/>
    <n v="0.70483059714276197"/>
    <n v="4.9930623094922702E-2"/>
    <s v="False"/>
    <n v="0.45250177383422802"/>
  </r>
  <r>
    <s v="lbpfeat_256_12_96"/>
    <x v="0"/>
    <x v="0"/>
    <x v="7"/>
    <x v="7"/>
    <s v="holdout"/>
    <n v="0.73807864903164799"/>
    <n v="0"/>
    <s v="False"/>
    <n v="5.3011894226074198E-2"/>
  </r>
  <r>
    <s v="lbpfeat_256_12_96"/>
    <x v="0"/>
    <x v="0"/>
    <x v="7"/>
    <x v="7"/>
    <s v="crossvalidation"/>
    <n v="0.70876903840827299"/>
    <n v="5.1287361617793702E-2"/>
    <s v="False"/>
    <n v="0.69596695899963301"/>
  </r>
  <r>
    <s v="lbpfeat_256_12_96"/>
    <x v="0"/>
    <x v="0"/>
    <x v="8"/>
    <x v="8"/>
    <s v="holdout"/>
    <n v="0.74392210896448197"/>
    <n v="0"/>
    <s v="False"/>
    <n v="5.6380033493041902E-2"/>
  </r>
  <r>
    <s v="lbpfeat_256_12_96"/>
    <x v="0"/>
    <x v="0"/>
    <x v="8"/>
    <x v="8"/>
    <s v="crossvalidation"/>
    <n v="0.706470901890491"/>
    <n v="5.0080489574756797E-2"/>
    <s v="False"/>
    <n v="0.92824864387512196"/>
  </r>
  <r>
    <s v="lbpfeat_256_12_96"/>
    <x v="0"/>
    <x v="0"/>
    <x v="9"/>
    <x v="9"/>
    <s v="holdout"/>
    <n v="0.78796843016847695"/>
    <n v="0"/>
    <s v="False"/>
    <n v="3.86933994293212"/>
  </r>
  <r>
    <s v="lbpfeat_256_12_96"/>
    <x v="0"/>
    <x v="0"/>
    <x v="9"/>
    <x v="9"/>
    <s v="crossvalidation"/>
    <n v="0.73930595688105205"/>
    <n v="6.4533060045219595E-2"/>
    <s v="False"/>
    <n v="84.866808176040607"/>
  </r>
  <r>
    <s v="lbpfeat_256_12_96"/>
    <x v="0"/>
    <x v="0"/>
    <x v="10"/>
    <x v="10"/>
    <s v="holdout"/>
    <n v="0.75070411516194602"/>
    <n v="0"/>
    <s v="False"/>
    <n v="7.8560309410095197"/>
  </r>
  <r>
    <s v="lbpfeat_256_12_96"/>
    <x v="0"/>
    <x v="0"/>
    <x v="10"/>
    <x v="10"/>
    <s v="crossvalidation"/>
    <n v="0.73311808501573095"/>
    <n v="6.4718647658728298E-2"/>
    <s v="False"/>
    <n v="170.160725116729"/>
  </r>
  <r>
    <s v="lbpfeat_256_12_96"/>
    <x v="0"/>
    <x v="0"/>
    <x v="11"/>
    <x v="11"/>
    <s v="holdout"/>
    <n v="0.79411576354679703"/>
    <n v="0"/>
    <s v="False"/>
    <n v="11.3682122230529"/>
  </r>
  <r>
    <s v="lbpfeat_256_12_96"/>
    <x v="0"/>
    <x v="0"/>
    <x v="11"/>
    <x v="11"/>
    <s v="crossvalidation"/>
    <n v="0.73325384593602405"/>
    <n v="5.4445630699900799E-2"/>
    <s v="False"/>
    <n v="284.41003108024597"/>
  </r>
  <r>
    <s v="lbpfeat_256_12_96"/>
    <x v="1"/>
    <x v="1"/>
    <x v="0"/>
    <x v="12"/>
    <s v="holdout"/>
    <n v="0.75031254883575504"/>
    <n v="0"/>
    <s v="False"/>
    <n v="9.0173006057739202E-2"/>
  </r>
  <r>
    <s v="lbpfeat_256_12_96"/>
    <x v="1"/>
    <x v="1"/>
    <x v="0"/>
    <x v="12"/>
    <s v="crossvalidation"/>
    <n v="0.73696801682675805"/>
    <n v="5.8526338706033097E-2"/>
    <s v="False"/>
    <n v="1.6721889972686701"/>
  </r>
  <r>
    <s v="lbpfeat_256_12_96"/>
    <x v="1"/>
    <x v="1"/>
    <x v="1"/>
    <x v="13"/>
    <s v="holdout"/>
    <n v="0.72405409631019302"/>
    <n v="0"/>
    <s v="False"/>
    <n v="9.9433898925781194E-2"/>
  </r>
  <r>
    <s v="lbpfeat_256_12_96"/>
    <x v="1"/>
    <x v="1"/>
    <x v="1"/>
    <x v="13"/>
    <s v="crossvalidation"/>
    <n v="0.73662415971785999"/>
    <n v="5.5035003976433503E-2"/>
    <s v="False"/>
    <n v="1.6793637275695801"/>
  </r>
  <r>
    <s v="lbpfeat_256_12_96"/>
    <x v="1"/>
    <x v="1"/>
    <x v="2"/>
    <x v="14"/>
    <s v="holdout"/>
    <n v="0.76249999999999996"/>
    <n v="0"/>
    <s v="False"/>
    <n v="0.10009217262268"/>
  </r>
  <r>
    <s v="lbpfeat_256_12_96"/>
    <x v="1"/>
    <x v="1"/>
    <x v="2"/>
    <x v="14"/>
    <s v="crossvalidation"/>
    <n v="0.74787151362057602"/>
    <n v="5.6516168387085702E-2"/>
    <s v="False"/>
    <n v="1.7037491798400799"/>
  </r>
  <r>
    <s v="lbpfeat_256_12_96"/>
    <x v="1"/>
    <x v="1"/>
    <x v="3"/>
    <x v="15"/>
    <s v="holdout"/>
    <n v="0.77549249530956799"/>
    <n v="0"/>
    <s v="False"/>
    <n v="9.2067241668701102E-2"/>
  </r>
  <r>
    <s v="lbpfeat_256_12_96"/>
    <x v="1"/>
    <x v="1"/>
    <x v="3"/>
    <x v="15"/>
    <s v="crossvalidation"/>
    <n v="0.73702057352273997"/>
    <n v="5.6380205465813599E-2"/>
    <s v="False"/>
    <n v="1.65982890129089"/>
  </r>
  <r>
    <s v="lbpfeat_256_12_96"/>
    <x v="1"/>
    <x v="1"/>
    <x v="4"/>
    <x v="16"/>
    <s v="holdout"/>
    <n v="0.78796513445903604"/>
    <n v="0"/>
    <s v="False"/>
    <n v="9.1492176055908203E-2"/>
  </r>
  <r>
    <s v="lbpfeat_256_12_96"/>
    <x v="1"/>
    <x v="1"/>
    <x v="4"/>
    <x v="16"/>
    <s v="crossvalidation"/>
    <n v="0.75437748968784402"/>
    <n v="5.9821189045745599E-2"/>
    <s v="False"/>
    <n v="1.68425393104553"/>
  </r>
  <r>
    <s v="lbpfeat_256_12_96"/>
    <x v="1"/>
    <x v="1"/>
    <x v="5"/>
    <x v="17"/>
    <s v="holdout"/>
    <n v="0.75641187155748202"/>
    <n v="0"/>
    <s v="False"/>
    <n v="9.3258142471313393E-2"/>
  </r>
  <r>
    <s v="lbpfeat_256_12_96"/>
    <x v="1"/>
    <x v="1"/>
    <x v="5"/>
    <x v="17"/>
    <s v="crossvalidation"/>
    <n v="0.751559319839462"/>
    <n v="5.90753898748069E-2"/>
    <s v="False"/>
    <n v="1.74086213111877"/>
  </r>
  <r>
    <s v="lbpfeat_256_12_96"/>
    <x v="1"/>
    <x v="1"/>
    <x v="6"/>
    <x v="18"/>
    <s v="holdout"/>
    <n v="0.78190922077413805"/>
    <n v="0"/>
    <s v="False"/>
    <n v="0.102297067642211"/>
  </r>
  <r>
    <s v="lbpfeat_256_12_96"/>
    <x v="1"/>
    <x v="1"/>
    <x v="6"/>
    <x v="18"/>
    <s v="crossvalidation"/>
    <n v="0.76047195021466596"/>
    <n v="7.4906964607131199E-2"/>
    <s v="False"/>
    <n v="1.6782741546630799"/>
  </r>
  <r>
    <s v="lbpfeat_256_12_96"/>
    <x v="1"/>
    <x v="1"/>
    <x v="7"/>
    <x v="19"/>
    <s v="holdout"/>
    <n v="0.813088235294117"/>
    <n v="0"/>
    <s v="False"/>
    <n v="9.1415166854858398E-2"/>
  </r>
  <r>
    <s v="lbpfeat_256_12_96"/>
    <x v="1"/>
    <x v="1"/>
    <x v="7"/>
    <x v="19"/>
    <s v="crossvalidation"/>
    <n v="0.75660944111144102"/>
    <n v="6.0614287807657298E-2"/>
    <s v="False"/>
    <n v="1.7174336910247801"/>
  </r>
  <r>
    <s v="lbpfeat_256_12_96"/>
    <x v="1"/>
    <x v="1"/>
    <x v="8"/>
    <x v="20"/>
    <s v="holdout"/>
    <n v="0.76915663709897997"/>
    <n v="0"/>
    <s v="False"/>
    <n v="9.3884944915771401E-2"/>
  </r>
  <r>
    <s v="lbpfeat_256_12_96"/>
    <x v="1"/>
    <x v="1"/>
    <x v="8"/>
    <x v="20"/>
    <s v="crossvalidation"/>
    <n v="0.74907115072000796"/>
    <n v="5.9819457984771798E-2"/>
    <s v="False"/>
    <n v="1.6785259246826101"/>
  </r>
  <r>
    <s v="lbpfeat_256_12_96"/>
    <x v="1"/>
    <x v="1"/>
    <x v="9"/>
    <x v="21"/>
    <s v="holdout"/>
    <n v="0.78190922077413805"/>
    <n v="0"/>
    <s v="False"/>
    <n v="9.4269275665283203E-2"/>
  </r>
  <r>
    <s v="lbpfeat_256_12_96"/>
    <x v="1"/>
    <x v="1"/>
    <x v="9"/>
    <x v="21"/>
    <s v="crossvalidation"/>
    <n v="0.75295153666304004"/>
    <n v="6.3219354329022301E-2"/>
    <s v="False"/>
    <n v="1.6806378364562899"/>
  </r>
  <r>
    <s v="lbpfeat_256_12_96"/>
    <x v="1"/>
    <x v="1"/>
    <x v="10"/>
    <x v="22"/>
    <s v="holdout"/>
    <n v="0.78190922077413805"/>
    <n v="0"/>
    <s v="False"/>
    <n v="9.62851047515869E-2"/>
  </r>
  <r>
    <s v="lbpfeat_256_12_96"/>
    <x v="1"/>
    <x v="1"/>
    <x v="10"/>
    <x v="22"/>
    <s v="crossvalidation"/>
    <n v="0.76050831099023097"/>
    <n v="6.2355322859933303E-2"/>
    <s v="False"/>
    <n v="1.7066011428832999"/>
  </r>
  <r>
    <s v="lbpfeat_256_12_96"/>
    <x v="1"/>
    <x v="1"/>
    <x v="11"/>
    <x v="23"/>
    <s v="holdout"/>
    <n v="0.78163465671525101"/>
    <n v="0"/>
    <s v="False"/>
    <n v="9.4431161880493095E-2"/>
  </r>
  <r>
    <s v="lbpfeat_256_12_96"/>
    <x v="1"/>
    <x v="1"/>
    <x v="11"/>
    <x v="23"/>
    <s v="crossvalidation"/>
    <n v="0.74786385257638699"/>
    <n v="6.3470172003168304E-2"/>
    <s v="False"/>
    <n v="1.7480871677398599"/>
  </r>
  <r>
    <s v="lbpfeat_256_12_96"/>
    <x v="2"/>
    <x v="2"/>
    <x v="0"/>
    <x v="24"/>
    <s v="holdout"/>
    <n v="0.67821476155021698"/>
    <n v="0"/>
    <s v="False"/>
    <n v="0.36090803146362299"/>
  </r>
  <r>
    <s v="lbpfeat_256_12_96"/>
    <x v="2"/>
    <x v="2"/>
    <x v="0"/>
    <x v="24"/>
    <s v="crossvalidation"/>
    <n v="0.73653992868142404"/>
    <n v="6.1634903236926997E-2"/>
    <s v="False"/>
    <n v="17.876583099365199"/>
  </r>
  <r>
    <s v="lbpfeat_256_12_96"/>
    <x v="2"/>
    <x v="2"/>
    <x v="1"/>
    <x v="25"/>
    <s v="holdout"/>
    <n v="0.70492913000977497"/>
    <n v="0"/>
    <s v="False"/>
    <n v="0.56942009925842196"/>
  </r>
  <r>
    <s v="lbpfeat_256_12_96"/>
    <x v="2"/>
    <x v="2"/>
    <x v="1"/>
    <x v="25"/>
    <s v="crossvalidation"/>
    <n v="0.74185305985454897"/>
    <n v="6.1351418211344599E-2"/>
    <s v="False"/>
    <n v="21.3935580253601"/>
  </r>
  <r>
    <s v="lbpfeat_256_12_96"/>
    <x v="2"/>
    <x v="2"/>
    <x v="2"/>
    <x v="26"/>
    <s v="holdout"/>
    <n v="0.71250000000000002"/>
    <n v="0"/>
    <s v="False"/>
    <n v="0.830336093902587"/>
  </r>
  <r>
    <s v="lbpfeat_256_12_96"/>
    <x v="2"/>
    <x v="2"/>
    <x v="2"/>
    <x v="26"/>
    <s v="crossvalidation"/>
    <n v="0.74050604728935399"/>
    <n v="6.0197665487601297E-2"/>
    <s v="False"/>
    <n v="27.1019027233123"/>
  </r>
  <r>
    <s v="lbpfeat_256_12_96"/>
    <x v="2"/>
    <x v="2"/>
    <x v="3"/>
    <x v="27"/>
    <s v="holdout"/>
    <n v="0.72534380371933105"/>
    <n v="0"/>
    <s v="False"/>
    <n v="1.07016801834106"/>
  </r>
  <r>
    <s v="lbpfeat_256_12_96"/>
    <x v="2"/>
    <x v="2"/>
    <x v="3"/>
    <x v="27"/>
    <s v="crossvalidation"/>
    <n v="0.73793704190294496"/>
    <n v="6.2220506682268702E-2"/>
    <s v="False"/>
    <n v="35.302088022231999"/>
  </r>
  <r>
    <s v="lbpfeat_256_12_96"/>
    <x v="3"/>
    <x v="3"/>
    <x v="0"/>
    <x v="24"/>
    <s v="holdout"/>
    <n v="0.73782817627754305"/>
    <n v="0"/>
    <s v="False"/>
    <n v="4.7672030925750697"/>
  </r>
  <r>
    <s v="lbpfeat_256_12_96"/>
    <x v="3"/>
    <x v="3"/>
    <x v="0"/>
    <x v="24"/>
    <s v="crossvalidation"/>
    <n v="0.738763478471677"/>
    <n v="5.8566985906041001E-2"/>
    <s v="False"/>
    <n v="94.405178070068303"/>
  </r>
  <r>
    <s v="lbpfeat_256_12_96"/>
    <x v="3"/>
    <x v="3"/>
    <x v="1"/>
    <x v="25"/>
    <s v="holdout"/>
    <n v="0.78139692228675195"/>
    <n v="0"/>
    <s v="False"/>
    <n v="5.6767838001251203"/>
  </r>
  <r>
    <s v="lbpfeat_256_12_96"/>
    <x v="3"/>
    <x v="3"/>
    <x v="1"/>
    <x v="25"/>
    <s v="crossvalidation"/>
    <n v="0.73322389719007297"/>
    <n v="6.7171722030475806E-2"/>
    <s v="False"/>
    <n v="120.732791900634"/>
  </r>
  <r>
    <s v="lbpfeat_256_12_96"/>
    <x v="3"/>
    <x v="3"/>
    <x v="2"/>
    <x v="26"/>
    <s v="holdout"/>
    <n v="0.75054721701063098"/>
    <n v="0"/>
    <s v="False"/>
    <n v="5.7520101070403999"/>
  </r>
  <r>
    <s v="lbpfeat_256_12_96"/>
    <x v="3"/>
    <x v="3"/>
    <x v="2"/>
    <x v="26"/>
    <s v="crossvalidation"/>
    <n v="0.74030311235480195"/>
    <n v="6.7969864578066794E-2"/>
    <s v="False"/>
    <n v="145.109240055084"/>
  </r>
  <r>
    <s v="lbpfeat_256_12_96"/>
    <x v="3"/>
    <x v="3"/>
    <x v="3"/>
    <x v="27"/>
    <s v="holdout"/>
    <n v="0.73058839044976698"/>
    <n v="0"/>
    <s v="False"/>
    <n v="8.4529781341552699"/>
  </r>
  <r>
    <s v="lbpfeat_256_12_96"/>
    <x v="3"/>
    <x v="3"/>
    <x v="3"/>
    <x v="27"/>
    <s v="crossvalidation"/>
    <n v="0.74053186804464599"/>
    <n v="7.3019569180085703E-2"/>
    <s v="False"/>
    <n v="193.309192895889"/>
  </r>
  <r>
    <s v="hogfeat_256_32_2_9"/>
    <x v="0"/>
    <x v="0"/>
    <x v="0"/>
    <x v="0"/>
    <s v="holdout"/>
    <n v="0.47502857629262102"/>
    <n v="0"/>
    <s v="False"/>
    <n v="0.265663862228393"/>
  </r>
  <r>
    <s v="hogfeat_256_32_2_9"/>
    <x v="0"/>
    <x v="0"/>
    <x v="0"/>
    <x v="0"/>
    <s v="crossvalidation"/>
    <n v="0.46951411235111401"/>
    <n v="6.5689032474941497E-2"/>
    <s v="False"/>
    <n v="3.3191289901733398"/>
  </r>
  <r>
    <s v="hogfeat_256_32_2_9"/>
    <x v="0"/>
    <x v="0"/>
    <x v="1"/>
    <x v="1"/>
    <s v="holdout"/>
    <n v="0.51685330095340798"/>
    <n v="0"/>
    <s v="False"/>
    <n v="0.66177010536193803"/>
  </r>
  <r>
    <s v="hogfeat_256_32_2_9"/>
    <x v="0"/>
    <x v="0"/>
    <x v="1"/>
    <x v="1"/>
    <s v="crossvalidation"/>
    <n v="0.49785177808886899"/>
    <n v="4.8873725641299798E-2"/>
    <s v="False"/>
    <n v="6.7919738292694003"/>
  </r>
  <r>
    <s v="hogfeat_256_32_2_9"/>
    <x v="0"/>
    <x v="0"/>
    <x v="2"/>
    <x v="2"/>
    <s v="holdout"/>
    <n v="0.51222955480560295"/>
    <n v="0"/>
    <s v="False"/>
    <n v="0.80698227882385198"/>
  </r>
  <r>
    <s v="hogfeat_256_32_2_9"/>
    <x v="0"/>
    <x v="0"/>
    <x v="2"/>
    <x v="2"/>
    <s v="crossvalidation"/>
    <n v="0.48762508415349998"/>
    <n v="5.0440950811389003E-2"/>
    <s v="False"/>
    <n v="10.4240617752075"/>
  </r>
  <r>
    <s v="hogfeat_256_32_2_9"/>
    <x v="0"/>
    <x v="0"/>
    <x v="3"/>
    <x v="3"/>
    <s v="holdout"/>
    <n v="0.73708333333333298"/>
    <n v="0"/>
    <s v="False"/>
    <n v="0.42019605636596602"/>
  </r>
  <r>
    <s v="hogfeat_256_32_2_9"/>
    <x v="0"/>
    <x v="0"/>
    <x v="3"/>
    <x v="3"/>
    <s v="crossvalidation"/>
    <n v="0.73201485682007095"/>
    <n v="3.7143478712373203E-2"/>
    <s v="False"/>
    <n v="7.0644798278808496"/>
  </r>
  <r>
    <s v="hogfeat_256_32_2_9"/>
    <x v="0"/>
    <x v="0"/>
    <x v="4"/>
    <x v="4"/>
    <s v="holdout"/>
    <n v="0.76317174732872395"/>
    <n v="0"/>
    <s v="False"/>
    <n v="0.72829198837280196"/>
  </r>
  <r>
    <s v="hogfeat_256_32_2_9"/>
    <x v="0"/>
    <x v="0"/>
    <x v="4"/>
    <x v="4"/>
    <s v="crossvalidation"/>
    <n v="0.75437323957922098"/>
    <n v="3.5142283942011597E-2"/>
    <s v="False"/>
    <n v="13.689453125"/>
  </r>
  <r>
    <s v="hogfeat_256_32_2_9"/>
    <x v="0"/>
    <x v="0"/>
    <x v="5"/>
    <x v="5"/>
    <s v="holdout"/>
    <n v="0.71946885690692397"/>
    <n v="0"/>
    <s v="False"/>
    <n v="1.1408488750457699"/>
  </r>
  <r>
    <s v="hogfeat_256_32_2_9"/>
    <x v="0"/>
    <x v="0"/>
    <x v="5"/>
    <x v="5"/>
    <s v="crossvalidation"/>
    <n v="0.76923560459506102"/>
    <n v="2.21924751425383E-2"/>
    <s v="False"/>
    <n v="20.341521024703901"/>
  </r>
  <r>
    <s v="hogfeat_256_32_2_9"/>
    <x v="0"/>
    <x v="0"/>
    <x v="6"/>
    <x v="6"/>
    <s v="holdout"/>
    <n v="0.80025252525252499"/>
    <n v="0"/>
    <s v="False"/>
    <n v="6.7313194274902302E-2"/>
  </r>
  <r>
    <s v="hogfeat_256_32_2_9"/>
    <x v="0"/>
    <x v="0"/>
    <x v="6"/>
    <x v="6"/>
    <s v="crossvalidation"/>
    <n v="0.78404797136634596"/>
    <n v="2.8854003905695098E-2"/>
    <s v="False"/>
    <n v="1.06458616256713"/>
  </r>
  <r>
    <s v="hogfeat_256_32_2_9"/>
    <x v="0"/>
    <x v="0"/>
    <x v="7"/>
    <x v="7"/>
    <s v="holdout"/>
    <n v="0.8"/>
    <n v="0"/>
    <s v="False"/>
    <n v="8.2363128662109306E-2"/>
  </r>
  <r>
    <s v="hogfeat_256_32_2_9"/>
    <x v="0"/>
    <x v="0"/>
    <x v="7"/>
    <x v="7"/>
    <s v="crossvalidation"/>
    <n v="0.78395580185710001"/>
    <n v="2.4213165424820798E-2"/>
    <s v="False"/>
    <n v="1.59129118919372"/>
  </r>
  <r>
    <s v="hogfeat_256_32_2_9"/>
    <x v="0"/>
    <x v="0"/>
    <x v="8"/>
    <x v="8"/>
    <s v="holdout"/>
    <n v="0.8"/>
    <n v="0"/>
    <s v="False"/>
    <n v="0.13318824768066401"/>
  </r>
  <r>
    <s v="hogfeat_256_32_2_9"/>
    <x v="0"/>
    <x v="0"/>
    <x v="8"/>
    <x v="8"/>
    <s v="crossvalidation"/>
    <n v="0.79024079143368098"/>
    <n v="2.7565706222590601E-2"/>
    <s v="False"/>
    <n v="2.1230499744415199"/>
  </r>
  <r>
    <s v="hogfeat_256_32_2_9"/>
    <x v="0"/>
    <x v="0"/>
    <x v="9"/>
    <x v="9"/>
    <s v="holdout"/>
    <n v="0.73598945012787698"/>
    <n v="0"/>
    <s v="False"/>
    <n v="9.2713730335235596"/>
  </r>
  <r>
    <s v="hogfeat_256_32_2_9"/>
    <x v="0"/>
    <x v="0"/>
    <x v="9"/>
    <x v="9"/>
    <s v="crossvalidation"/>
    <n v="0.77746070179635896"/>
    <n v="2.3065502606601299E-2"/>
    <s v="False"/>
    <n v="188.52650594711301"/>
  </r>
  <r>
    <s v="hogfeat_256_32_2_9"/>
    <x v="0"/>
    <x v="0"/>
    <x v="10"/>
    <x v="10"/>
    <s v="holdout"/>
    <n v="0.76212301587301501"/>
    <n v="0"/>
    <s v="False"/>
    <n v="18.366651773452698"/>
  </r>
  <r>
    <s v="hogfeat_256_32_2_9"/>
    <x v="0"/>
    <x v="0"/>
    <x v="10"/>
    <x v="10"/>
    <s v="crossvalidation"/>
    <n v="0.77926813023383901"/>
    <n v="3.2155327534692503E-2"/>
    <s v="False"/>
    <n v="380.718746185302"/>
  </r>
  <r>
    <s v="hogfeat_256_32_2_9"/>
    <x v="0"/>
    <x v="0"/>
    <x v="11"/>
    <x v="11"/>
    <s v="holdout"/>
    <n v="0.754542042042042"/>
    <n v="0"/>
    <s v="False"/>
    <n v="32.567333221435497"/>
  </r>
  <r>
    <s v="hogfeat_256_32_2_9"/>
    <x v="0"/>
    <x v="0"/>
    <x v="11"/>
    <x v="11"/>
    <s v="crossvalidation"/>
    <n v="0.78663967682318003"/>
    <n v="3.1787131627689903E-2"/>
    <s v="False"/>
    <n v="570.27562975883404"/>
  </r>
  <r>
    <s v="hogfeat_256_32_2_9"/>
    <x v="1"/>
    <x v="1"/>
    <x v="0"/>
    <x v="12"/>
    <s v="holdout"/>
    <n v="0.73807457786116304"/>
    <n v="0"/>
    <s v="False"/>
    <n v="0.140856742858886"/>
  </r>
  <r>
    <s v="hogfeat_256_32_2_9"/>
    <x v="1"/>
    <x v="1"/>
    <x v="0"/>
    <x v="12"/>
    <s v="crossvalidation"/>
    <n v="0.78161528241978395"/>
    <n v="3.6221030633962203E-2"/>
    <s v="False"/>
    <n v="2.2744691371917698"/>
  </r>
  <r>
    <s v="hogfeat_256_32_2_9"/>
    <x v="1"/>
    <x v="1"/>
    <x v="1"/>
    <x v="13"/>
    <s v="holdout"/>
    <n v="0.75078320802005005"/>
    <n v="0"/>
    <s v="False"/>
    <n v="0.127629280090332"/>
  </r>
  <r>
    <s v="hogfeat_256_32_2_9"/>
    <x v="1"/>
    <x v="1"/>
    <x v="1"/>
    <x v="13"/>
    <s v="crossvalidation"/>
    <n v="0.79427985108850296"/>
    <n v="2.5242792328171001E-2"/>
    <s v="False"/>
    <n v="2.38395023345947"/>
  </r>
  <r>
    <s v="hogfeat_256_32_2_9"/>
    <x v="1"/>
    <x v="1"/>
    <x v="2"/>
    <x v="14"/>
    <s v="holdout"/>
    <n v="0.76301985616010004"/>
    <n v="0"/>
    <s v="False"/>
    <n v="0.13148283958435"/>
  </r>
  <r>
    <s v="hogfeat_256_32_2_9"/>
    <x v="1"/>
    <x v="1"/>
    <x v="2"/>
    <x v="14"/>
    <s v="crossvalidation"/>
    <n v="0.77778514874181603"/>
    <n v="2.83330190831084E-2"/>
    <s v="False"/>
    <n v="2.2763640880584699"/>
  </r>
  <r>
    <s v="hogfeat_256_32_2_9"/>
    <x v="1"/>
    <x v="1"/>
    <x v="3"/>
    <x v="15"/>
    <s v="holdout"/>
    <n v="0.76324509803921503"/>
    <n v="0"/>
    <s v="False"/>
    <n v="0.12724471092224099"/>
  </r>
  <r>
    <s v="hogfeat_256_32_2_9"/>
    <x v="1"/>
    <x v="1"/>
    <x v="3"/>
    <x v="15"/>
    <s v="crossvalidation"/>
    <n v="0.78175915619287795"/>
    <n v="2.43032472386756E-2"/>
    <s v="False"/>
    <n v="2.2713201045989901"/>
  </r>
  <r>
    <s v="hogfeat_256_32_2_9"/>
    <x v="1"/>
    <x v="1"/>
    <x v="4"/>
    <x v="16"/>
    <s v="holdout"/>
    <n v="0.756682266009852"/>
    <n v="0"/>
    <s v="False"/>
    <n v="0.14637994766235299"/>
  </r>
  <r>
    <s v="hogfeat_256_32_2_9"/>
    <x v="1"/>
    <x v="1"/>
    <x v="4"/>
    <x v="16"/>
    <s v="crossvalidation"/>
    <n v="0.79928844538212496"/>
    <n v="3.5471953617841702E-2"/>
    <s v="False"/>
    <n v="2.8314778804778999"/>
  </r>
  <r>
    <s v="hogfeat_256_32_2_9"/>
    <x v="1"/>
    <x v="1"/>
    <x v="5"/>
    <x v="17"/>
    <s v="holdout"/>
    <n v="0.76317174732872395"/>
    <n v="0"/>
    <s v="False"/>
    <n v="0.154833078384399"/>
  </r>
  <r>
    <s v="hogfeat_256_32_2_9"/>
    <x v="1"/>
    <x v="1"/>
    <x v="5"/>
    <x v="17"/>
    <s v="crossvalidation"/>
    <n v="0.78557987614065505"/>
    <n v="2.6577543940528501E-2"/>
    <s v="False"/>
    <n v="2.7641258239746"/>
  </r>
  <r>
    <s v="hogfeat_256_32_2_9"/>
    <x v="1"/>
    <x v="1"/>
    <x v="6"/>
    <x v="18"/>
    <s v="holdout"/>
    <n v="0.74452223004970397"/>
    <n v="0"/>
    <s v="False"/>
    <n v="0.15377402305603"/>
  </r>
  <r>
    <s v="hogfeat_256_32_2_9"/>
    <x v="1"/>
    <x v="1"/>
    <x v="6"/>
    <x v="18"/>
    <s v="crossvalidation"/>
    <n v="0.77551415398660295"/>
    <n v="4.2248866796021502E-2"/>
    <s v="False"/>
    <n v="2.7948570251464799"/>
  </r>
  <r>
    <s v="hogfeat_256_32_2_9"/>
    <x v="1"/>
    <x v="1"/>
    <x v="7"/>
    <x v="19"/>
    <s v="holdout"/>
    <n v="0.76324404761904696"/>
    <n v="0"/>
    <s v="False"/>
    <n v="0.15066790580749501"/>
  </r>
  <r>
    <s v="hogfeat_256_32_2_9"/>
    <x v="1"/>
    <x v="1"/>
    <x v="7"/>
    <x v="19"/>
    <s v="crossvalidation"/>
    <n v="0.79419026521804903"/>
    <n v="4.19033456767006E-2"/>
    <s v="False"/>
    <n v="2.80284118652343"/>
  </r>
  <r>
    <s v="hogfeat_256_32_2_9"/>
    <x v="1"/>
    <x v="1"/>
    <x v="8"/>
    <x v="20"/>
    <s v="holdout"/>
    <n v="0.75055109431585498"/>
    <n v="0"/>
    <s v="False"/>
    <n v="0.155351877212524"/>
  </r>
  <r>
    <s v="hogfeat_256_32_2_9"/>
    <x v="1"/>
    <x v="1"/>
    <x v="8"/>
    <x v="20"/>
    <s v="crossvalidation"/>
    <n v="0.78442512490080296"/>
    <n v="2.7895396582030899E-2"/>
    <s v="False"/>
    <n v="2.8158798217773402"/>
  </r>
  <r>
    <s v="hogfeat_256_32_2_9"/>
    <x v="1"/>
    <x v="1"/>
    <x v="9"/>
    <x v="21"/>
    <s v="holdout"/>
    <n v="0.77549598488426996"/>
    <n v="0"/>
    <s v="False"/>
    <n v="0.15995216369628901"/>
  </r>
  <r>
    <s v="hogfeat_256_32_2_9"/>
    <x v="1"/>
    <x v="1"/>
    <x v="9"/>
    <x v="21"/>
    <s v="crossvalidation"/>
    <n v="0.79434129760470695"/>
    <n v="2.9366894708162099E-2"/>
    <s v="False"/>
    <n v="2.84799933433532"/>
  </r>
  <r>
    <s v="hogfeat_256_32_2_9"/>
    <x v="1"/>
    <x v="1"/>
    <x v="10"/>
    <x v="22"/>
    <s v="holdout"/>
    <n v="0.75078320802005005"/>
    <n v="0"/>
    <s v="False"/>
    <n v="0.15125679969787501"/>
  </r>
  <r>
    <s v="hogfeat_256_32_2_9"/>
    <x v="1"/>
    <x v="1"/>
    <x v="10"/>
    <x v="22"/>
    <s v="crossvalidation"/>
    <n v="0.79056833687922001"/>
    <n v="2.4115556103400299E-2"/>
    <s v="False"/>
    <n v="2.7954430580139098"/>
  </r>
  <r>
    <s v="hogfeat_256_32_2_9"/>
    <x v="1"/>
    <x v="1"/>
    <x v="11"/>
    <x v="23"/>
    <s v="holdout"/>
    <n v="0.75070710245128802"/>
    <n v="0"/>
    <s v="False"/>
    <n v="0.14900803565979001"/>
  </r>
  <r>
    <s v="hogfeat_256_32_2_9"/>
    <x v="1"/>
    <x v="1"/>
    <x v="11"/>
    <x v="23"/>
    <s v="crossvalidation"/>
    <n v="0.80169528160808201"/>
    <n v="3.4601128590492802E-2"/>
    <s v="False"/>
    <n v="2.77795314788818"/>
  </r>
  <r>
    <s v="hogfeat_256_32_2_9"/>
    <x v="2"/>
    <x v="2"/>
    <x v="0"/>
    <x v="24"/>
    <s v="holdout"/>
    <n v="0.738575027538656"/>
    <n v="0"/>
    <s v="False"/>
    <n v="3.30562090873718"/>
  </r>
  <r>
    <s v="hogfeat_256_32_2_9"/>
    <x v="2"/>
    <x v="2"/>
    <x v="0"/>
    <x v="24"/>
    <s v="crossvalidation"/>
    <n v="0.75971022665865995"/>
    <n v="3.6461631668480397E-2"/>
    <s v="False"/>
    <n v="41.459490776061998"/>
  </r>
  <r>
    <s v="hogfeat_256_32_2_9"/>
    <x v="2"/>
    <x v="2"/>
    <x v="1"/>
    <x v="25"/>
    <s v="holdout"/>
    <n v="0.738575027538656"/>
    <n v="0"/>
    <s v="False"/>
    <n v="2.9296886920928902"/>
  </r>
  <r>
    <s v="hogfeat_256_32_2_9"/>
    <x v="2"/>
    <x v="2"/>
    <x v="1"/>
    <x v="25"/>
    <s v="crossvalidation"/>
    <n v="0.74371785204213703"/>
    <n v="4.0320930055838103E-2"/>
    <s v="False"/>
    <n v="48.242075920104902"/>
  </r>
  <r>
    <s v="hogfeat_256_32_2_9"/>
    <x v="2"/>
    <x v="2"/>
    <x v="2"/>
    <x v="26"/>
    <s v="holdout"/>
    <n v="0.70610170184912402"/>
    <n v="0"/>
    <s v="False"/>
    <n v="3.55057692527771"/>
  </r>
  <r>
    <s v="hogfeat_256_32_2_9"/>
    <x v="2"/>
    <x v="2"/>
    <x v="2"/>
    <x v="26"/>
    <s v="crossvalidation"/>
    <n v="0.75669237303815595"/>
    <n v="4.6187438514160802E-2"/>
    <s v="False"/>
    <n v="60.0743792057037"/>
  </r>
  <r>
    <s v="hogfeat_256_32_2_9"/>
    <x v="2"/>
    <x v="2"/>
    <x v="3"/>
    <x v="27"/>
    <s v="holdout"/>
    <n v="0.71491666666666598"/>
    <n v="0"/>
    <s v="False"/>
    <n v="5.0094511508941597"/>
  </r>
  <r>
    <s v="hogfeat_256_32_2_9"/>
    <x v="2"/>
    <x v="2"/>
    <x v="3"/>
    <x v="27"/>
    <s v="crossvalidation"/>
    <n v="0.75908576854134102"/>
    <n v="3.5958971388859902E-2"/>
    <s v="False"/>
    <n v="82.135554075241004"/>
  </r>
  <r>
    <s v="hogfeat_256_32_2_9"/>
    <x v="3"/>
    <x v="3"/>
    <x v="0"/>
    <x v="24"/>
    <s v="holdout"/>
    <n v="0.73708333333333298"/>
    <n v="0"/>
    <s v="False"/>
    <n v="9.7754268646240199"/>
  </r>
  <r>
    <s v="hogfeat_256_32_2_9"/>
    <x v="3"/>
    <x v="3"/>
    <x v="0"/>
    <x v="24"/>
    <s v="crossvalidation"/>
    <n v="0.77707970232635604"/>
    <n v="2.7873689077912399E-2"/>
    <s v="False"/>
    <n v="168.15731382369901"/>
  </r>
  <r>
    <s v="hogfeat_256_32_2_9"/>
    <x v="3"/>
    <x v="3"/>
    <x v="1"/>
    <x v="25"/>
    <s v="holdout"/>
    <n v="0.73708333333333298"/>
    <n v="0"/>
    <s v="False"/>
    <n v="14.7672429084777"/>
  </r>
  <r>
    <s v="hogfeat_256_32_2_9"/>
    <x v="3"/>
    <x v="3"/>
    <x v="1"/>
    <x v="25"/>
    <s v="crossvalidation"/>
    <n v="0.77466179332136897"/>
    <n v="2.6992975826094098E-2"/>
    <s v="False"/>
    <n v="251.77817511558499"/>
  </r>
  <r>
    <s v="hogfeat_256_32_2_9"/>
    <x v="3"/>
    <x v="3"/>
    <x v="2"/>
    <x v="26"/>
    <s v="holdout"/>
    <n v="0.74791365751885697"/>
    <n v="0"/>
    <s v="False"/>
    <n v="17.399269819259601"/>
  </r>
  <r>
    <s v="hogfeat_256_32_2_9"/>
    <x v="3"/>
    <x v="3"/>
    <x v="2"/>
    <x v="26"/>
    <s v="crossvalidation"/>
    <n v="0.78231177110258698"/>
    <n v="2.9168339806914301E-2"/>
    <s v="False"/>
    <n v="314.059771776199"/>
  </r>
  <r>
    <s v="hogfeat_256_32_2_9"/>
    <x v="3"/>
    <x v="3"/>
    <x v="3"/>
    <x v="27"/>
    <s v="holdout"/>
    <n v="0.75070710245128802"/>
    <n v="0"/>
    <s v="False"/>
    <n v="23.829082965850802"/>
  </r>
  <r>
    <s v="hogfeat_256_32_2_9"/>
    <x v="3"/>
    <x v="3"/>
    <x v="3"/>
    <x v="27"/>
    <s v="crossvalidation"/>
    <n v="0.77629150974024097"/>
    <n v="2.63015096415131E-2"/>
    <s v="False"/>
    <n v="457.26891088485701"/>
  </r>
  <r>
    <s v="hogfeat_128_16_2_9"/>
    <x v="0"/>
    <x v="0"/>
    <x v="0"/>
    <x v="0"/>
    <s v="holdout"/>
    <n v="0.48003036437246899"/>
    <n v="0"/>
    <s v="False"/>
    <n v="0.27653312683105402"/>
  </r>
  <r>
    <s v="hogfeat_128_16_2_9"/>
    <x v="0"/>
    <x v="0"/>
    <x v="0"/>
    <x v="0"/>
    <s v="crossvalidation"/>
    <n v="0.48089716588565901"/>
    <n v="5.5410424678556197E-2"/>
    <s v="False"/>
    <n v="3.38448905944824"/>
  </r>
  <r>
    <s v="hogfeat_128_16_2_9"/>
    <x v="0"/>
    <x v="0"/>
    <x v="1"/>
    <x v="1"/>
    <s v="holdout"/>
    <n v="0.47485587002096402"/>
    <n v="0"/>
    <s v="False"/>
    <n v="0.53249216079711903"/>
  </r>
  <r>
    <s v="hogfeat_128_16_2_9"/>
    <x v="0"/>
    <x v="0"/>
    <x v="1"/>
    <x v="1"/>
    <s v="crossvalidation"/>
    <n v="0.48609484874416398"/>
    <n v="4.47318348545497E-2"/>
    <s v="False"/>
    <n v="6.91900181770324"/>
  </r>
  <r>
    <s v="hogfeat_128_16_2_9"/>
    <x v="0"/>
    <x v="0"/>
    <x v="2"/>
    <x v="2"/>
    <s v="holdout"/>
    <n v="0.48832110412299001"/>
    <n v="0"/>
    <s v="False"/>
    <n v="0.74339771270751898"/>
  </r>
  <r>
    <s v="hogfeat_128_16_2_9"/>
    <x v="0"/>
    <x v="0"/>
    <x v="2"/>
    <x v="2"/>
    <s v="crossvalidation"/>
    <n v="0.49961335960279701"/>
    <n v="4.3059400924784802E-2"/>
    <s v="False"/>
    <n v="10.079843997955299"/>
  </r>
  <r>
    <s v="hogfeat_128_16_2_9"/>
    <x v="0"/>
    <x v="0"/>
    <x v="3"/>
    <x v="3"/>
    <s v="holdout"/>
    <n v="0.71804572916252596"/>
    <n v="0"/>
    <s v="False"/>
    <n v="0.441268920898437"/>
  </r>
  <r>
    <s v="hogfeat_128_16_2_9"/>
    <x v="0"/>
    <x v="0"/>
    <x v="3"/>
    <x v="3"/>
    <s v="crossvalidation"/>
    <n v="0.72987595247992998"/>
    <n v="5.8737628569997299E-2"/>
    <s v="False"/>
    <n v="7.0758750438690097"/>
  </r>
  <r>
    <s v="hogfeat_128_16_2_9"/>
    <x v="0"/>
    <x v="0"/>
    <x v="4"/>
    <x v="4"/>
    <s v="holdout"/>
    <n v="0.70677093596059104"/>
    <n v="0"/>
    <s v="False"/>
    <n v="0.82056021690368597"/>
  </r>
  <r>
    <s v="hogfeat_128_16_2_9"/>
    <x v="0"/>
    <x v="0"/>
    <x v="4"/>
    <x v="4"/>
    <s v="crossvalidation"/>
    <n v="0.74554503906979097"/>
    <n v="4.2686970728476201E-2"/>
    <s v="False"/>
    <n v="13.898833990097"/>
  </r>
  <r>
    <s v="hogfeat_128_16_2_9"/>
    <x v="0"/>
    <x v="0"/>
    <x v="5"/>
    <x v="5"/>
    <s v="holdout"/>
    <n v="0.69351945401957205"/>
    <n v="0"/>
    <s v="False"/>
    <n v="1.1780080795287999"/>
  </r>
  <r>
    <s v="hogfeat_128_16_2_9"/>
    <x v="0"/>
    <x v="0"/>
    <x v="5"/>
    <x v="5"/>
    <s v="crossvalidation"/>
    <n v="0.73189703536469397"/>
    <n v="6.3169276819632705E-2"/>
    <s v="False"/>
    <n v="20.5800440311431"/>
  </r>
  <r>
    <s v="hogfeat_128_16_2_9"/>
    <x v="0"/>
    <x v="0"/>
    <x v="6"/>
    <x v="6"/>
    <s v="holdout"/>
    <n v="0.78163793103448198"/>
    <n v="0"/>
    <s v="False"/>
    <n v="7.4925184249877902E-2"/>
  </r>
  <r>
    <s v="hogfeat_128_16_2_9"/>
    <x v="0"/>
    <x v="0"/>
    <x v="6"/>
    <x v="6"/>
    <s v="crossvalidation"/>
    <n v="0.78240804433652"/>
    <n v="2.8733514226390301E-2"/>
    <s v="False"/>
    <n v="0.99634671211242598"/>
  </r>
  <r>
    <s v="hogfeat_128_16_2_9"/>
    <x v="0"/>
    <x v="0"/>
    <x v="7"/>
    <x v="7"/>
    <s v="holdout"/>
    <n v="0.78191108363750494"/>
    <n v="0"/>
    <s v="False"/>
    <n v="0.13294386863708399"/>
  </r>
  <r>
    <s v="hogfeat_128_16_2_9"/>
    <x v="0"/>
    <x v="0"/>
    <x v="7"/>
    <x v="7"/>
    <s v="crossvalidation"/>
    <n v="0.776303198274369"/>
    <n v="3.3272710909389998E-2"/>
    <s v="False"/>
    <n v="1.6180949211120601"/>
  </r>
  <r>
    <s v="hogfeat_128_16_2_9"/>
    <x v="0"/>
    <x v="0"/>
    <x v="8"/>
    <x v="8"/>
    <s v="holdout"/>
    <n v="0.77549598488426996"/>
    <n v="0"/>
    <s v="False"/>
    <n v="0.152148962020874"/>
  </r>
  <r>
    <s v="hogfeat_128_16_2_9"/>
    <x v="0"/>
    <x v="0"/>
    <x v="8"/>
    <x v="8"/>
    <s v="crossvalidation"/>
    <n v="0.76886346655254501"/>
    <n v="3.3743121365318297E-2"/>
    <s v="False"/>
    <n v="2.0960848331451398"/>
  </r>
  <r>
    <s v="hogfeat_128_16_2_9"/>
    <x v="0"/>
    <x v="0"/>
    <x v="9"/>
    <x v="9"/>
    <s v="holdout"/>
    <n v="0.78070223379307602"/>
    <n v="0"/>
    <s v="False"/>
    <n v="8.8566741943359304"/>
  </r>
  <r>
    <s v="hogfeat_128_16_2_9"/>
    <x v="0"/>
    <x v="0"/>
    <x v="9"/>
    <x v="9"/>
    <s v="crossvalidation"/>
    <n v="0.783439133060022"/>
    <n v="3.6518378497648503E-2"/>
    <s v="False"/>
    <n v="135.49457406997601"/>
  </r>
  <r>
    <s v="hogfeat_128_16_2_9"/>
    <x v="0"/>
    <x v="0"/>
    <x v="10"/>
    <x v="10"/>
    <s v="holdout"/>
    <n v="0.76212301587301501"/>
    <n v="0"/>
    <s v="False"/>
    <n v="15.524044036865201"/>
  </r>
  <r>
    <s v="hogfeat_128_16_2_9"/>
    <x v="0"/>
    <x v="0"/>
    <x v="10"/>
    <x v="10"/>
    <s v="crossvalidation"/>
    <n v="0.78439982481536497"/>
    <n v="2.4919952538174299E-2"/>
    <s v="False"/>
    <n v="267.372807979583"/>
  </r>
  <r>
    <s v="hogfeat_128_16_2_9"/>
    <x v="0"/>
    <x v="0"/>
    <x v="11"/>
    <x v="11"/>
    <s v="holdout"/>
    <n v="0.76768926249451497"/>
    <n v="0"/>
    <s v="False"/>
    <n v="24.3163161277771"/>
  </r>
  <r>
    <s v="hogfeat_128_16_2_9"/>
    <x v="0"/>
    <x v="0"/>
    <x v="11"/>
    <x v="11"/>
    <s v="crossvalidation"/>
    <n v="0.79332726171716905"/>
    <n v="3.4779886463869501E-2"/>
    <s v="False"/>
    <n v="399.28179502487097"/>
  </r>
  <r>
    <s v="hogfeat_128_16_2_9"/>
    <x v="1"/>
    <x v="1"/>
    <x v="0"/>
    <x v="12"/>
    <s v="holdout"/>
    <n v="0.76324509803921503"/>
    <n v="0"/>
    <s v="False"/>
    <n v="0.13806891441345201"/>
  </r>
  <r>
    <s v="hogfeat_128_16_2_9"/>
    <x v="1"/>
    <x v="1"/>
    <x v="0"/>
    <x v="12"/>
    <s v="crossvalidation"/>
    <n v="0.75897824064075803"/>
    <n v="2.65710830865214E-2"/>
    <s v="False"/>
    <n v="2.3310012817382799"/>
  </r>
  <r>
    <s v="hogfeat_128_16_2_9"/>
    <x v="1"/>
    <x v="1"/>
    <x v="1"/>
    <x v="13"/>
    <s v="holdout"/>
    <n v="0.76933773216031198"/>
    <n v="0"/>
    <s v="False"/>
    <n v="0.13238716125488201"/>
  </r>
  <r>
    <s v="hogfeat_128_16_2_9"/>
    <x v="1"/>
    <x v="1"/>
    <x v="1"/>
    <x v="13"/>
    <s v="crossvalidation"/>
    <n v="0.76169395282551"/>
    <n v="2.9835193073141301E-2"/>
    <s v="False"/>
    <n v="2.2730538845062198"/>
  </r>
  <r>
    <s v="hogfeat_128_16_2_9"/>
    <x v="1"/>
    <x v="1"/>
    <x v="2"/>
    <x v="14"/>
    <s v="holdout"/>
    <n v="0.75702368823229704"/>
    <n v="0"/>
    <s v="False"/>
    <n v="0.13675999641418399"/>
  </r>
  <r>
    <s v="hogfeat_128_16_2_9"/>
    <x v="1"/>
    <x v="1"/>
    <x v="2"/>
    <x v="14"/>
    <s v="crossvalidation"/>
    <n v="0.75494410335846995"/>
    <n v="3.5651826815792702E-2"/>
    <s v="False"/>
    <n v="2.3174769878387398"/>
  </r>
  <r>
    <s v="hogfeat_128_16_2_9"/>
    <x v="1"/>
    <x v="1"/>
    <x v="3"/>
    <x v="15"/>
    <s v="holdout"/>
    <n v="0.75078431372549004"/>
    <n v="0"/>
    <s v="False"/>
    <n v="0.13793897628784099"/>
  </r>
  <r>
    <s v="hogfeat_128_16_2_9"/>
    <x v="1"/>
    <x v="1"/>
    <x v="3"/>
    <x v="15"/>
    <s v="crossvalidation"/>
    <n v="0.76588592545323497"/>
    <n v="2.45067822287563E-2"/>
    <s v="False"/>
    <n v="2.2782511711120601"/>
  </r>
  <r>
    <s v="hogfeat_128_16_2_9"/>
    <x v="1"/>
    <x v="1"/>
    <x v="4"/>
    <x v="16"/>
    <s v="holdout"/>
    <n v="0.74452441226107702"/>
    <n v="0"/>
    <s v="False"/>
    <n v="0.153101921081542"/>
  </r>
  <r>
    <s v="hogfeat_128_16_2_9"/>
    <x v="1"/>
    <x v="1"/>
    <x v="4"/>
    <x v="16"/>
    <s v="crossvalidation"/>
    <n v="0.77625419925422001"/>
    <n v="4.3115967576787498E-2"/>
    <s v="False"/>
    <n v="2.9282920360565101"/>
  </r>
  <r>
    <s v="hogfeat_128_16_2_9"/>
    <x v="1"/>
    <x v="1"/>
    <x v="5"/>
    <x v="17"/>
    <s v="holdout"/>
    <n v="0.73824245757385198"/>
    <n v="0"/>
    <s v="False"/>
    <n v="0.163294792175292"/>
  </r>
  <r>
    <s v="hogfeat_128_16_2_9"/>
    <x v="1"/>
    <x v="1"/>
    <x v="5"/>
    <x v="17"/>
    <s v="crossvalidation"/>
    <n v="0.76524705178362795"/>
    <n v="2.9360320278984199E-2"/>
    <s v="False"/>
    <n v="2.8303561210632302"/>
  </r>
  <r>
    <s v="hogfeat_128_16_2_9"/>
    <x v="1"/>
    <x v="1"/>
    <x v="6"/>
    <x v="18"/>
    <s v="holdout"/>
    <n v="0.76317174732872395"/>
    <n v="0"/>
    <s v="False"/>
    <n v="0.152053117752075"/>
  </r>
  <r>
    <s v="hogfeat_128_16_2_9"/>
    <x v="1"/>
    <x v="1"/>
    <x v="6"/>
    <x v="18"/>
    <s v="crossvalidation"/>
    <n v="0.77949463479243597"/>
    <n v="3.5955868994230998E-2"/>
    <s v="False"/>
    <n v="2.8261649608611998"/>
  </r>
  <r>
    <s v="hogfeat_128_16_2_9"/>
    <x v="1"/>
    <x v="1"/>
    <x v="7"/>
    <x v="19"/>
    <s v="holdout"/>
    <n v="0.77549249530956799"/>
    <n v="0"/>
    <s v="False"/>
    <n v="0.162010192871093"/>
  </r>
  <r>
    <s v="hogfeat_128_16_2_9"/>
    <x v="1"/>
    <x v="1"/>
    <x v="7"/>
    <x v="19"/>
    <s v="crossvalidation"/>
    <n v="0.77508602282996297"/>
    <n v="3.5999506099646597E-2"/>
    <s v="False"/>
    <n v="2.8151090145111"/>
  </r>
  <r>
    <s v="hogfeat_128_16_2_9"/>
    <x v="1"/>
    <x v="1"/>
    <x v="8"/>
    <x v="20"/>
    <s v="holdout"/>
    <n v="0.75698663605322003"/>
    <n v="0"/>
    <s v="False"/>
    <n v="0.14844608306884699"/>
  </r>
  <r>
    <s v="hogfeat_128_16_2_9"/>
    <x v="1"/>
    <x v="1"/>
    <x v="8"/>
    <x v="20"/>
    <s v="crossvalidation"/>
    <n v="0.75767028852767404"/>
    <n v="3.06072602936165E-2"/>
    <s v="False"/>
    <n v="2.8283398151397701"/>
  </r>
  <r>
    <s v="hogfeat_128_16_2_9"/>
    <x v="1"/>
    <x v="1"/>
    <x v="9"/>
    <x v="21"/>
    <s v="holdout"/>
    <n v="0.73824245757385198"/>
    <n v="0"/>
    <s v="False"/>
    <n v="0.15568923950195299"/>
  </r>
  <r>
    <s v="hogfeat_128_16_2_9"/>
    <x v="1"/>
    <x v="1"/>
    <x v="9"/>
    <x v="21"/>
    <s v="crossvalidation"/>
    <n v="0.76506271601650899"/>
    <n v="3.0496260435927101E-2"/>
    <s v="False"/>
    <n v="2.8074698448181099"/>
  </r>
  <r>
    <s v="hogfeat_128_16_2_9"/>
    <x v="1"/>
    <x v="1"/>
    <x v="10"/>
    <x v="22"/>
    <s v="holdout"/>
    <n v="0.74420443349753695"/>
    <n v="0"/>
    <s v="False"/>
    <n v="0.15865302085876401"/>
  </r>
  <r>
    <s v="hogfeat_128_16_2_9"/>
    <x v="1"/>
    <x v="1"/>
    <x v="10"/>
    <x v="22"/>
    <s v="crossvalidation"/>
    <n v="0.762667804034171"/>
    <n v="3.1374695660379703E-2"/>
    <s v="False"/>
    <n v="2.8675792217254599"/>
  </r>
  <r>
    <s v="hogfeat_128_16_2_9"/>
    <x v="1"/>
    <x v="1"/>
    <x v="11"/>
    <x v="23"/>
    <s v="holdout"/>
    <n v="0.79440465927348203"/>
    <n v="0"/>
    <s v="False"/>
    <n v="0.153273105621337"/>
  </r>
  <r>
    <s v="hogfeat_128_16_2_9"/>
    <x v="1"/>
    <x v="1"/>
    <x v="11"/>
    <x v="23"/>
    <s v="crossvalidation"/>
    <n v="0.76637751209386695"/>
    <n v="2.4735944240376999E-2"/>
    <s v="False"/>
    <n v="2.7936210632324201"/>
  </r>
  <r>
    <s v="hogfeat_128_16_2_9"/>
    <x v="2"/>
    <x v="2"/>
    <x v="0"/>
    <x v="24"/>
    <s v="holdout"/>
    <n v="0.70830971659918995"/>
    <n v="0"/>
    <s v="False"/>
    <n v="3.5173788070678702"/>
  </r>
  <r>
    <s v="hogfeat_128_16_2_9"/>
    <x v="2"/>
    <x v="2"/>
    <x v="0"/>
    <x v="24"/>
    <s v="crossvalidation"/>
    <n v="0.766036941779207"/>
    <n v="3.5776467563310897E-2"/>
    <s v="False"/>
    <n v="31.001513957977199"/>
  </r>
  <r>
    <s v="hogfeat_128_16_2_9"/>
    <x v="2"/>
    <x v="2"/>
    <x v="1"/>
    <x v="25"/>
    <s v="holdout"/>
    <n v="0.69056135121708895"/>
    <n v="0"/>
    <s v="False"/>
    <n v="4.5219612121581996"/>
  </r>
  <r>
    <s v="hogfeat_128_16_2_9"/>
    <x v="2"/>
    <x v="2"/>
    <x v="1"/>
    <x v="25"/>
    <s v="crossvalidation"/>
    <n v="0.726182486440062"/>
    <n v="2.96613626912649E-2"/>
    <s v="False"/>
    <n v="42.916796922683702"/>
  </r>
  <r>
    <s v="hogfeat_128_16_2_9"/>
    <x v="2"/>
    <x v="2"/>
    <x v="2"/>
    <x v="26"/>
    <s v="holdout"/>
    <n v="0.72924118231495205"/>
    <n v="0"/>
    <s v="False"/>
    <n v="5.5555379390716499"/>
  </r>
  <r>
    <s v="hogfeat_128_16_2_9"/>
    <x v="2"/>
    <x v="2"/>
    <x v="2"/>
    <x v="26"/>
    <s v="crossvalidation"/>
    <n v="0.74038022049360797"/>
    <n v="3.6233756775471603E-2"/>
    <s v="False"/>
    <n v="52.8802297115325"/>
  </r>
  <r>
    <s v="hogfeat_128_16_2_9"/>
    <x v="2"/>
    <x v="2"/>
    <x v="3"/>
    <x v="27"/>
    <s v="holdout"/>
    <n v="0.72924118231495205"/>
    <n v="0"/>
    <s v="False"/>
    <n v="8.45312404632568"/>
  </r>
  <r>
    <s v="hogfeat_128_16_2_9"/>
    <x v="2"/>
    <x v="2"/>
    <x v="3"/>
    <x v="27"/>
    <s v="crossvalidation"/>
    <n v="0.744958746952741"/>
    <n v="3.6582309558279097E-2"/>
    <s v="False"/>
    <n v="85.710744142532306"/>
  </r>
  <r>
    <s v="hogfeat_128_16_2_9"/>
    <x v="3"/>
    <x v="3"/>
    <x v="0"/>
    <x v="24"/>
    <s v="holdout"/>
    <n v="0.77421165790730995"/>
    <n v="0"/>
    <s v="False"/>
    <n v="10.2559187412261"/>
  </r>
  <r>
    <s v="hogfeat_128_16_2_9"/>
    <x v="3"/>
    <x v="3"/>
    <x v="0"/>
    <x v="24"/>
    <s v="crossvalidation"/>
    <n v="0.78513174964625199"/>
    <n v="2.6721128225961101E-2"/>
    <s v="False"/>
    <n v="139.032024145126"/>
  </r>
  <r>
    <s v="hogfeat_128_16_2_9"/>
    <x v="3"/>
    <x v="3"/>
    <x v="1"/>
    <x v="25"/>
    <s v="holdout"/>
    <n v="0.75982027724048995"/>
    <n v="0"/>
    <s v="False"/>
    <n v="12.741652965545599"/>
  </r>
  <r>
    <s v="hogfeat_128_16_2_9"/>
    <x v="3"/>
    <x v="3"/>
    <x v="1"/>
    <x v="25"/>
    <s v="crossvalidation"/>
    <n v="0.78696942162065198"/>
    <n v="2.8638682030281401E-2"/>
    <s v="False"/>
    <n v="212.663638830184"/>
  </r>
  <r>
    <s v="hogfeat_128_16_2_9"/>
    <x v="3"/>
    <x v="3"/>
    <x v="2"/>
    <x v="26"/>
    <s v="holdout"/>
    <n v="0.74310833101474605"/>
    <n v="0"/>
    <s v="False"/>
    <n v="14.4311909675598"/>
  </r>
  <r>
    <s v="hogfeat_128_16_2_9"/>
    <x v="3"/>
    <x v="3"/>
    <x v="2"/>
    <x v="26"/>
    <s v="crossvalidation"/>
    <n v="0.78748386859755404"/>
    <n v="2.8567314692836802E-2"/>
    <s v="False"/>
    <n v="279.50037574767998"/>
  </r>
  <r>
    <s v="hogfeat_128_16_2_9"/>
    <x v="3"/>
    <x v="3"/>
    <x v="3"/>
    <x v="27"/>
    <s v="holdout"/>
    <n v="0.76279987373737301"/>
    <n v="0"/>
    <s v="False"/>
    <n v="21.936922311782801"/>
  </r>
  <r>
    <s v="hogfeat_128_16_2_9"/>
    <x v="3"/>
    <x v="3"/>
    <x v="3"/>
    <x v="27"/>
    <s v="crossvalidation"/>
    <n v="0.77949324505024598"/>
    <n v="3.0293933123799702E-2"/>
    <s v="False"/>
    <n v="439.4775390625"/>
  </r>
  <r>
    <s v="lbpfeat_256_24_192"/>
    <x v="0"/>
    <x v="0"/>
    <x v="0"/>
    <x v="0"/>
    <s v="holdout"/>
    <n v="0.62872441391726297"/>
    <n v="0"/>
    <s v="False"/>
    <n v="6.1672925949096603E-2"/>
  </r>
  <r>
    <s v="lbpfeat_256_24_192"/>
    <x v="0"/>
    <x v="0"/>
    <x v="0"/>
    <x v="0"/>
    <s v="crossvalidation"/>
    <n v="0.64343391550243101"/>
    <n v="4.48085693957413E-2"/>
    <s v="False"/>
    <n v="0.85092782974243097"/>
  </r>
  <r>
    <s v="lbpfeat_256_24_192"/>
    <x v="0"/>
    <x v="0"/>
    <x v="1"/>
    <x v="1"/>
    <s v="holdout"/>
    <n v="0.660598889062744"/>
    <n v="0"/>
    <s v="False"/>
    <n v="8.3325862884521401E-2"/>
  </r>
  <r>
    <s v="lbpfeat_256_24_192"/>
    <x v="0"/>
    <x v="0"/>
    <x v="1"/>
    <x v="1"/>
    <s v="crossvalidation"/>
    <n v="0.64960068807718097"/>
    <n v="5.0892986949211801E-2"/>
    <s v="False"/>
    <n v="1.9034910202026301"/>
  </r>
  <r>
    <s v="lbpfeat_256_24_192"/>
    <x v="0"/>
    <x v="0"/>
    <x v="2"/>
    <x v="2"/>
    <s v="holdout"/>
    <n v="0.62872441391726297"/>
    <n v="0"/>
    <s v="False"/>
    <n v="0.11633110046386699"/>
  </r>
  <r>
    <s v="lbpfeat_256_24_192"/>
    <x v="0"/>
    <x v="0"/>
    <x v="2"/>
    <x v="2"/>
    <s v="crossvalidation"/>
    <n v="0.63755291531840097"/>
    <n v="4.77124289712181E-2"/>
    <s v="False"/>
    <n v="2.1683771610260001"/>
  </r>
  <r>
    <s v="lbpfeat_256_24_192"/>
    <x v="0"/>
    <x v="0"/>
    <x v="3"/>
    <x v="3"/>
    <s v="holdout"/>
    <n v="0.75698663605322003"/>
    <n v="0"/>
    <s v="False"/>
    <n v="6.9762945175170898E-2"/>
  </r>
  <r>
    <s v="lbpfeat_256_24_192"/>
    <x v="0"/>
    <x v="0"/>
    <x v="3"/>
    <x v="3"/>
    <s v="crossvalidation"/>
    <n v="0.71915031484887504"/>
    <n v="4.4367791247289498E-2"/>
    <s v="False"/>
    <n v="0.77337217330932595"/>
  </r>
  <r>
    <s v="lbpfeat_256_24_192"/>
    <x v="0"/>
    <x v="0"/>
    <x v="4"/>
    <x v="4"/>
    <s v="holdout"/>
    <n v="0.80062656641604002"/>
    <n v="0"/>
    <s v="False"/>
    <n v="8.9587926864623996E-2"/>
  </r>
  <r>
    <s v="lbpfeat_256_24_192"/>
    <x v="0"/>
    <x v="0"/>
    <x v="4"/>
    <x v="4"/>
    <s v="crossvalidation"/>
    <n v="0.74795245242880903"/>
    <n v="6.0166954768339297E-2"/>
    <s v="False"/>
    <n v="1.36234903335571"/>
  </r>
  <r>
    <s v="lbpfeat_256_24_192"/>
    <x v="0"/>
    <x v="0"/>
    <x v="5"/>
    <x v="5"/>
    <s v="holdout"/>
    <n v="0.788165726817042"/>
    <n v="0"/>
    <s v="False"/>
    <n v="0.12622404098510701"/>
  </r>
  <r>
    <s v="lbpfeat_256_24_192"/>
    <x v="0"/>
    <x v="0"/>
    <x v="5"/>
    <x v="5"/>
    <s v="crossvalidation"/>
    <n v="0.75653158513570795"/>
    <n v="5.2861223461310003E-2"/>
    <s v="False"/>
    <n v="1.8640050888061499"/>
  </r>
  <r>
    <s v="lbpfeat_256_24_192"/>
    <x v="0"/>
    <x v="0"/>
    <x v="6"/>
    <x v="6"/>
    <s v="holdout"/>
    <n v="0.73658026755852801"/>
    <n v="0"/>
    <s v="False"/>
    <n v="4.36749458312988E-2"/>
  </r>
  <r>
    <s v="lbpfeat_256_24_192"/>
    <x v="0"/>
    <x v="0"/>
    <x v="6"/>
    <x v="6"/>
    <s v="crossvalidation"/>
    <n v="0.70599833973944004"/>
    <n v="3.6429227580618097E-2"/>
    <s v="False"/>
    <n v="0.48544979095458901"/>
  </r>
  <r>
    <s v="lbpfeat_256_24_192"/>
    <x v="0"/>
    <x v="0"/>
    <x v="7"/>
    <x v="7"/>
    <s v="holdout"/>
    <n v="0.754542042042042"/>
    <n v="0"/>
    <s v="False"/>
    <n v="4.7529935836791902E-2"/>
  </r>
  <r>
    <s v="lbpfeat_256_24_192"/>
    <x v="0"/>
    <x v="0"/>
    <x v="7"/>
    <x v="7"/>
    <s v="crossvalidation"/>
    <n v="0.69805935446441802"/>
    <n v="3.6927857289095999E-2"/>
    <s v="False"/>
    <n v="0.77352499961853005"/>
  </r>
  <r>
    <s v="lbpfeat_256_24_192"/>
    <x v="0"/>
    <x v="0"/>
    <x v="8"/>
    <x v="8"/>
    <s v="holdout"/>
    <n v="0.73658026755852801"/>
    <n v="0"/>
    <s v="False"/>
    <n v="7.1219205856323201E-2"/>
  </r>
  <r>
    <s v="lbpfeat_256_24_192"/>
    <x v="0"/>
    <x v="0"/>
    <x v="8"/>
    <x v="8"/>
    <s v="crossvalidation"/>
    <n v="0.69668633153910398"/>
    <n v="4.1590179720368901E-2"/>
    <s v="False"/>
    <n v="1.05771684646606"/>
  </r>
  <r>
    <s v="lbpfeat_256_24_192"/>
    <x v="0"/>
    <x v="0"/>
    <x v="9"/>
    <x v="9"/>
    <s v="holdout"/>
    <n v="0.76916009852216705"/>
    <n v="0"/>
    <s v="False"/>
    <n v="5.4975290298461896"/>
  </r>
  <r>
    <s v="lbpfeat_256_24_192"/>
    <x v="0"/>
    <x v="0"/>
    <x v="9"/>
    <x v="9"/>
    <s v="crossvalidation"/>
    <n v="0.74150220628341001"/>
    <n v="5.3972633419330403E-2"/>
    <s v="False"/>
    <n v="135.19075298309301"/>
  </r>
  <r>
    <s v="lbpfeat_256_24_192"/>
    <x v="0"/>
    <x v="0"/>
    <x v="10"/>
    <x v="10"/>
    <s v="holdout"/>
    <n v="0.75698663605322003"/>
    <n v="0"/>
    <s v="False"/>
    <n v="9.5509269237518293"/>
  </r>
  <r>
    <s v="lbpfeat_256_24_192"/>
    <x v="0"/>
    <x v="0"/>
    <x v="10"/>
    <x v="10"/>
    <s v="crossvalidation"/>
    <n v="0.74272714299614495"/>
    <n v="5.7079934031973797E-2"/>
    <s v="False"/>
    <n v="279.7165517807"/>
  </r>
  <r>
    <s v="lbpfeat_256_24_192"/>
    <x v="0"/>
    <x v="0"/>
    <x v="11"/>
    <x v="11"/>
    <s v="holdout"/>
    <n v="0.76934106012347103"/>
    <n v="0"/>
    <s v="False"/>
    <n v="12.6184659004211"/>
  </r>
  <r>
    <s v="lbpfeat_256_24_192"/>
    <x v="0"/>
    <x v="0"/>
    <x v="11"/>
    <x v="11"/>
    <s v="crossvalidation"/>
    <n v="0.745294547180679"/>
    <n v="5.7076596933423998E-2"/>
    <s v="False"/>
    <n v="409.14205288887001"/>
  </r>
  <r>
    <s v="lbpfeat_256_24_192"/>
    <x v="1"/>
    <x v="1"/>
    <x v="0"/>
    <x v="12"/>
    <s v="holdout"/>
    <n v="0.76933773216031198"/>
    <n v="0"/>
    <s v="False"/>
    <n v="9.6490144729614202E-2"/>
  </r>
  <r>
    <s v="lbpfeat_256_24_192"/>
    <x v="1"/>
    <x v="1"/>
    <x v="0"/>
    <x v="12"/>
    <s v="crossvalidation"/>
    <n v="0.74736326737693004"/>
    <n v="5.6393040720326103E-2"/>
    <s v="False"/>
    <n v="1.76256704330444"/>
  </r>
  <r>
    <s v="lbpfeat_256_24_192"/>
    <x v="1"/>
    <x v="1"/>
    <x v="1"/>
    <x v="13"/>
    <s v="holdout"/>
    <n v="0.80056329212955701"/>
    <n v="0"/>
    <s v="False"/>
    <n v="9.41030979156494E-2"/>
  </r>
  <r>
    <s v="lbpfeat_256_24_192"/>
    <x v="1"/>
    <x v="1"/>
    <x v="1"/>
    <x v="13"/>
    <s v="crossvalidation"/>
    <n v="0.75260773979987305"/>
    <n v="4.9256242639696302E-2"/>
    <s v="False"/>
    <n v="1.68361496925354"/>
  </r>
  <r>
    <s v="lbpfeat_256_24_192"/>
    <x v="1"/>
    <x v="1"/>
    <x v="2"/>
    <x v="14"/>
    <s v="holdout"/>
    <n v="0.77549249530956799"/>
    <n v="0"/>
    <s v="False"/>
    <n v="9.3904018402099595E-2"/>
  </r>
  <r>
    <s v="lbpfeat_256_24_192"/>
    <x v="1"/>
    <x v="1"/>
    <x v="2"/>
    <x v="14"/>
    <s v="crossvalidation"/>
    <n v="0.73802956217461801"/>
    <n v="5.1969744158524601E-2"/>
    <s v="False"/>
    <n v="1.73680591583251"/>
  </r>
  <r>
    <s v="lbpfeat_256_24_192"/>
    <x v="1"/>
    <x v="1"/>
    <x v="3"/>
    <x v="15"/>
    <s v="holdout"/>
    <n v="0.77570488721804498"/>
    <n v="0"/>
    <s v="False"/>
    <n v="9.6858978271484306E-2"/>
  </r>
  <r>
    <s v="lbpfeat_256_24_192"/>
    <x v="1"/>
    <x v="1"/>
    <x v="3"/>
    <x v="15"/>
    <s v="crossvalidation"/>
    <n v="0.74393124449985704"/>
    <n v="5.2249120083914101E-2"/>
    <s v="False"/>
    <n v="1.69408202171325"/>
  </r>
  <r>
    <s v="lbpfeat_256_24_192"/>
    <x v="1"/>
    <x v="1"/>
    <x v="4"/>
    <x v="16"/>
    <s v="holdout"/>
    <n v="0.76944689053266002"/>
    <n v="0"/>
    <s v="False"/>
    <n v="9.1202020645141602E-2"/>
  </r>
  <r>
    <s v="lbpfeat_256_24_192"/>
    <x v="1"/>
    <x v="1"/>
    <x v="4"/>
    <x v="16"/>
    <s v="crossvalidation"/>
    <n v="0.75157071172818302"/>
    <n v="5.2581655873947003E-2"/>
    <s v="False"/>
    <n v="1.7511861324310301"/>
  </r>
  <r>
    <s v="lbpfeat_256_24_192"/>
    <x v="1"/>
    <x v="1"/>
    <x v="5"/>
    <x v="17"/>
    <s v="holdout"/>
    <n v="0.788165726817042"/>
    <n v="0"/>
    <s v="False"/>
    <n v="0.100641727447509"/>
  </r>
  <r>
    <s v="lbpfeat_256_24_192"/>
    <x v="1"/>
    <x v="1"/>
    <x v="5"/>
    <x v="17"/>
    <s v="crossvalidation"/>
    <n v="0.74930733657342596"/>
    <n v="5.2948310224397999E-2"/>
    <s v="False"/>
    <n v="1.74174308776855"/>
  </r>
  <r>
    <s v="lbpfeat_256_24_192"/>
    <x v="1"/>
    <x v="1"/>
    <x v="6"/>
    <x v="18"/>
    <s v="holdout"/>
    <n v="0.78809849788765396"/>
    <n v="0"/>
    <s v="False"/>
    <n v="9.4274997711181599E-2"/>
  </r>
  <r>
    <s v="lbpfeat_256_24_192"/>
    <x v="1"/>
    <x v="1"/>
    <x v="6"/>
    <x v="18"/>
    <s v="crossvalidation"/>
    <n v="0.75409246632182503"/>
    <n v="6.3594064217933205E-2"/>
    <s v="False"/>
    <n v="1.76769375801086"/>
  </r>
  <r>
    <s v="lbpfeat_256_24_192"/>
    <x v="1"/>
    <x v="1"/>
    <x v="7"/>
    <x v="19"/>
    <s v="holdout"/>
    <n v="0.75702368823229704"/>
    <n v="0"/>
    <s v="False"/>
    <n v="9.6606969833373996E-2"/>
  </r>
  <r>
    <s v="lbpfeat_256_24_192"/>
    <x v="1"/>
    <x v="1"/>
    <x v="7"/>
    <x v="19"/>
    <s v="crossvalidation"/>
    <n v="0.75803600734361898"/>
    <n v="5.53911794293152E-2"/>
    <s v="False"/>
    <n v="1.7914576530456501"/>
  </r>
  <r>
    <s v="lbpfeat_256_24_192"/>
    <x v="1"/>
    <x v="1"/>
    <x v="8"/>
    <x v="20"/>
    <s v="holdout"/>
    <n v="0.77563370364575102"/>
    <n v="0"/>
    <s v="False"/>
    <n v="9.51712131500244E-2"/>
  </r>
  <r>
    <s v="lbpfeat_256_24_192"/>
    <x v="1"/>
    <x v="1"/>
    <x v="8"/>
    <x v="20"/>
    <s v="crossvalidation"/>
    <n v="0.74163990249044698"/>
    <n v="5.6662676637838E-2"/>
    <s v="False"/>
    <n v="1.7611000537872299"/>
  </r>
  <r>
    <s v="lbpfeat_256_24_192"/>
    <x v="1"/>
    <x v="1"/>
    <x v="9"/>
    <x v="21"/>
    <s v="holdout"/>
    <n v="0.78180596285435"/>
    <n v="0"/>
    <s v="False"/>
    <n v="9.62109565734863E-2"/>
  </r>
  <r>
    <s v="lbpfeat_256_24_192"/>
    <x v="1"/>
    <x v="1"/>
    <x v="9"/>
    <x v="21"/>
    <s v="crossvalidation"/>
    <n v="0.74407771663881095"/>
    <n v="5.6224914027943503E-2"/>
    <s v="False"/>
    <n v="1.73144006729125"/>
  </r>
  <r>
    <s v="lbpfeat_256_24_192"/>
    <x v="1"/>
    <x v="1"/>
    <x v="10"/>
    <x v="22"/>
    <s v="holdout"/>
    <n v="0.77563370364575102"/>
    <n v="0"/>
    <s v="False"/>
    <n v="9.6683025360107394E-2"/>
  </r>
  <r>
    <s v="lbpfeat_256_24_192"/>
    <x v="1"/>
    <x v="1"/>
    <x v="10"/>
    <x v="22"/>
    <s v="crossvalidation"/>
    <n v="0.750331644939225"/>
    <n v="4.9339686702329202E-2"/>
    <s v="False"/>
    <n v="1.77783107757568"/>
  </r>
  <r>
    <s v="lbpfeat_256_24_192"/>
    <x v="1"/>
    <x v="1"/>
    <x v="11"/>
    <x v="23"/>
    <s v="holdout"/>
    <n v="0.78180596285435"/>
    <n v="0"/>
    <s v="False"/>
    <n v="9.8970890045166002E-2"/>
  </r>
  <r>
    <s v="lbpfeat_256_24_192"/>
    <x v="1"/>
    <x v="1"/>
    <x v="11"/>
    <x v="23"/>
    <s v="crossvalidation"/>
    <n v="0.74916183604729703"/>
    <n v="5.1283020854940797E-2"/>
    <s v="False"/>
    <n v="1.74594926834106"/>
  </r>
  <r>
    <s v="lbpfeat_256_24_192"/>
    <x v="2"/>
    <x v="2"/>
    <x v="0"/>
    <x v="24"/>
    <s v="holdout"/>
    <n v="0.78809849788765396"/>
    <n v="0"/>
    <s v="False"/>
    <n v="0.75136399269104004"/>
  </r>
  <r>
    <s v="lbpfeat_256_24_192"/>
    <x v="2"/>
    <x v="2"/>
    <x v="0"/>
    <x v="24"/>
    <s v="crossvalidation"/>
    <n v="0.73779809736703295"/>
    <n v="5.2758928724565599E-2"/>
    <s v="False"/>
    <n v="24.510234117507899"/>
  </r>
  <r>
    <s v="lbpfeat_256_24_192"/>
    <x v="2"/>
    <x v="2"/>
    <x v="1"/>
    <x v="25"/>
    <s v="holdout"/>
    <n v="0.75031254883575504"/>
    <n v="0"/>
    <s v="False"/>
    <n v="1.0114219188690099"/>
  </r>
  <r>
    <s v="lbpfeat_256_24_192"/>
    <x v="2"/>
    <x v="2"/>
    <x v="1"/>
    <x v="25"/>
    <s v="crossvalidation"/>
    <n v="0.71938258885427397"/>
    <n v="6.20155254401243E-2"/>
    <s v="False"/>
    <n v="30.419192075729299"/>
  </r>
  <r>
    <s v="lbpfeat_256_24_192"/>
    <x v="2"/>
    <x v="2"/>
    <x v="2"/>
    <x v="26"/>
    <s v="holdout"/>
    <n v="0.756069084729872"/>
    <n v="0"/>
    <s v="False"/>
    <n v="1.23337602615356"/>
  </r>
  <r>
    <s v="lbpfeat_256_24_192"/>
    <x v="2"/>
    <x v="2"/>
    <x v="2"/>
    <x v="26"/>
    <s v="crossvalidation"/>
    <n v="0.72736632568611004"/>
    <n v="5.2964002818063002E-2"/>
    <s v="False"/>
    <n v="35.690931320190401"/>
  </r>
  <r>
    <s v="lbpfeat_256_24_192"/>
    <x v="2"/>
    <x v="2"/>
    <x v="3"/>
    <x v="27"/>
    <s v="holdout"/>
    <n v="0.75031254883575504"/>
    <n v="0"/>
    <s v="False"/>
    <n v="2.0723178386688201"/>
  </r>
  <r>
    <s v="lbpfeat_256_24_192"/>
    <x v="2"/>
    <x v="2"/>
    <x v="3"/>
    <x v="27"/>
    <s v="crossvalidation"/>
    <n v="0.74006387023192"/>
    <n v="6.1929397413928097E-2"/>
    <s v="False"/>
    <n v="46.7961459159851"/>
  </r>
  <r>
    <s v="lbpfeat_256_24_192"/>
    <x v="3"/>
    <x v="3"/>
    <x v="0"/>
    <x v="24"/>
    <s v="holdout"/>
    <n v="0.756984560291182"/>
    <n v="0"/>
    <s v="False"/>
    <n v="5.9193212985992396"/>
  </r>
  <r>
    <s v="lbpfeat_256_24_192"/>
    <x v="3"/>
    <x v="3"/>
    <x v="0"/>
    <x v="24"/>
    <s v="crossvalidation"/>
    <n v="0.73756906576510595"/>
    <n v="6.7780191342325005E-2"/>
    <s v="False"/>
    <n v="125.577377796173"/>
  </r>
  <r>
    <s v="lbpfeat_256_24_192"/>
    <x v="3"/>
    <x v="3"/>
    <x v="1"/>
    <x v="25"/>
    <s v="holdout"/>
    <n v="0.74440495851519795"/>
    <n v="0"/>
    <s v="False"/>
    <n v="6.9915800094604403"/>
  </r>
  <r>
    <s v="lbpfeat_256_24_192"/>
    <x v="3"/>
    <x v="3"/>
    <x v="1"/>
    <x v="25"/>
    <s v="crossvalidation"/>
    <n v="0.73669512683726701"/>
    <n v="6.4489560714474398E-2"/>
    <s v="False"/>
    <n v="156.03731989860501"/>
  </r>
  <r>
    <s v="lbpfeat_256_24_192"/>
    <x v="3"/>
    <x v="3"/>
    <x v="2"/>
    <x v="26"/>
    <s v="holdout"/>
    <n v="0.75687300931933399"/>
    <n v="0"/>
    <s v="False"/>
    <n v="7.7955949306488002"/>
  </r>
  <r>
    <s v="lbpfeat_256_24_192"/>
    <x v="3"/>
    <x v="3"/>
    <x v="2"/>
    <x v="26"/>
    <s v="crossvalidation"/>
    <n v="0.72739787367027497"/>
    <n v="5.9882780667113999E-2"/>
    <s v="False"/>
    <n v="182.97848200798001"/>
  </r>
  <r>
    <s v="lbpfeat_256_24_192"/>
    <x v="3"/>
    <x v="3"/>
    <x v="3"/>
    <x v="27"/>
    <s v="holdout"/>
    <n v="0.73193690771106101"/>
    <n v="0"/>
    <s v="False"/>
    <n v="10.477772235870299"/>
  </r>
  <r>
    <s v="lbpfeat_256_24_192"/>
    <x v="3"/>
    <x v="3"/>
    <x v="3"/>
    <x v="27"/>
    <s v="crossvalidation"/>
    <n v="0.74262585750676102"/>
    <n v="5.3901453188200499E-2"/>
    <s v="False"/>
    <n v="245.414561033247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B1CF52-3D0E-8B4D-832E-467A81C7991F}" name="Tabela dinâmica1" cacheId="2" applyNumberFormats="0" applyBorderFormats="0" applyFontFormats="0" applyPatternFormats="0" applyAlignmentFormats="0" applyWidthHeightFormats="1" dataCaption="Valores" updatedVersion="8" minRefreshableVersion="3" useAutoFormatting="1" colGrandTotals="0" itemPrintTitles="1" createdVersion="8" indent="0" compact="0" compactData="0" multipleFieldFilters="0">
  <location ref="A3:N29" firstHeaderRow="1" firstDataRow="2" firstDataCol="2" rowPageCount="1" colPageCount="1"/>
  <pivotFields count="10">
    <pivotField axis="axisRow" compact="0" outline="0" showAll="0" defaultSubtotal="0">
      <items count="12">
        <item x="10"/>
        <item x="5"/>
        <item x="3"/>
        <item x="0"/>
        <item x="6"/>
        <item x="9"/>
        <item x="4"/>
        <item x="1"/>
        <item x="2"/>
        <item x="8"/>
        <item x="11"/>
        <item x="7"/>
      </items>
    </pivotField>
    <pivotField compact="0" outline="0" showAll="0" defaultSubtotal="0"/>
    <pivotField axis="axisPage" compact="0" outline="0" multipleItemSelectionAllowed="1" showAll="0" defaultSubtotal="0">
      <items count="4">
        <item x="0"/>
        <item h="1" x="1"/>
        <item h="1" x="3"/>
        <item h="1" x="2"/>
      </items>
    </pivotField>
    <pivotField axis="axisCol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compact="0" outline="0" showAll="0" defaultSubtotal="0">
      <items count="28">
        <item x="16"/>
        <item x="19"/>
        <item x="17"/>
        <item x="18"/>
        <item x="12"/>
        <item x="15"/>
        <item x="13"/>
        <item x="14"/>
        <item x="20"/>
        <item x="23"/>
        <item x="21"/>
        <item x="22"/>
        <item x="3"/>
        <item x="4"/>
        <item x="5"/>
        <item x="0"/>
        <item x="1"/>
        <item x="2"/>
        <item x="9"/>
        <item x="10"/>
        <item x="11"/>
        <item x="6"/>
        <item x="7"/>
        <item x="8"/>
        <item x="25"/>
        <item x="26"/>
        <item x="27"/>
        <item x="24"/>
      </items>
    </pivotField>
    <pivotField axis="axisRow" compact="0" outline="0" showAll="0" defaultSubtotal="0">
      <items count="2">
        <item x="1"/>
        <item x="0"/>
      </items>
    </pivotField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2">
    <field x="0"/>
    <field x="5"/>
  </rowFields>
  <rowItems count="25">
    <i>
      <x/>
      <x/>
    </i>
    <i r="1">
      <x v="1"/>
    </i>
    <i>
      <x v="1"/>
      <x/>
    </i>
    <i r="1">
      <x v="1"/>
    </i>
    <i>
      <x v="2"/>
      <x/>
    </i>
    <i r="1">
      <x v="1"/>
    </i>
    <i>
      <x v="3"/>
      <x/>
    </i>
    <i r="1">
      <x v="1"/>
    </i>
    <i>
      <x v="4"/>
      <x/>
    </i>
    <i r="1">
      <x v="1"/>
    </i>
    <i>
      <x v="5"/>
      <x/>
    </i>
    <i r="1">
      <x v="1"/>
    </i>
    <i>
      <x v="6"/>
      <x/>
    </i>
    <i r="1">
      <x v="1"/>
    </i>
    <i>
      <x v="7"/>
      <x/>
    </i>
    <i r="1">
      <x v="1"/>
    </i>
    <i>
      <x v="8"/>
      <x/>
    </i>
    <i r="1">
      <x v="1"/>
    </i>
    <i>
      <x v="9"/>
      <x/>
    </i>
    <i r="1">
      <x v="1"/>
    </i>
    <i>
      <x v="10"/>
      <x/>
    </i>
    <i r="1">
      <x v="1"/>
    </i>
    <i>
      <x v="11"/>
      <x/>
    </i>
    <i r="1">
      <x v="1"/>
    </i>
    <i t="grand">
      <x/>
    </i>
  </rowItems>
  <colFields count="1">
    <field x="3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colItems>
  <pageFields count="1">
    <pageField fld="2" hier="-1"/>
  </pageFields>
  <dataFields count="1">
    <dataField name="Média de f1_score" fld="6" subtotal="average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2AC3A9-0A87-554A-8C41-91BA0F4E309B}" name="Tabela dinâmica5" cacheId="3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>
  <location ref="A49:B61" firstHeaderRow="1" firstDataRow="1" firstDataCol="2" rowPageCount="1" colPageCount="1"/>
  <pivotFields count="10">
    <pivotField compact="0" outline="0" showAll="0" defaultSubtotal="0"/>
    <pivotField axis="axisPage" compact="0" outline="0" multipleItemSelectionAllowed="1" showAll="0" defaultSubtotal="0">
      <items count="4">
        <item x="0"/>
        <item h="1" x="1"/>
        <item h="1" x="3"/>
        <item h="1" x="2"/>
      </items>
    </pivotField>
    <pivotField compact="0" outline="0" showAll="0" defaultSubtotal="0"/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axis="axisRow" compact="0" outline="0" showAll="0" defaultSubtotal="0">
      <items count="28">
        <item x="16"/>
        <item x="19"/>
        <item x="17"/>
        <item x="18"/>
        <item x="12"/>
        <item x="15"/>
        <item x="13"/>
        <item x="14"/>
        <item x="20"/>
        <item x="23"/>
        <item x="21"/>
        <item x="22"/>
        <item x="3"/>
        <item x="4"/>
        <item x="5"/>
        <item x="0"/>
        <item x="1"/>
        <item x="2"/>
        <item x="9"/>
        <item x="10"/>
        <item x="11"/>
        <item x="6"/>
        <item x="7"/>
        <item x="8"/>
        <item x="25"/>
        <item x="26"/>
        <item x="27"/>
        <item x="24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2">
    <field x="3"/>
    <field x="4"/>
  </rowFields>
  <rowItems count="12">
    <i>
      <x/>
      <x v="15"/>
    </i>
    <i>
      <x v="1"/>
      <x v="16"/>
    </i>
    <i>
      <x v="2"/>
      <x v="17"/>
    </i>
    <i>
      <x v="3"/>
      <x v="12"/>
    </i>
    <i>
      <x v="4"/>
      <x v="13"/>
    </i>
    <i>
      <x v="5"/>
      <x v="14"/>
    </i>
    <i>
      <x v="6"/>
      <x v="21"/>
    </i>
    <i>
      <x v="7"/>
      <x v="22"/>
    </i>
    <i>
      <x v="8"/>
      <x v="23"/>
    </i>
    <i>
      <x v="9"/>
      <x v="18"/>
    </i>
    <i>
      <x v="10"/>
      <x v="19"/>
    </i>
    <i>
      <x v="11"/>
      <x v="20"/>
    </i>
  </rowItems>
  <colItems count="1">
    <i/>
  </colItems>
  <pageFields count="1">
    <pageField fld="1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A66ABC-F701-E349-91FE-0928348E21D5}" name="Tabela dinâmica4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P3:T16" firstHeaderRow="0" firstDataRow="1" firstDataCol="1" rowPageCount="1" colPageCount="1"/>
  <pivotFields count="10">
    <pivotField compact="0" outline="0" showAll="0"/>
    <pivotField axis="axisPage" compact="0" outline="0" multipleItemSelectionAllowed="1" showAll="0">
      <items count="5">
        <item x="0"/>
        <item h="1" x="1"/>
        <item h="1" x="3"/>
        <item h="1" x="2"/>
        <item t="default"/>
      </items>
    </pivotField>
    <pivotField compact="0" outline="0" showAll="0"/>
    <pivotField axis="axisRow" compact="0" outline="0" showAll="0" sortType="de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dataField="1" compact="0" outline="0" showAll="0"/>
  </pivotFields>
  <rowFields count="1">
    <field x="3"/>
  </rowFields>
  <rowItems count="13">
    <i>
      <x v="11"/>
    </i>
    <i>
      <x v="9"/>
    </i>
    <i>
      <x v="10"/>
    </i>
    <i>
      <x v="5"/>
    </i>
    <i>
      <x v="4"/>
    </i>
    <i>
      <x v="8"/>
    </i>
    <i>
      <x v="6"/>
    </i>
    <i>
      <x v="7"/>
    </i>
    <i>
      <x v="3"/>
    </i>
    <i>
      <x v="1"/>
    </i>
    <i>
      <x v="2"/>
    </i>
    <i>
      <x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1" hier="-1"/>
  </pageFields>
  <dataFields count="4">
    <dataField name="Média de f1_score" fld="6" subtotal="average" baseField="0" baseItem="0" numFmtId="165"/>
    <dataField name="DesvPad de f1_score" fld="6" subtotal="stdDev" baseField="0" baseItem="0" numFmtId="165"/>
    <dataField name="Média de execution_time" fld="9" subtotal="average" baseField="0" baseItem="0" numFmtId="166"/>
    <dataField name="DesvPad de execution_time" fld="9" subtotal="stdDev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F03245-D0A4-9346-ACB5-8FA989F63DE8}" name="Tabela dinâmica5" cacheId="3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>
  <location ref="A49:B61" firstHeaderRow="1" firstDataRow="1" firstDataCol="2" rowPageCount="1" colPageCount="1"/>
  <pivotFields count="10">
    <pivotField compact="0" outline="0" showAll="0" defaultSubtotal="0"/>
    <pivotField axis="axisPage" compact="0" outline="0" multipleItemSelectionAllowed="1" showAll="0" defaultSubtotal="0">
      <items count="4">
        <item h="1" x="0"/>
        <item x="1"/>
        <item h="1" x="3"/>
        <item h="1" x="2"/>
      </items>
    </pivotField>
    <pivotField compact="0" outline="0" showAll="0" defaultSubtotal="0"/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axis="axisRow" compact="0" outline="0" showAll="0" defaultSubtotal="0">
      <items count="28">
        <item x="16"/>
        <item x="19"/>
        <item x="17"/>
        <item x="18"/>
        <item x="12"/>
        <item x="15"/>
        <item x="13"/>
        <item x="14"/>
        <item x="20"/>
        <item x="23"/>
        <item x="21"/>
        <item x="22"/>
        <item x="3"/>
        <item x="4"/>
        <item x="5"/>
        <item x="0"/>
        <item x="1"/>
        <item x="2"/>
        <item x="9"/>
        <item x="10"/>
        <item x="11"/>
        <item x="6"/>
        <item x="7"/>
        <item x="8"/>
        <item x="25"/>
        <item x="26"/>
        <item x="27"/>
        <item x="24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2">
    <field x="3"/>
    <field x="4"/>
  </rowFields>
  <rowItems count="12">
    <i>
      <x/>
      <x v="4"/>
    </i>
    <i>
      <x v="1"/>
      <x v="6"/>
    </i>
    <i>
      <x v="2"/>
      <x v="7"/>
    </i>
    <i>
      <x v="3"/>
      <x v="5"/>
    </i>
    <i>
      <x v="4"/>
      <x/>
    </i>
    <i>
      <x v="5"/>
      <x v="2"/>
    </i>
    <i>
      <x v="6"/>
      <x v="3"/>
    </i>
    <i>
      <x v="7"/>
      <x v="1"/>
    </i>
    <i>
      <x v="8"/>
      <x v="8"/>
    </i>
    <i>
      <x v="9"/>
      <x v="10"/>
    </i>
    <i>
      <x v="10"/>
      <x v="11"/>
    </i>
    <i>
      <x v="11"/>
      <x v="9"/>
    </i>
  </rowItems>
  <colItems count="1">
    <i/>
  </colItems>
  <pageFields count="1">
    <pageField fld="1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F8ED69-12D5-8241-ADF8-D9CA21B77726}" name="Tabela dinâmica1" cacheId="2" applyNumberFormats="0" applyBorderFormats="0" applyFontFormats="0" applyPatternFormats="0" applyAlignmentFormats="0" applyWidthHeightFormats="1" dataCaption="Valores" updatedVersion="8" minRefreshableVersion="3" useAutoFormatting="1" colGrandTotals="0" itemPrintTitles="1" createdVersion="8" indent="0" compact="0" compactData="0" multipleFieldFilters="0">
  <location ref="A3:N29" firstHeaderRow="1" firstDataRow="2" firstDataCol="2" rowPageCount="1" colPageCount="1"/>
  <pivotFields count="10">
    <pivotField axis="axisRow" compact="0" outline="0" showAll="0" defaultSubtotal="0">
      <items count="12">
        <item x="10"/>
        <item x="5"/>
        <item x="3"/>
        <item x="0"/>
        <item x="6"/>
        <item x="9"/>
        <item x="4"/>
        <item x="1"/>
        <item x="2"/>
        <item x="8"/>
        <item x="11"/>
        <item x="7"/>
      </items>
    </pivotField>
    <pivotField compact="0" outline="0" showAll="0" defaultSubtotal="0"/>
    <pivotField axis="axisPage" compact="0" outline="0" multipleItemSelectionAllowed="1" showAll="0" defaultSubtotal="0">
      <items count="4">
        <item h="1" x="0"/>
        <item x="1"/>
        <item h="1" x="3"/>
        <item h="1" x="2"/>
      </items>
    </pivotField>
    <pivotField axis="axisCol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compact="0" outline="0" showAll="0" defaultSubtotal="0">
      <items count="28">
        <item x="16"/>
        <item x="19"/>
        <item x="17"/>
        <item x="18"/>
        <item x="12"/>
        <item x="15"/>
        <item x="13"/>
        <item x="14"/>
        <item x="20"/>
        <item x="23"/>
        <item x="21"/>
        <item x="22"/>
        <item x="3"/>
        <item x="4"/>
        <item x="5"/>
        <item x="0"/>
        <item x="1"/>
        <item x="2"/>
        <item x="9"/>
        <item x="10"/>
        <item x="11"/>
        <item x="6"/>
        <item x="7"/>
        <item x="8"/>
        <item x="25"/>
        <item x="26"/>
        <item x="27"/>
        <item x="24"/>
      </items>
    </pivotField>
    <pivotField axis="axisRow" compact="0" outline="0" showAll="0" defaultSubtotal="0">
      <items count="2">
        <item x="1"/>
        <item x="0"/>
      </items>
    </pivotField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2">
    <field x="0"/>
    <field x="5"/>
  </rowFields>
  <rowItems count="25">
    <i>
      <x/>
      <x/>
    </i>
    <i r="1">
      <x v="1"/>
    </i>
    <i>
      <x v="1"/>
      <x/>
    </i>
    <i r="1">
      <x v="1"/>
    </i>
    <i>
      <x v="2"/>
      <x/>
    </i>
    <i r="1">
      <x v="1"/>
    </i>
    <i>
      <x v="3"/>
      <x/>
    </i>
    <i r="1">
      <x v="1"/>
    </i>
    <i>
      <x v="4"/>
      <x/>
    </i>
    <i r="1">
      <x v="1"/>
    </i>
    <i>
      <x v="5"/>
      <x/>
    </i>
    <i r="1">
      <x v="1"/>
    </i>
    <i>
      <x v="6"/>
      <x/>
    </i>
    <i r="1">
      <x v="1"/>
    </i>
    <i>
      <x v="7"/>
      <x/>
    </i>
    <i r="1">
      <x v="1"/>
    </i>
    <i>
      <x v="8"/>
      <x/>
    </i>
    <i r="1">
      <x v="1"/>
    </i>
    <i>
      <x v="9"/>
      <x/>
    </i>
    <i r="1">
      <x v="1"/>
    </i>
    <i>
      <x v="10"/>
      <x/>
    </i>
    <i r="1">
      <x v="1"/>
    </i>
    <i>
      <x v="11"/>
      <x/>
    </i>
    <i r="1">
      <x v="1"/>
    </i>
    <i t="grand">
      <x/>
    </i>
  </rowItems>
  <colFields count="1">
    <field x="3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colItems>
  <pageFields count="1">
    <pageField fld="2" hier="-1"/>
  </pageFields>
  <dataFields count="1">
    <dataField name="Média de f1_score" fld="6" subtotal="average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322624-C5A0-D44E-8E86-46DE173AA181}" name="Tabela dinâmica4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P3:T16" firstHeaderRow="0" firstDataRow="1" firstDataCol="1" rowPageCount="1" colPageCount="1"/>
  <pivotFields count="10">
    <pivotField compact="0" outline="0" showAll="0"/>
    <pivotField axis="axisPage" compact="0" outline="0" multipleItemSelectionAllowed="1" showAll="0">
      <items count="5">
        <item h="1" x="0"/>
        <item x="1"/>
        <item h="1" x="3"/>
        <item h="1" x="2"/>
        <item t="default"/>
      </items>
    </pivotField>
    <pivotField compact="0" outline="0" showAll="0"/>
    <pivotField axis="axisRow" compact="0" outline="0" showAll="0" sortType="de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dataField="1" compact="0" outline="0" showAll="0"/>
  </pivotFields>
  <rowFields count="1">
    <field x="3"/>
  </rowFields>
  <rowItems count="13">
    <i>
      <x v="11"/>
    </i>
    <i>
      <x v="4"/>
    </i>
    <i>
      <x v="10"/>
    </i>
    <i>
      <x v="7"/>
    </i>
    <i>
      <x v="8"/>
    </i>
    <i>
      <x v="5"/>
    </i>
    <i>
      <x v="9"/>
    </i>
    <i>
      <x v="6"/>
    </i>
    <i>
      <x v="1"/>
    </i>
    <i>
      <x/>
    </i>
    <i>
      <x v="2"/>
    </i>
    <i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1" hier="-1"/>
  </pageFields>
  <dataFields count="4">
    <dataField name="Média de f1_score" fld="6" subtotal="average" baseField="0" baseItem="0" numFmtId="165"/>
    <dataField name="DesvPad de f1_score" fld="6" subtotal="stdDev" baseField="0" baseItem="0" numFmtId="165"/>
    <dataField name="Média de execution_time" fld="9" subtotal="average" baseField="0" baseItem="0" numFmtId="166"/>
    <dataField name="DesvPad de execution_time" fld="9" subtotal="stdDev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EFCDCA-25B7-CF42-92CB-CFF2777D4CEB}" name="Tabela dinâmica5" cacheId="3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>
  <location ref="A49:B53" firstHeaderRow="1" firstDataRow="1" firstDataCol="2" rowPageCount="1" colPageCount="1"/>
  <pivotFields count="10">
    <pivotField compact="0" outline="0" showAll="0" defaultSubtotal="0"/>
    <pivotField axis="axisPage" compact="0" outline="0" multipleItemSelectionAllowed="1" showAll="0" defaultSubtotal="0">
      <items count="4">
        <item h="1" x="0"/>
        <item h="1" x="1"/>
        <item h="1" x="3"/>
        <item x="2"/>
      </items>
    </pivotField>
    <pivotField compact="0" outline="0" showAll="0" defaultSubtotal="0"/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axis="axisRow" compact="0" outline="0" showAll="0" defaultSubtotal="0">
      <items count="28">
        <item x="16"/>
        <item x="19"/>
        <item x="17"/>
        <item x="18"/>
        <item x="12"/>
        <item x="15"/>
        <item x="13"/>
        <item x="14"/>
        <item x="20"/>
        <item x="23"/>
        <item x="21"/>
        <item x="22"/>
        <item x="3"/>
        <item x="4"/>
        <item x="5"/>
        <item x="0"/>
        <item x="1"/>
        <item x="2"/>
        <item x="9"/>
        <item x="10"/>
        <item x="11"/>
        <item x="6"/>
        <item x="7"/>
        <item x="8"/>
        <item x="25"/>
        <item x="26"/>
        <item x="27"/>
        <item x="24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2">
    <field x="3"/>
    <field x="4"/>
  </rowFields>
  <rowItems count="4">
    <i>
      <x/>
      <x v="27"/>
    </i>
    <i>
      <x v="1"/>
      <x v="24"/>
    </i>
    <i>
      <x v="2"/>
      <x v="25"/>
    </i>
    <i>
      <x v="3"/>
      <x v="26"/>
    </i>
  </rowItems>
  <colItems count="1">
    <i/>
  </colItems>
  <pageFields count="1">
    <pageField fld="1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BB5990-B82A-7742-977A-71599871313C}" name="Tabela dinâmica1" cacheId="2" applyNumberFormats="0" applyBorderFormats="0" applyFontFormats="0" applyPatternFormats="0" applyAlignmentFormats="0" applyWidthHeightFormats="1" dataCaption="Valores" updatedVersion="8" minRefreshableVersion="3" useAutoFormatting="1" colGrandTotals="0" itemPrintTitles="1" createdVersion="8" indent="0" compact="0" compactData="0" multipleFieldFilters="0">
  <location ref="A3:F29" firstHeaderRow="1" firstDataRow="2" firstDataCol="2" rowPageCount="1" colPageCount="1"/>
  <pivotFields count="10">
    <pivotField axis="axisRow" compact="0" outline="0" showAll="0" defaultSubtotal="0">
      <items count="12">
        <item x="10"/>
        <item x="5"/>
        <item x="3"/>
        <item x="0"/>
        <item x="6"/>
        <item x="9"/>
        <item x="4"/>
        <item x="1"/>
        <item x="2"/>
        <item x="8"/>
        <item x="11"/>
        <item x="7"/>
      </items>
    </pivotField>
    <pivotField compact="0" outline="0" showAll="0" defaultSubtotal="0"/>
    <pivotField axis="axisPage" compact="0" outline="0" multipleItemSelectionAllowed="1" showAll="0" defaultSubtotal="0">
      <items count="4">
        <item h="1" x="0"/>
        <item h="1" x="1"/>
        <item h="1" x="3"/>
        <item x="2"/>
      </items>
    </pivotField>
    <pivotField axis="axisCol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compact="0" outline="0" showAll="0" defaultSubtotal="0">
      <items count="28">
        <item x="16"/>
        <item x="19"/>
        <item x="17"/>
        <item x="18"/>
        <item x="12"/>
        <item x="15"/>
        <item x="13"/>
        <item x="14"/>
        <item x="20"/>
        <item x="23"/>
        <item x="21"/>
        <item x="22"/>
        <item x="3"/>
        <item x="4"/>
        <item x="5"/>
        <item x="0"/>
        <item x="1"/>
        <item x="2"/>
        <item x="9"/>
        <item x="10"/>
        <item x="11"/>
        <item x="6"/>
        <item x="7"/>
        <item x="8"/>
        <item x="25"/>
        <item x="26"/>
        <item x="27"/>
        <item x="24"/>
      </items>
    </pivotField>
    <pivotField axis="axisRow" compact="0" outline="0" showAll="0" defaultSubtotal="0">
      <items count="2">
        <item x="1"/>
        <item x="0"/>
      </items>
    </pivotField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2">
    <field x="0"/>
    <field x="5"/>
  </rowFields>
  <rowItems count="25">
    <i>
      <x/>
      <x/>
    </i>
    <i r="1">
      <x v="1"/>
    </i>
    <i>
      <x v="1"/>
      <x/>
    </i>
    <i r="1">
      <x v="1"/>
    </i>
    <i>
      <x v="2"/>
      <x/>
    </i>
    <i r="1">
      <x v="1"/>
    </i>
    <i>
      <x v="3"/>
      <x/>
    </i>
    <i r="1">
      <x v="1"/>
    </i>
    <i>
      <x v="4"/>
      <x/>
    </i>
    <i r="1">
      <x v="1"/>
    </i>
    <i>
      <x v="5"/>
      <x/>
    </i>
    <i r="1">
      <x v="1"/>
    </i>
    <i>
      <x v="6"/>
      <x/>
    </i>
    <i r="1">
      <x v="1"/>
    </i>
    <i>
      <x v="7"/>
      <x/>
    </i>
    <i r="1">
      <x v="1"/>
    </i>
    <i>
      <x v="8"/>
      <x/>
    </i>
    <i r="1">
      <x v="1"/>
    </i>
    <i>
      <x v="9"/>
      <x/>
    </i>
    <i r="1">
      <x v="1"/>
    </i>
    <i>
      <x v="10"/>
      <x/>
    </i>
    <i r="1">
      <x v="1"/>
    </i>
    <i>
      <x v="11"/>
      <x/>
    </i>
    <i r="1">
      <x v="1"/>
    </i>
    <i t="grand">
      <x/>
    </i>
  </rowItems>
  <colFields count="1">
    <field x="3"/>
  </colFields>
  <colItems count="4">
    <i>
      <x/>
    </i>
    <i>
      <x v="1"/>
    </i>
    <i>
      <x v="2"/>
    </i>
    <i>
      <x v="3"/>
    </i>
  </colItems>
  <pageFields count="1">
    <pageField fld="2" hier="-1"/>
  </pageFields>
  <dataFields count="1">
    <dataField name="Média de f1_score" fld="6" subtotal="average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74FD9E-820D-E34F-A571-2AC8DE3147FD}" name="Tabela dinâmica4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P3:T8" firstHeaderRow="0" firstDataRow="1" firstDataCol="1" rowPageCount="1" colPageCount="1"/>
  <pivotFields count="10">
    <pivotField compact="0" outline="0" showAll="0"/>
    <pivotField axis="axisPage" compact="0" outline="0" multipleItemSelectionAllowed="1" showAll="0">
      <items count="5">
        <item h="1" x="0"/>
        <item h="1" x="1"/>
        <item h="1" x="3"/>
        <item x="2"/>
        <item t="default"/>
      </items>
    </pivotField>
    <pivotField compact="0" outline="0" showAll="0"/>
    <pivotField axis="axisRow" compact="0" outline="0" showAll="0" sortType="de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dataField="1" compact="0" outline="0" showAll="0"/>
  </pivotFields>
  <rowFields count="1">
    <field x="3"/>
  </rowFields>
  <rowItems count="5">
    <i>
      <x/>
    </i>
    <i>
      <x v="3"/>
    </i>
    <i>
      <x v="2"/>
    </i>
    <i>
      <x v="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1" hier="-1"/>
  </pageFields>
  <dataFields count="4">
    <dataField name="Média de f1_score" fld="6" subtotal="average" baseField="0" baseItem="0" numFmtId="165"/>
    <dataField name="DesvPad de f1_score" fld="6" subtotal="stdDev" baseField="0" baseItem="0" numFmtId="165"/>
    <dataField name="Média de execution_time" fld="9" subtotal="average" baseField="0" baseItem="0" numFmtId="166"/>
    <dataField name="DesvPad de execution_time" fld="9" subtotal="stdDev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AF3837-ACF6-EA4A-86B5-D2E18F30D621}" name="Tabela dinâmica1" cacheId="2" applyNumberFormats="0" applyBorderFormats="0" applyFontFormats="0" applyPatternFormats="0" applyAlignmentFormats="0" applyWidthHeightFormats="1" dataCaption="Valores" updatedVersion="8" minRefreshableVersion="3" useAutoFormatting="1" colGrandTotals="0" itemPrintTitles="1" createdVersion="8" indent="0" compact="0" compactData="0" multipleFieldFilters="0">
  <location ref="A3:F29" firstHeaderRow="1" firstDataRow="2" firstDataCol="2" rowPageCount="1" colPageCount="1"/>
  <pivotFields count="10">
    <pivotField axis="axisRow" compact="0" outline="0" showAll="0" defaultSubtotal="0">
      <items count="12">
        <item x="10"/>
        <item x="5"/>
        <item x="3"/>
        <item x="0"/>
        <item x="6"/>
        <item x="9"/>
        <item x="4"/>
        <item x="1"/>
        <item x="2"/>
        <item x="8"/>
        <item x="11"/>
        <item x="7"/>
      </items>
    </pivotField>
    <pivotField compact="0" outline="0" showAll="0" defaultSubtotal="0"/>
    <pivotField axis="axisPage" compact="0" outline="0" multipleItemSelectionAllowed="1" showAll="0" defaultSubtotal="0">
      <items count="4">
        <item h="1" x="0"/>
        <item h="1" x="1"/>
        <item x="3"/>
        <item h="1" x="2"/>
      </items>
    </pivotField>
    <pivotField axis="axisCol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compact="0" outline="0" showAll="0" defaultSubtotal="0">
      <items count="28">
        <item x="16"/>
        <item x="19"/>
        <item x="17"/>
        <item x="18"/>
        <item x="12"/>
        <item x="15"/>
        <item x="13"/>
        <item x="14"/>
        <item x="20"/>
        <item x="23"/>
        <item x="21"/>
        <item x="22"/>
        <item x="3"/>
        <item x="4"/>
        <item x="5"/>
        <item x="0"/>
        <item x="1"/>
        <item x="2"/>
        <item x="9"/>
        <item x="10"/>
        <item x="11"/>
        <item x="6"/>
        <item x="7"/>
        <item x="8"/>
        <item x="25"/>
        <item x="26"/>
        <item x="27"/>
        <item x="24"/>
      </items>
    </pivotField>
    <pivotField axis="axisRow" compact="0" outline="0" showAll="0" defaultSubtotal="0">
      <items count="2">
        <item x="1"/>
        <item x="0"/>
      </items>
    </pivotField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2">
    <field x="0"/>
    <field x="5"/>
  </rowFields>
  <rowItems count="25">
    <i>
      <x/>
      <x/>
    </i>
    <i r="1">
      <x v="1"/>
    </i>
    <i>
      <x v="1"/>
      <x/>
    </i>
    <i r="1">
      <x v="1"/>
    </i>
    <i>
      <x v="2"/>
      <x/>
    </i>
    <i r="1">
      <x v="1"/>
    </i>
    <i>
      <x v="3"/>
      <x/>
    </i>
    <i r="1">
      <x v="1"/>
    </i>
    <i>
      <x v="4"/>
      <x/>
    </i>
    <i r="1">
      <x v="1"/>
    </i>
    <i>
      <x v="5"/>
      <x/>
    </i>
    <i r="1">
      <x v="1"/>
    </i>
    <i>
      <x v="6"/>
      <x/>
    </i>
    <i r="1">
      <x v="1"/>
    </i>
    <i>
      <x v="7"/>
      <x/>
    </i>
    <i r="1">
      <x v="1"/>
    </i>
    <i>
      <x v="8"/>
      <x/>
    </i>
    <i r="1">
      <x v="1"/>
    </i>
    <i>
      <x v="9"/>
      <x/>
    </i>
    <i r="1">
      <x v="1"/>
    </i>
    <i>
      <x v="10"/>
      <x/>
    </i>
    <i r="1">
      <x v="1"/>
    </i>
    <i>
      <x v="11"/>
      <x/>
    </i>
    <i r="1">
      <x v="1"/>
    </i>
    <i t="grand">
      <x/>
    </i>
  </rowItems>
  <colFields count="1">
    <field x="3"/>
  </colFields>
  <colItems count="4">
    <i>
      <x/>
    </i>
    <i>
      <x v="1"/>
    </i>
    <i>
      <x v="2"/>
    </i>
    <i>
      <x v="3"/>
    </i>
  </colItems>
  <pageFields count="1">
    <pageField fld="2" hier="-1"/>
  </pageFields>
  <dataFields count="1">
    <dataField name="Média de f1_score" fld="6" subtotal="average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409053-846E-BE4E-876F-D16480FD488E}" name="Tabela dinâmica5" cacheId="3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>
  <location ref="A49:B53" firstHeaderRow="1" firstDataRow="1" firstDataCol="2" rowPageCount="1" colPageCount="1"/>
  <pivotFields count="10">
    <pivotField compact="0" outline="0" showAll="0" defaultSubtotal="0"/>
    <pivotField axis="axisPage" compact="0" outline="0" multipleItemSelectionAllowed="1" showAll="0" defaultSubtotal="0">
      <items count="4">
        <item h="1" x="0"/>
        <item h="1" x="1"/>
        <item x="3"/>
        <item h="1" x="2"/>
      </items>
    </pivotField>
    <pivotField compact="0" outline="0" showAll="0" defaultSubtotal="0"/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axis="axisRow" compact="0" outline="0" showAll="0" defaultSubtotal="0">
      <items count="28">
        <item x="16"/>
        <item x="19"/>
        <item x="17"/>
        <item x="18"/>
        <item x="12"/>
        <item x="15"/>
        <item x="13"/>
        <item x="14"/>
        <item x="20"/>
        <item x="23"/>
        <item x="21"/>
        <item x="22"/>
        <item x="3"/>
        <item x="4"/>
        <item x="5"/>
        <item x="0"/>
        <item x="1"/>
        <item x="2"/>
        <item x="9"/>
        <item x="10"/>
        <item x="11"/>
        <item x="6"/>
        <item x="7"/>
        <item x="8"/>
        <item x="25"/>
        <item x="26"/>
        <item x="27"/>
        <item x="24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2">
    <field x="3"/>
    <field x="4"/>
  </rowFields>
  <rowItems count="4">
    <i>
      <x/>
      <x v="27"/>
    </i>
    <i>
      <x v="1"/>
      <x v="24"/>
    </i>
    <i>
      <x v="2"/>
      <x v="25"/>
    </i>
    <i>
      <x v="3"/>
      <x v="26"/>
    </i>
  </rowItems>
  <colItems count="1">
    <i/>
  </colItems>
  <pageFields count="1">
    <pageField fld="1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6D2FA6-3B83-E949-AFEB-9AAE6212B93E}" name="Tabela dinâmica4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P3:T8" firstHeaderRow="0" firstDataRow="1" firstDataCol="1" rowPageCount="1" colPageCount="1"/>
  <pivotFields count="10">
    <pivotField compact="0" outline="0" showAll="0"/>
    <pivotField axis="axisPage" compact="0" outline="0" multipleItemSelectionAllowed="1" showAll="0">
      <items count="5">
        <item h="1" x="0"/>
        <item h="1" x="1"/>
        <item x="3"/>
        <item h="1" x="2"/>
        <item t="default"/>
      </items>
    </pivotField>
    <pivotField compact="0" outline="0" showAll="0"/>
    <pivotField axis="axisRow" compact="0" outline="0" showAll="0" sortType="de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dataField="1" compact="0" outline="0" showAll="0"/>
  </pivotFields>
  <rowFields count="1">
    <field x="3"/>
  </rowFields>
  <rowItems count="5">
    <i>
      <x v="1"/>
    </i>
    <i>
      <x/>
    </i>
    <i>
      <x v="3"/>
    </i>
    <i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1" hier="-1"/>
  </pageFields>
  <dataFields count="4">
    <dataField name="Média de f1_score" fld="6" subtotal="average" baseField="0" baseItem="0" numFmtId="165"/>
    <dataField name="DesvPad de f1_score" fld="6" subtotal="stdDev" baseField="0" baseItem="0" numFmtId="165"/>
    <dataField name="Média de execution_time" fld="9" subtotal="average" baseField="0" baseItem="0" numFmtId="166"/>
    <dataField name="DesvPad de execution_time" fld="9" subtotal="stdDev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esultados_todos_modelos" connectionId="1" xr16:uid="{63BA6F9C-07C0-E945-B4ED-E66916B3739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2.xml"/><Relationship Id="rId2" Type="http://schemas.openxmlformats.org/officeDocument/2006/relationships/pivotTable" Target="../pivotTables/pivotTable11.xml"/><Relationship Id="rId1" Type="http://schemas.openxmlformats.org/officeDocument/2006/relationships/pivotTable" Target="../pivotTables/pivotTable10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8B6C3-E0F8-E44F-B597-46E134118F5A}">
  <dimension ref="A1:T61"/>
  <sheetViews>
    <sheetView topLeftCell="B1" zoomScale="150" zoomScaleNormal="150" workbookViewId="0">
      <selection activeCell="N28" sqref="N5:N28"/>
    </sheetView>
  </sheetViews>
  <sheetFormatPr baseColWidth="10" defaultRowHeight="16" x14ac:dyDescent="0.2"/>
  <cols>
    <col min="1" max="1" width="33.6640625" bestFit="1" customWidth="1"/>
    <col min="2" max="2" width="16" customWidth="1"/>
    <col min="3" max="14" width="18.83203125" bestFit="1" customWidth="1"/>
    <col min="15" max="15" width="14.6640625" bestFit="1" customWidth="1"/>
    <col min="16" max="16" width="13.33203125" bestFit="1" customWidth="1"/>
    <col min="17" max="18" width="18.83203125" bestFit="1" customWidth="1"/>
    <col min="19" max="19" width="22.1640625" bestFit="1" customWidth="1"/>
    <col min="20" max="20" width="24.1640625" bestFit="1" customWidth="1"/>
    <col min="21" max="27" width="19" bestFit="1" customWidth="1"/>
    <col min="28" max="28" width="10" bestFit="1" customWidth="1"/>
  </cols>
  <sheetData>
    <row r="1" spans="1:20" x14ac:dyDescent="0.2">
      <c r="A1" s="1" t="s">
        <v>2</v>
      </c>
      <c r="B1" t="s">
        <v>11</v>
      </c>
      <c r="P1" s="1" t="s">
        <v>1</v>
      </c>
      <c r="Q1" t="s">
        <v>11</v>
      </c>
    </row>
    <row r="3" spans="1:20" x14ac:dyDescent="0.2">
      <c r="A3" s="1" t="s">
        <v>57</v>
      </c>
      <c r="C3" s="1" t="s">
        <v>3</v>
      </c>
      <c r="P3" s="1" t="s">
        <v>3</v>
      </c>
      <c r="Q3" t="s">
        <v>57</v>
      </c>
      <c r="R3" t="s">
        <v>59</v>
      </c>
      <c r="S3" t="s">
        <v>60</v>
      </c>
      <c r="T3" t="s">
        <v>61</v>
      </c>
    </row>
    <row r="4" spans="1:20" x14ac:dyDescent="0.2">
      <c r="A4" s="1" t="s">
        <v>0</v>
      </c>
      <c r="B4" s="1" t="s">
        <v>5</v>
      </c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P4">
        <v>12</v>
      </c>
      <c r="Q4" s="3">
        <v>0.77190397799566135</v>
      </c>
      <c r="R4" s="3">
        <v>1.8093701255461773E-2</v>
      </c>
      <c r="S4" s="4">
        <v>177.20097538828824</v>
      </c>
      <c r="T4" s="5">
        <v>198.71361112125365</v>
      </c>
    </row>
    <row r="5" spans="1:20" x14ac:dyDescent="0.2">
      <c r="A5" t="s">
        <v>55</v>
      </c>
      <c r="B5" t="s">
        <v>15</v>
      </c>
      <c r="C5" s="2">
        <v>0.48089716588565901</v>
      </c>
      <c r="D5" s="2">
        <v>0.48609484874416398</v>
      </c>
      <c r="E5" s="2">
        <v>0.49961335960279701</v>
      </c>
      <c r="F5" s="2">
        <v>0.72987595247992998</v>
      </c>
      <c r="G5" s="2">
        <v>0.74554503906979097</v>
      </c>
      <c r="H5" s="2">
        <v>0.73189703536469397</v>
      </c>
      <c r="I5" s="2">
        <v>0.78240804433652</v>
      </c>
      <c r="J5" s="2">
        <v>0.776303198274369</v>
      </c>
      <c r="K5" s="2">
        <v>0.76886346655254501</v>
      </c>
      <c r="L5" s="2">
        <v>0.783439133060022</v>
      </c>
      <c r="M5" s="2">
        <v>0.78439982481536497</v>
      </c>
      <c r="N5" s="2">
        <v>0.79332726171716905</v>
      </c>
      <c r="P5">
        <v>10</v>
      </c>
      <c r="Q5" s="3">
        <v>0.77127918408157203</v>
      </c>
      <c r="R5" s="3">
        <v>2.0090995351233789E-2</v>
      </c>
      <c r="S5" s="4">
        <v>57.69231914480514</v>
      </c>
      <c r="T5" s="5">
        <v>64.392621766933757</v>
      </c>
    </row>
    <row r="6" spans="1:20" x14ac:dyDescent="0.2">
      <c r="B6" t="s">
        <v>13</v>
      </c>
      <c r="C6" s="2">
        <v>0.48003036437246899</v>
      </c>
      <c r="D6" s="2">
        <v>0.47485587002096402</v>
      </c>
      <c r="E6" s="2">
        <v>0.48832110412299001</v>
      </c>
      <c r="F6" s="2">
        <v>0.71804572916252596</v>
      </c>
      <c r="G6" s="2">
        <v>0.70677093596059104</v>
      </c>
      <c r="H6" s="2">
        <v>0.69351945401957205</v>
      </c>
      <c r="I6" s="2">
        <v>0.78163793103448198</v>
      </c>
      <c r="J6" s="2">
        <v>0.78191108363750494</v>
      </c>
      <c r="K6" s="2">
        <v>0.77549598488426996</v>
      </c>
      <c r="L6" s="2">
        <v>0.78070223379307602</v>
      </c>
      <c r="M6" s="2">
        <v>0.76212301587301501</v>
      </c>
      <c r="N6" s="2">
        <v>0.76768926249451497</v>
      </c>
      <c r="P6">
        <v>11</v>
      </c>
      <c r="Q6" s="3">
        <v>0.76967925661561054</v>
      </c>
      <c r="R6" s="3">
        <v>1.808192208208027E-2</v>
      </c>
      <c r="S6" s="4">
        <v>117.83524599671343</v>
      </c>
      <c r="T6" s="5">
        <v>132.87672113438168</v>
      </c>
    </row>
    <row r="7" spans="1:20" x14ac:dyDescent="0.2">
      <c r="A7" t="s">
        <v>50</v>
      </c>
      <c r="B7" t="s">
        <v>15</v>
      </c>
      <c r="C7" s="2">
        <v>0.69273854796524104</v>
      </c>
      <c r="D7" s="2">
        <v>0.70306591146846098</v>
      </c>
      <c r="E7" s="2">
        <v>0.70297038163522396</v>
      </c>
      <c r="F7" s="2">
        <v>0.72001169145312605</v>
      </c>
      <c r="G7" s="2">
        <v>0.73315645102775695</v>
      </c>
      <c r="H7" s="2">
        <v>0.72894840316223097</v>
      </c>
      <c r="I7" s="2">
        <v>0.68219068257264104</v>
      </c>
      <c r="J7" s="2">
        <v>0.67969990783226297</v>
      </c>
      <c r="K7" s="2">
        <v>0.67733573777059997</v>
      </c>
      <c r="L7" s="2">
        <v>0.76840394890589403</v>
      </c>
      <c r="M7" s="2">
        <v>0.77988808618856897</v>
      </c>
      <c r="N7" s="2">
        <v>0.78608695980957699</v>
      </c>
      <c r="P7">
        <v>6</v>
      </c>
      <c r="Q7" s="3">
        <v>0.74587147488109828</v>
      </c>
      <c r="R7" s="3">
        <v>2.5948404011535565E-2</v>
      </c>
      <c r="S7" s="4">
        <v>4.7345247964064185</v>
      </c>
      <c r="T7" s="5">
        <v>9.6566141918427473</v>
      </c>
    </row>
    <row r="8" spans="1:20" x14ac:dyDescent="0.2">
      <c r="B8" t="s">
        <v>13</v>
      </c>
      <c r="C8" s="2">
        <v>0.67714316006300701</v>
      </c>
      <c r="D8" s="2">
        <v>0.69075781030115302</v>
      </c>
      <c r="E8" s="2">
        <v>0.67133301096067</v>
      </c>
      <c r="F8" s="2">
        <v>0.72534722222222203</v>
      </c>
      <c r="G8" s="2">
        <v>0.70419169169169105</v>
      </c>
      <c r="H8" s="2">
        <v>0.72456349206349202</v>
      </c>
      <c r="I8" s="2">
        <v>0.71340196078431295</v>
      </c>
      <c r="J8" s="2">
        <v>0.68221057884231495</v>
      </c>
      <c r="K8" s="2">
        <v>0.707135239325271</v>
      </c>
      <c r="L8" s="2">
        <v>0.75606650421966004</v>
      </c>
      <c r="M8" s="2">
        <v>0.75606650421966004</v>
      </c>
      <c r="N8" s="2">
        <v>0.773122291766971</v>
      </c>
      <c r="P8">
        <v>5</v>
      </c>
      <c r="Q8" s="3">
        <v>0.74421523583157867</v>
      </c>
      <c r="R8" s="3">
        <v>2.224377026486761E-2</v>
      </c>
      <c r="S8" s="4">
        <v>3.216432362794873</v>
      </c>
      <c r="T8" s="5">
        <v>6.4971739250983216</v>
      </c>
    </row>
    <row r="9" spans="1:20" x14ac:dyDescent="0.2">
      <c r="A9" t="s">
        <v>48</v>
      </c>
      <c r="B9" t="s">
        <v>15</v>
      </c>
      <c r="C9" s="2">
        <v>0.51001071409765897</v>
      </c>
      <c r="D9" s="2">
        <v>0.52399558430134796</v>
      </c>
      <c r="E9" s="2">
        <v>0.48539737226332402</v>
      </c>
      <c r="F9" s="2">
        <v>0.70482333112010298</v>
      </c>
      <c r="G9" s="2">
        <v>0.72331347054918704</v>
      </c>
      <c r="H9" s="2">
        <v>0.720950499930054</v>
      </c>
      <c r="I9" s="2">
        <v>0.73240313398974299</v>
      </c>
      <c r="J9" s="2">
        <v>0.72980916081226099</v>
      </c>
      <c r="K9" s="2">
        <v>0.73580556121962903</v>
      </c>
      <c r="L9" s="2">
        <v>0.79472996680736496</v>
      </c>
      <c r="M9" s="2">
        <v>0.78184994519691398</v>
      </c>
      <c r="N9" s="2">
        <v>0.78689711691745901</v>
      </c>
      <c r="P9">
        <v>9</v>
      </c>
      <c r="Q9" s="3">
        <v>0.73777384990018968</v>
      </c>
      <c r="R9" s="3">
        <v>3.0665441782666749E-2</v>
      </c>
      <c r="S9" s="4">
        <v>0.76457515358924721</v>
      </c>
      <c r="T9" s="5">
        <v>0.89016461372966271</v>
      </c>
    </row>
    <row r="10" spans="1:20" x14ac:dyDescent="0.2">
      <c r="B10" t="s">
        <v>13</v>
      </c>
      <c r="C10" s="2">
        <v>0.52719459890512499</v>
      </c>
      <c r="D10" s="2">
        <v>0.496948236879864</v>
      </c>
      <c r="E10" s="2">
        <v>0.48723921289710698</v>
      </c>
      <c r="F10" s="2">
        <v>0.67591534971053002</v>
      </c>
      <c r="G10" s="2">
        <v>0.72534380371933105</v>
      </c>
      <c r="H10" s="2">
        <v>0.71946885690692397</v>
      </c>
      <c r="I10" s="2">
        <v>0.74456336455190197</v>
      </c>
      <c r="J10" s="2">
        <v>0.73824245757385198</v>
      </c>
      <c r="K10" s="2">
        <v>0.732062188468935</v>
      </c>
      <c r="L10" s="2">
        <v>0.77528409090909001</v>
      </c>
      <c r="M10" s="2">
        <v>0.76166786112438201</v>
      </c>
      <c r="N10" s="2">
        <v>0.76916009852216705</v>
      </c>
      <c r="P10">
        <v>7</v>
      </c>
      <c r="Q10" s="3">
        <v>0.73616180945177268</v>
      </c>
      <c r="R10" s="3">
        <v>3.0291912243986092E-2</v>
      </c>
      <c r="S10" s="4">
        <v>0.35921268661816846</v>
      </c>
      <c r="T10" s="5">
        <v>0.39916031290127557</v>
      </c>
    </row>
    <row r="11" spans="1:20" x14ac:dyDescent="0.2">
      <c r="A11" t="s">
        <v>10</v>
      </c>
      <c r="B11" t="s">
        <v>15</v>
      </c>
      <c r="C11" s="2">
        <v>0.71866241235804595</v>
      </c>
      <c r="D11" s="2">
        <v>0.72632302044588004</v>
      </c>
      <c r="E11" s="2">
        <v>0.72868355532523599</v>
      </c>
      <c r="F11" s="2">
        <v>0.72754762778555504</v>
      </c>
      <c r="G11" s="2">
        <v>0.746914189267878</v>
      </c>
      <c r="H11" s="2">
        <v>0.75020760442151402</v>
      </c>
      <c r="I11" s="2">
        <v>0.71933507712313205</v>
      </c>
      <c r="J11" s="2">
        <v>0.72215137874130597</v>
      </c>
      <c r="K11" s="2">
        <v>0.70505075240468496</v>
      </c>
      <c r="L11" s="2">
        <v>0.77984960401929704</v>
      </c>
      <c r="M11" s="2">
        <v>0.79372542264597501</v>
      </c>
      <c r="N11" s="2">
        <v>0.78234771207136</v>
      </c>
      <c r="P11">
        <v>8</v>
      </c>
      <c r="Q11" s="3">
        <v>0.73613511669441245</v>
      </c>
      <c r="R11" s="3">
        <v>3.1847428530191069E-2</v>
      </c>
      <c r="S11" s="4">
        <v>0.5651408831278476</v>
      </c>
      <c r="T11" s="5">
        <v>0.65102574467900476</v>
      </c>
    </row>
    <row r="12" spans="1:20" x14ac:dyDescent="0.2">
      <c r="B12" t="s">
        <v>13</v>
      </c>
      <c r="C12" s="2">
        <v>0.74856138107416803</v>
      </c>
      <c r="D12" s="2">
        <v>0.77421165790730995</v>
      </c>
      <c r="E12" s="2">
        <v>0.76768926249451497</v>
      </c>
      <c r="F12" s="2">
        <v>0.73824245757385198</v>
      </c>
      <c r="G12" s="2">
        <v>0.73205989980822594</v>
      </c>
      <c r="H12" s="2">
        <v>0.71331316781898102</v>
      </c>
      <c r="I12" s="2">
        <v>0.68838014395243297</v>
      </c>
      <c r="J12" s="2">
        <v>0.70718239351071699</v>
      </c>
      <c r="K12" s="2">
        <v>0.71959756956674803</v>
      </c>
      <c r="L12" s="2">
        <v>0.75606650421966004</v>
      </c>
      <c r="M12" s="2">
        <v>0.786755454690237</v>
      </c>
      <c r="N12" s="2">
        <v>0.77528409090909001</v>
      </c>
      <c r="P12">
        <v>4</v>
      </c>
      <c r="Q12" s="3">
        <v>0.73460799128503773</v>
      </c>
      <c r="R12" s="3">
        <v>2.7456019841917065E-2</v>
      </c>
      <c r="S12" s="4">
        <v>1.6856446266174281</v>
      </c>
      <c r="T12" s="5">
        <v>3.2928422530066737</v>
      </c>
    </row>
    <row r="13" spans="1:20" x14ac:dyDescent="0.2">
      <c r="A13" t="s">
        <v>51</v>
      </c>
      <c r="B13" t="s">
        <v>15</v>
      </c>
      <c r="C13" s="2">
        <v>0.52944848279650303</v>
      </c>
      <c r="D13" s="2">
        <v>0.53185905791920096</v>
      </c>
      <c r="E13" s="2">
        <v>0.52033217192120695</v>
      </c>
      <c r="F13" s="2">
        <v>0.71493793196286604</v>
      </c>
      <c r="G13" s="2">
        <v>0.73667690553419196</v>
      </c>
      <c r="H13" s="2">
        <v>0.73262278457644203</v>
      </c>
      <c r="I13" s="2">
        <v>0.71140759732139103</v>
      </c>
      <c r="J13" s="2">
        <v>0.71260316764329101</v>
      </c>
      <c r="K13" s="2">
        <v>0.71643654625102204</v>
      </c>
      <c r="L13" s="2">
        <v>0.76970856634165696</v>
      </c>
      <c r="M13" s="2">
        <v>0.76599300842192197</v>
      </c>
      <c r="N13" s="2">
        <v>0.76359271738385703</v>
      </c>
      <c r="P13">
        <v>2</v>
      </c>
      <c r="Q13" s="3">
        <v>0.61125793756300961</v>
      </c>
      <c r="R13" s="3">
        <v>8.9139375365491338E-2</v>
      </c>
      <c r="S13" s="4">
        <v>1.9900272587935082</v>
      </c>
      <c r="T13" s="5">
        <v>3.0822821430355503</v>
      </c>
    </row>
    <row r="14" spans="1:20" x14ac:dyDescent="0.2">
      <c r="B14" t="s">
        <v>13</v>
      </c>
      <c r="C14" s="2">
        <v>0.54645833333333305</v>
      </c>
      <c r="D14" s="2">
        <v>0.56229685065891899</v>
      </c>
      <c r="E14" s="2">
        <v>0.54051306090779705</v>
      </c>
      <c r="F14" s="2">
        <v>0.73658026755852801</v>
      </c>
      <c r="G14" s="2">
        <v>0.76249999999999996</v>
      </c>
      <c r="H14" s="2">
        <v>0.73057703008863595</v>
      </c>
      <c r="I14" s="2">
        <v>0.74420443349753695</v>
      </c>
      <c r="J14" s="2">
        <v>0.72499999999999998</v>
      </c>
      <c r="K14" s="2">
        <v>0.73783143939393903</v>
      </c>
      <c r="L14" s="2">
        <v>0.76166786112438201</v>
      </c>
      <c r="M14" s="2">
        <v>0.77500000000000002</v>
      </c>
      <c r="N14" s="2">
        <v>0.76212301587301501</v>
      </c>
      <c r="P14">
        <v>3</v>
      </c>
      <c r="Q14" s="3">
        <v>0.60598152730305921</v>
      </c>
      <c r="R14" s="3">
        <v>9.1633584562238829E-2</v>
      </c>
      <c r="S14" s="4">
        <v>2.8594914376735647</v>
      </c>
      <c r="T14" s="5">
        <v>4.5695269783366248</v>
      </c>
    </row>
    <row r="15" spans="1:20" x14ac:dyDescent="0.2">
      <c r="A15" t="s">
        <v>54</v>
      </c>
      <c r="B15" t="s">
        <v>15</v>
      </c>
      <c r="C15" s="2">
        <v>0.46951411235111401</v>
      </c>
      <c r="D15" s="2">
        <v>0.49785177808886899</v>
      </c>
      <c r="E15" s="2">
        <v>0.48762508415349998</v>
      </c>
      <c r="F15" s="2">
        <v>0.73201485682007095</v>
      </c>
      <c r="G15" s="2">
        <v>0.75437323957922098</v>
      </c>
      <c r="H15" s="2">
        <v>0.76923560459506102</v>
      </c>
      <c r="I15" s="2">
        <v>0.78404797136634596</v>
      </c>
      <c r="J15" s="2">
        <v>0.78395580185710001</v>
      </c>
      <c r="K15" s="2">
        <v>0.79024079143368098</v>
      </c>
      <c r="L15" s="2">
        <v>0.77746070179635896</v>
      </c>
      <c r="M15" s="2">
        <v>0.77926813023383901</v>
      </c>
      <c r="N15" s="2">
        <v>0.78663967682318003</v>
      </c>
      <c r="P15">
        <v>1</v>
      </c>
      <c r="Q15" s="3">
        <v>0.60335096077022621</v>
      </c>
      <c r="R15" s="3">
        <v>8.7668072074298858E-2</v>
      </c>
      <c r="S15" s="4">
        <v>0.97417900959650583</v>
      </c>
      <c r="T15" s="5">
        <v>1.4682603931455875</v>
      </c>
    </row>
    <row r="16" spans="1:20" x14ac:dyDescent="0.2">
      <c r="B16" t="s">
        <v>13</v>
      </c>
      <c r="C16" s="2">
        <v>0.47502857629262102</v>
      </c>
      <c r="D16" s="2">
        <v>0.51685330095340798</v>
      </c>
      <c r="E16" s="2">
        <v>0.51222955480560295</v>
      </c>
      <c r="F16" s="2">
        <v>0.73708333333333298</v>
      </c>
      <c r="G16" s="2">
        <v>0.76317174732872395</v>
      </c>
      <c r="H16" s="2">
        <v>0.71946885690692397</v>
      </c>
      <c r="I16" s="2">
        <v>0.80025252525252499</v>
      </c>
      <c r="J16" s="2">
        <v>0.8</v>
      </c>
      <c r="K16" s="2">
        <v>0.8</v>
      </c>
      <c r="L16" s="2">
        <v>0.73598945012787698</v>
      </c>
      <c r="M16" s="2">
        <v>0.76212301587301501</v>
      </c>
      <c r="N16" s="2">
        <v>0.754542042042042</v>
      </c>
      <c r="P16" t="s">
        <v>58</v>
      </c>
      <c r="Q16" s="3">
        <v>0.71401819353110241</v>
      </c>
      <c r="R16" s="3">
        <v>8.0105956491468552E-2</v>
      </c>
      <c r="S16" s="4">
        <v>30.823147395418701</v>
      </c>
      <c r="T16" s="5">
        <v>89.678338908209582</v>
      </c>
    </row>
    <row r="17" spans="1:14" x14ac:dyDescent="0.2">
      <c r="A17" t="s">
        <v>49</v>
      </c>
      <c r="B17" t="s">
        <v>15</v>
      </c>
      <c r="C17" s="2">
        <v>0.713413037237425</v>
      </c>
      <c r="D17" s="2">
        <v>0.72574075148147899</v>
      </c>
      <c r="E17" s="2">
        <v>0.71932178417923498</v>
      </c>
      <c r="F17" s="2">
        <v>0.74390288816923</v>
      </c>
      <c r="G17" s="2">
        <v>0.73629965235394801</v>
      </c>
      <c r="H17" s="2">
        <v>0.74495489798121495</v>
      </c>
      <c r="I17" s="2">
        <v>0.73622217158271397</v>
      </c>
      <c r="J17" s="2">
        <v>0.74604165536217804</v>
      </c>
      <c r="K17" s="2">
        <v>0.74363375759336703</v>
      </c>
      <c r="L17" s="2">
        <v>0.79786107980446097</v>
      </c>
      <c r="M17" s="2">
        <v>0.801294747932351</v>
      </c>
      <c r="N17" s="2">
        <v>0.78739559841826301</v>
      </c>
    </row>
    <row r="18" spans="1:14" x14ac:dyDescent="0.2">
      <c r="B18" t="s">
        <v>13</v>
      </c>
      <c r="C18" s="2">
        <v>0.69562753036437197</v>
      </c>
      <c r="D18" s="2">
        <v>0.72345291155957203</v>
      </c>
      <c r="E18" s="2">
        <v>0.72468974358974303</v>
      </c>
      <c r="F18" s="2">
        <v>0.79230480480480403</v>
      </c>
      <c r="G18" s="2">
        <v>0.75386846126010199</v>
      </c>
      <c r="H18" s="2">
        <v>0.77464285714285697</v>
      </c>
      <c r="I18" s="2">
        <v>0.73750000000000004</v>
      </c>
      <c r="J18" s="2">
        <v>0.73708333333333298</v>
      </c>
      <c r="K18" s="2">
        <v>0.75513192533205697</v>
      </c>
      <c r="L18" s="2">
        <v>0.76212301587301501</v>
      </c>
      <c r="M18" s="2">
        <v>0.77370524296675103</v>
      </c>
      <c r="N18" s="2">
        <v>0.76857591425967697</v>
      </c>
    </row>
    <row r="19" spans="1:14" x14ac:dyDescent="0.2">
      <c r="A19" t="s">
        <v>46</v>
      </c>
      <c r="B19" t="s">
        <v>15</v>
      </c>
      <c r="C19" s="2">
        <v>0.59561426061196399</v>
      </c>
      <c r="D19" s="2">
        <v>0.582059536334807</v>
      </c>
      <c r="E19" s="2">
        <v>0.58323756436645702</v>
      </c>
      <c r="F19" s="2">
        <v>0.746776522879673</v>
      </c>
      <c r="G19" s="2">
        <v>0.78030974187015401</v>
      </c>
      <c r="H19" s="2">
        <v>0.77148606291574595</v>
      </c>
      <c r="I19" s="2">
        <v>0.73077673453271097</v>
      </c>
      <c r="J19" s="2">
        <v>0.736996204682696</v>
      </c>
      <c r="K19" s="2">
        <v>0.736889717483726</v>
      </c>
      <c r="L19" s="2">
        <v>0.80617553850502</v>
      </c>
      <c r="M19" s="2">
        <v>0.80878689669388604</v>
      </c>
      <c r="N19" s="2">
        <v>0.80381752031832499</v>
      </c>
    </row>
    <row r="20" spans="1:14" x14ac:dyDescent="0.2">
      <c r="B20" t="s">
        <v>13</v>
      </c>
      <c r="C20" s="2">
        <v>0.62538971367974505</v>
      </c>
      <c r="D20" s="2">
        <v>0.62836538461538405</v>
      </c>
      <c r="E20" s="2">
        <v>0.63621959300585695</v>
      </c>
      <c r="F20" s="2">
        <v>0.71204365079364995</v>
      </c>
      <c r="G20" s="2">
        <v>0.73807864903164799</v>
      </c>
      <c r="H20" s="2">
        <v>0.76324509803921503</v>
      </c>
      <c r="I20" s="2">
        <v>0.75702368823229704</v>
      </c>
      <c r="J20" s="2">
        <v>0.75078431372549004</v>
      </c>
      <c r="K20" s="2">
        <v>0.76324404761904696</v>
      </c>
      <c r="L20" s="2">
        <v>0.80610414437972899</v>
      </c>
      <c r="M20" s="2">
        <v>0.76768926249451497</v>
      </c>
      <c r="N20" s="2">
        <v>0.773122291766971</v>
      </c>
    </row>
    <row r="21" spans="1:14" x14ac:dyDescent="0.2">
      <c r="A21" t="s">
        <v>47</v>
      </c>
      <c r="B21" t="s">
        <v>15</v>
      </c>
      <c r="C21" s="2">
        <v>0.52606952421675102</v>
      </c>
      <c r="D21" s="2">
        <v>0.54156857873487696</v>
      </c>
      <c r="E21" s="2">
        <v>0.53110675116063299</v>
      </c>
      <c r="F21" s="2">
        <v>0.75910721015171001</v>
      </c>
      <c r="G21" s="2">
        <v>0.74917639409317804</v>
      </c>
      <c r="H21" s="2">
        <v>0.78891027350901199</v>
      </c>
      <c r="I21" s="2">
        <v>0.74157070687322002</v>
      </c>
      <c r="J21" s="2">
        <v>0.744128439523982</v>
      </c>
      <c r="K21" s="2">
        <v>0.73794872176701798</v>
      </c>
      <c r="L21" s="2">
        <v>0.79116317396046498</v>
      </c>
      <c r="M21" s="2">
        <v>0.77708819529043605</v>
      </c>
      <c r="N21" s="2">
        <v>0.79139449853874599</v>
      </c>
    </row>
    <row r="22" spans="1:14" x14ac:dyDescent="0.2">
      <c r="B22" t="s">
        <v>13</v>
      </c>
      <c r="C22" s="2">
        <v>0.57743651897908599</v>
      </c>
      <c r="D22" s="2">
        <v>0.58083139456847499</v>
      </c>
      <c r="E22" s="2">
        <v>0.55334492863853901</v>
      </c>
      <c r="F22" s="2">
        <v>0.69453275529865099</v>
      </c>
      <c r="G22" s="2">
        <v>0.75055109431585498</v>
      </c>
      <c r="H22" s="2">
        <v>0.74420443349753695</v>
      </c>
      <c r="I22" s="2">
        <v>0.75687300931933399</v>
      </c>
      <c r="J22" s="2">
        <v>0.77563370364575102</v>
      </c>
      <c r="K22" s="2">
        <v>0.77570488721804498</v>
      </c>
      <c r="L22" s="2">
        <v>0.74960317460317405</v>
      </c>
      <c r="M22" s="2">
        <v>0.76051797464291404</v>
      </c>
      <c r="N22" s="2">
        <v>0.76113331202045997</v>
      </c>
    </row>
    <row r="23" spans="1:14" x14ac:dyDescent="0.2">
      <c r="A23" t="s">
        <v>53</v>
      </c>
      <c r="B23" t="s">
        <v>15</v>
      </c>
      <c r="C23" s="2">
        <v>0.63575277201006897</v>
      </c>
      <c r="D23" s="2">
        <v>0.65955495691890798</v>
      </c>
      <c r="E23" s="2">
        <v>0.659327260589053</v>
      </c>
      <c r="F23" s="2">
        <v>0.74795256682709799</v>
      </c>
      <c r="G23" s="2">
        <v>0.75522271084972603</v>
      </c>
      <c r="H23" s="2">
        <v>0.76168051531523895</v>
      </c>
      <c r="I23" s="2">
        <v>0.70483059714276197</v>
      </c>
      <c r="J23" s="2">
        <v>0.70876903840827299</v>
      </c>
      <c r="K23" s="2">
        <v>0.706470901890491</v>
      </c>
      <c r="L23" s="2">
        <v>0.73930595688105205</v>
      </c>
      <c r="M23" s="2">
        <v>0.73311808501573095</v>
      </c>
      <c r="N23" s="2">
        <v>0.73325384593602405</v>
      </c>
    </row>
    <row r="24" spans="1:14" x14ac:dyDescent="0.2">
      <c r="B24" t="s">
        <v>13</v>
      </c>
      <c r="C24" s="2">
        <v>0.65599486308058896</v>
      </c>
      <c r="D24" s="2">
        <v>0.63625312695434599</v>
      </c>
      <c r="E24" s="2">
        <v>0.66197257383966202</v>
      </c>
      <c r="F24" s="2">
        <v>0.79411267633152205</v>
      </c>
      <c r="G24" s="2">
        <v>0.76944689053266002</v>
      </c>
      <c r="H24" s="2">
        <v>0.788165726817042</v>
      </c>
      <c r="I24" s="2">
        <v>0.73807864903164799</v>
      </c>
      <c r="J24" s="2">
        <v>0.73807864903164799</v>
      </c>
      <c r="K24" s="2">
        <v>0.74392210896448197</v>
      </c>
      <c r="L24" s="2">
        <v>0.78796843016847695</v>
      </c>
      <c r="M24" s="2">
        <v>0.75070411516194602</v>
      </c>
      <c r="N24" s="2">
        <v>0.79411576354679703</v>
      </c>
    </row>
    <row r="25" spans="1:14" x14ac:dyDescent="0.2">
      <c r="A25" t="s">
        <v>56</v>
      </c>
      <c r="B25" t="s">
        <v>15</v>
      </c>
      <c r="C25" s="2">
        <v>0.64343391550243101</v>
      </c>
      <c r="D25" s="2">
        <v>0.64960068807718097</v>
      </c>
      <c r="E25" s="2">
        <v>0.63755291531840097</v>
      </c>
      <c r="F25" s="2">
        <v>0.71915031484887504</v>
      </c>
      <c r="G25" s="2">
        <v>0.74795245242880903</v>
      </c>
      <c r="H25" s="2">
        <v>0.75653158513570795</v>
      </c>
      <c r="I25" s="2">
        <v>0.70599833973944004</v>
      </c>
      <c r="J25" s="2">
        <v>0.69805935446441802</v>
      </c>
      <c r="K25" s="2">
        <v>0.69668633153910398</v>
      </c>
      <c r="L25" s="2">
        <v>0.74150220628341001</v>
      </c>
      <c r="M25" s="2">
        <v>0.74272714299614495</v>
      </c>
      <c r="N25" s="2">
        <v>0.745294547180679</v>
      </c>
    </row>
    <row r="26" spans="1:14" x14ac:dyDescent="0.2">
      <c r="B26" t="s">
        <v>13</v>
      </c>
      <c r="C26" s="2">
        <v>0.62872441391726297</v>
      </c>
      <c r="D26" s="2">
        <v>0.660598889062744</v>
      </c>
      <c r="E26" s="2">
        <v>0.62872441391726297</v>
      </c>
      <c r="F26" s="2">
        <v>0.75698663605322003</v>
      </c>
      <c r="G26" s="2">
        <v>0.80062656641604002</v>
      </c>
      <c r="H26" s="2">
        <v>0.788165726817042</v>
      </c>
      <c r="I26" s="2">
        <v>0.73658026755852801</v>
      </c>
      <c r="J26" s="2">
        <v>0.754542042042042</v>
      </c>
      <c r="K26" s="2">
        <v>0.73658026755852801</v>
      </c>
      <c r="L26" s="2">
        <v>0.76916009852216705</v>
      </c>
      <c r="M26" s="2">
        <v>0.75698663605322003</v>
      </c>
      <c r="N26" s="2">
        <v>0.76934106012347103</v>
      </c>
    </row>
    <row r="27" spans="1:14" x14ac:dyDescent="0.2">
      <c r="A27" t="s">
        <v>52</v>
      </c>
      <c r="B27" t="s">
        <v>15</v>
      </c>
      <c r="C27" s="2">
        <v>0.66435671846251898</v>
      </c>
      <c r="D27" s="2">
        <v>0.66468909763851003</v>
      </c>
      <c r="E27" s="2">
        <v>0.67145657035867001</v>
      </c>
      <c r="F27" s="2">
        <v>0.73395828133951602</v>
      </c>
      <c r="G27" s="2">
        <v>0.719752928171141</v>
      </c>
      <c r="H27" s="2">
        <v>0.73345131495927296</v>
      </c>
      <c r="I27" s="2">
        <v>0.70613420857798703</v>
      </c>
      <c r="J27" s="2">
        <v>0.70599474925217398</v>
      </c>
      <c r="K27" s="2">
        <v>0.70618092395559795</v>
      </c>
      <c r="L27" s="2">
        <v>0.76429594892255204</v>
      </c>
      <c r="M27" s="2">
        <v>0.75395408877759196</v>
      </c>
      <c r="N27" s="2">
        <v>0.76034909380298299</v>
      </c>
    </row>
    <row r="28" spans="1:14" x14ac:dyDescent="0.2">
      <c r="B28" t="s">
        <v>13</v>
      </c>
      <c r="C28" s="2">
        <v>0.66292194092826995</v>
      </c>
      <c r="D28" s="2">
        <v>0.63236125787640396</v>
      </c>
      <c r="E28" s="2">
        <v>0.64465542521994101</v>
      </c>
      <c r="F28" s="2">
        <v>0.76933773216031198</v>
      </c>
      <c r="G28" s="2">
        <v>0.72586274509803905</v>
      </c>
      <c r="H28" s="2">
        <v>0.75070411516194602</v>
      </c>
      <c r="I28" s="2">
        <v>0.732062188468935</v>
      </c>
      <c r="J28" s="2">
        <v>0.732062188468935</v>
      </c>
      <c r="K28" s="2">
        <v>0.73832352941176405</v>
      </c>
      <c r="L28" s="2">
        <v>0.756069084729872</v>
      </c>
      <c r="M28" s="2">
        <v>0.75686950146627496</v>
      </c>
      <c r="N28" s="2">
        <v>0.73708977965306999</v>
      </c>
    </row>
    <row r="29" spans="1:14" x14ac:dyDescent="0.2">
      <c r="A29" t="s">
        <v>58</v>
      </c>
      <c r="C29" s="2">
        <v>0.6033509607702261</v>
      </c>
      <c r="D29" s="2">
        <v>0.6112579375630095</v>
      </c>
      <c r="E29" s="2">
        <v>0.60598152730305932</v>
      </c>
      <c r="F29" s="2">
        <v>0.73460799128503751</v>
      </c>
      <c r="G29" s="2">
        <v>0.74421523583157845</v>
      </c>
      <c r="H29" s="2">
        <v>0.74587147488109806</v>
      </c>
      <c r="I29" s="2">
        <v>0.73616180945177234</v>
      </c>
      <c r="J29" s="2">
        <v>0.73613511669441234</v>
      </c>
      <c r="K29" s="2">
        <v>0.73777384990018946</v>
      </c>
      <c r="L29" s="2">
        <v>0.77127918408157214</v>
      </c>
      <c r="M29" s="2">
        <v>0.76967925661561087</v>
      </c>
      <c r="N29" s="2">
        <v>0.77190397799566102</v>
      </c>
    </row>
    <row r="30" spans="1:14" x14ac:dyDescent="0.2">
      <c r="B30" t="s">
        <v>63</v>
      </c>
    </row>
    <row r="32" spans="1:14" x14ac:dyDescent="0.2">
      <c r="A32" t="s">
        <v>62</v>
      </c>
      <c r="C32" t="s">
        <v>64</v>
      </c>
      <c r="D32" t="s">
        <v>65</v>
      </c>
      <c r="E32" t="s">
        <v>66</v>
      </c>
      <c r="F32" t="s">
        <v>67</v>
      </c>
      <c r="G32" t="s">
        <v>68</v>
      </c>
      <c r="H32" t="s">
        <v>69</v>
      </c>
      <c r="I32" t="s">
        <v>70</v>
      </c>
      <c r="J32" t="s">
        <v>71</v>
      </c>
      <c r="K32" t="s">
        <v>72</v>
      </c>
      <c r="L32" t="s">
        <v>73</v>
      </c>
      <c r="M32" t="s">
        <v>74</v>
      </c>
      <c r="N32" t="s">
        <v>75</v>
      </c>
    </row>
    <row r="33" spans="1:14" x14ac:dyDescent="0.2">
      <c r="A33" s="6">
        <v>4.1183118543955299E-28</v>
      </c>
    </row>
    <row r="34" spans="1:14" x14ac:dyDescent="0.2">
      <c r="B34" t="s">
        <v>64</v>
      </c>
      <c r="C34" s="3">
        <v>1</v>
      </c>
      <c r="D34" s="3">
        <v>0.99869992775750416</v>
      </c>
      <c r="E34" s="3">
        <v>0.99999636567485883</v>
      </c>
      <c r="F34" s="3">
        <v>1.46392990452937E-4</v>
      </c>
      <c r="G34" s="3">
        <v>2.1459608138152001E-5</v>
      </c>
      <c r="H34" s="3">
        <v>4.7371323200760003E-6</v>
      </c>
      <c r="I34" s="3">
        <v>4.2443492885294578E-3</v>
      </c>
      <c r="J34" s="3">
        <v>4.2443492885294578E-3</v>
      </c>
      <c r="K34" s="3">
        <v>1.0203057408090239E-3</v>
      </c>
      <c r="L34" s="3">
        <v>1.5663693E-11</v>
      </c>
      <c r="M34" s="3">
        <v>4.0231150000000003E-12</v>
      </c>
      <c r="N34" s="3">
        <v>1.75193E-13</v>
      </c>
    </row>
    <row r="35" spans="1:14" x14ac:dyDescent="0.2">
      <c r="B35" t="s">
        <v>65</v>
      </c>
      <c r="C35" s="3">
        <v>0.99869992775750416</v>
      </c>
      <c r="D35" s="3">
        <v>1</v>
      </c>
      <c r="E35" s="3">
        <v>0.99999961696825101</v>
      </c>
      <c r="F35" s="3">
        <v>8.5365173869321742E-3</v>
      </c>
      <c r="G35" s="3">
        <v>1.8652483963283999E-3</v>
      </c>
      <c r="H35" s="3">
        <v>5.4583535901997504E-4</v>
      </c>
      <c r="I35" s="3">
        <v>0.1020029134815108</v>
      </c>
      <c r="J35" s="3">
        <v>0.1020029134815108</v>
      </c>
      <c r="K35" s="3">
        <v>3.7109812704923639E-2</v>
      </c>
      <c r="L35" s="3">
        <v>1.1285426260000001E-8</v>
      </c>
      <c r="M35" s="3">
        <v>3.4245516419999999E-9</v>
      </c>
      <c r="N35" s="3">
        <v>2.15771734E-10</v>
      </c>
    </row>
    <row r="36" spans="1:14" x14ac:dyDescent="0.2">
      <c r="B36" t="s">
        <v>66</v>
      </c>
      <c r="C36" s="3">
        <v>0.99999636567485883</v>
      </c>
      <c r="D36" s="3">
        <v>0.99999961696825101</v>
      </c>
      <c r="E36" s="3">
        <v>1</v>
      </c>
      <c r="F36" s="3">
        <v>1.5735352360248811E-3</v>
      </c>
      <c r="G36" s="3">
        <v>2.8571466457938399E-4</v>
      </c>
      <c r="H36" s="3">
        <v>7.3447969950790994E-5</v>
      </c>
      <c r="I36" s="3">
        <v>2.856181416609338E-2</v>
      </c>
      <c r="J36" s="3">
        <v>2.856181416609338E-2</v>
      </c>
      <c r="K36" s="3">
        <v>8.5365173869321742E-3</v>
      </c>
      <c r="L36" s="3">
        <v>6.64444055E-10</v>
      </c>
      <c r="M36" s="3">
        <v>1.8713985899999999E-10</v>
      </c>
      <c r="N36" s="3">
        <v>9.9917850000000005E-12</v>
      </c>
    </row>
    <row r="37" spans="1:14" x14ac:dyDescent="0.2">
      <c r="B37" t="s">
        <v>67</v>
      </c>
      <c r="C37" s="3">
        <v>1.46392990452937E-4</v>
      </c>
      <c r="D37" s="3">
        <v>8.5365173869321742E-3</v>
      </c>
      <c r="E37" s="3">
        <v>1.5735352360248811E-3</v>
      </c>
      <c r="F37" s="3">
        <v>1</v>
      </c>
      <c r="G37" s="3">
        <v>0.99999986822104869</v>
      </c>
      <c r="H37" s="3">
        <v>0.99995790346824986</v>
      </c>
      <c r="I37" s="3">
        <v>0.9998284938555364</v>
      </c>
      <c r="J37" s="3">
        <v>0.9998284938555364</v>
      </c>
      <c r="K37" s="3">
        <v>0.99999961696825101</v>
      </c>
      <c r="L37" s="3">
        <v>0.27823847269819912</v>
      </c>
      <c r="M37" s="3">
        <v>0.18743533433254139</v>
      </c>
      <c r="N37" s="3">
        <v>6.4725713149475061E-2</v>
      </c>
    </row>
    <row r="38" spans="1:14" x14ac:dyDescent="0.2">
      <c r="B38" t="s">
        <v>68</v>
      </c>
      <c r="C38" s="3">
        <v>2.1459608138152001E-5</v>
      </c>
      <c r="D38" s="3">
        <v>1.8652483963283999E-3</v>
      </c>
      <c r="E38" s="3">
        <v>2.8571466457938399E-4</v>
      </c>
      <c r="F38" s="3">
        <v>0.99999986822104869</v>
      </c>
      <c r="G38" s="3">
        <v>1</v>
      </c>
      <c r="H38" s="3">
        <v>0.9999999950858387</v>
      </c>
      <c r="I38" s="3">
        <v>0.99283386227468706</v>
      </c>
      <c r="J38" s="3">
        <v>0.99283386227468706</v>
      </c>
      <c r="K38" s="3">
        <v>0.99971724369310233</v>
      </c>
      <c r="L38" s="3">
        <v>0.53355776066776683</v>
      </c>
      <c r="M38" s="3">
        <v>0.40453141075816568</v>
      </c>
      <c r="N38" s="3">
        <v>0.17879424042910699</v>
      </c>
    </row>
    <row r="39" spans="1:14" x14ac:dyDescent="0.2">
      <c r="B39" t="s">
        <v>69</v>
      </c>
      <c r="C39" s="3">
        <v>4.7371323200760003E-6</v>
      </c>
      <c r="D39" s="3">
        <v>5.4583535901997504E-4</v>
      </c>
      <c r="E39" s="3">
        <v>7.3447969950790994E-5</v>
      </c>
      <c r="F39" s="3">
        <v>0.99995790346824986</v>
      </c>
      <c r="G39" s="3">
        <v>0.9999999950858387</v>
      </c>
      <c r="H39" s="3">
        <v>1</v>
      </c>
      <c r="I39" s="3">
        <v>0.95968025288389125</v>
      </c>
      <c r="J39" s="3">
        <v>0.95968025288389125</v>
      </c>
      <c r="K39" s="3">
        <v>0.99549017606069756</v>
      </c>
      <c r="L39" s="3">
        <v>0.73292961596077355</v>
      </c>
      <c r="M39" s="3">
        <v>0.60704345722437025</v>
      </c>
      <c r="N39" s="3">
        <v>0.32586766146122259</v>
      </c>
    </row>
    <row r="40" spans="1:14" x14ac:dyDescent="0.2">
      <c r="B40" t="s">
        <v>70</v>
      </c>
      <c r="C40" s="3">
        <v>4.2443492885294578E-3</v>
      </c>
      <c r="D40" s="3">
        <v>0.1020029134815108</v>
      </c>
      <c r="E40" s="3">
        <v>2.856181416609338E-2</v>
      </c>
      <c r="F40" s="3">
        <v>0.9998284938555364</v>
      </c>
      <c r="G40" s="3">
        <v>0.99283386227468706</v>
      </c>
      <c r="H40" s="3">
        <v>0.95968025288389125</v>
      </c>
      <c r="I40" s="3">
        <v>1</v>
      </c>
      <c r="J40" s="3">
        <v>1</v>
      </c>
      <c r="K40" s="3">
        <v>0.99999996002568436</v>
      </c>
      <c r="L40" s="3">
        <v>3.7109812704923417E-2</v>
      </c>
      <c r="M40" s="3">
        <v>2.0340005330033221E-2</v>
      </c>
      <c r="N40" s="3">
        <v>4.595994773883838E-3</v>
      </c>
    </row>
    <row r="41" spans="1:14" x14ac:dyDescent="0.2">
      <c r="B41" t="s">
        <v>71</v>
      </c>
      <c r="C41" s="3">
        <v>4.2443492885294578E-3</v>
      </c>
      <c r="D41" s="3">
        <v>0.1020029134815108</v>
      </c>
      <c r="E41" s="3">
        <v>2.856181416609338E-2</v>
      </c>
      <c r="F41" s="3">
        <v>0.9998284938555364</v>
      </c>
      <c r="G41" s="3">
        <v>0.99283386227468706</v>
      </c>
      <c r="H41" s="3">
        <v>0.95968025288389125</v>
      </c>
      <c r="I41" s="3">
        <v>1</v>
      </c>
      <c r="J41" s="3">
        <v>1</v>
      </c>
      <c r="K41" s="3">
        <v>0.99999996002568436</v>
      </c>
      <c r="L41" s="3">
        <v>3.7109812704923417E-2</v>
      </c>
      <c r="M41" s="3">
        <v>2.0340005330033221E-2</v>
      </c>
      <c r="N41" s="3">
        <v>4.595994773883838E-3</v>
      </c>
    </row>
    <row r="42" spans="1:14" x14ac:dyDescent="0.2">
      <c r="B42" t="s">
        <v>72</v>
      </c>
      <c r="C42" s="3">
        <v>1.0203057408090239E-3</v>
      </c>
      <c r="D42" s="3">
        <v>3.7109812704923639E-2</v>
      </c>
      <c r="E42" s="3">
        <v>8.5365173869321742E-3</v>
      </c>
      <c r="F42" s="3">
        <v>0.99999961696825101</v>
      </c>
      <c r="G42" s="3">
        <v>0.99971724369310233</v>
      </c>
      <c r="H42" s="3">
        <v>0.99549017606069756</v>
      </c>
      <c r="I42" s="3">
        <v>0.99999996002568436</v>
      </c>
      <c r="J42" s="3">
        <v>0.99999996002568436</v>
      </c>
      <c r="K42" s="3">
        <v>1</v>
      </c>
      <c r="L42" s="3">
        <v>0.1020029134815106</v>
      </c>
      <c r="M42" s="3">
        <v>6.0985851775657407E-2</v>
      </c>
      <c r="N42" s="3">
        <v>1.648608987798228E-2</v>
      </c>
    </row>
    <row r="43" spans="1:14" x14ac:dyDescent="0.2">
      <c r="B43" t="s">
        <v>73</v>
      </c>
      <c r="C43" s="3">
        <v>1.5663693E-11</v>
      </c>
      <c r="D43" s="3">
        <v>1.1285426260000001E-8</v>
      </c>
      <c r="E43" s="3">
        <v>6.64444055E-10</v>
      </c>
      <c r="F43" s="3">
        <v>0.27823847269819912</v>
      </c>
      <c r="G43" s="3">
        <v>0.53355776066776683</v>
      </c>
      <c r="H43" s="3">
        <v>0.73292961596077355</v>
      </c>
      <c r="I43" s="3">
        <v>3.7109812704923417E-2</v>
      </c>
      <c r="J43" s="3">
        <v>3.7109812704923417E-2</v>
      </c>
      <c r="K43" s="3">
        <v>0.1020029134815106</v>
      </c>
      <c r="L43" s="3">
        <v>1</v>
      </c>
      <c r="M43" s="3">
        <v>0.99999999996000255</v>
      </c>
      <c r="N43" s="3">
        <v>0.99998872840768571</v>
      </c>
    </row>
    <row r="44" spans="1:14" x14ac:dyDescent="0.2">
      <c r="B44" t="s">
        <v>74</v>
      </c>
      <c r="C44" s="3">
        <v>4.0231150000000003E-12</v>
      </c>
      <c r="D44" s="3">
        <v>3.4245516419999999E-9</v>
      </c>
      <c r="E44" s="3">
        <v>1.8713985899999999E-10</v>
      </c>
      <c r="F44" s="3">
        <v>0.18743533433254139</v>
      </c>
      <c r="G44" s="3">
        <v>0.40453141075816568</v>
      </c>
      <c r="H44" s="3">
        <v>0.60704345722437025</v>
      </c>
      <c r="I44" s="3">
        <v>2.0340005330033221E-2</v>
      </c>
      <c r="J44" s="3">
        <v>2.0340005330033221E-2</v>
      </c>
      <c r="K44" s="3">
        <v>6.0985851775657407E-2</v>
      </c>
      <c r="L44" s="3">
        <v>0.99999999996000255</v>
      </c>
      <c r="M44" s="3">
        <v>1</v>
      </c>
      <c r="N44" s="3">
        <v>0.99999977212335323</v>
      </c>
    </row>
    <row r="45" spans="1:14" x14ac:dyDescent="0.2">
      <c r="B45" t="s">
        <v>75</v>
      </c>
      <c r="C45" s="3">
        <v>1.75193E-13</v>
      </c>
      <c r="D45" s="3">
        <v>2.15771734E-10</v>
      </c>
      <c r="E45" s="3">
        <v>9.9917850000000005E-12</v>
      </c>
      <c r="F45" s="3">
        <v>6.4725713149475061E-2</v>
      </c>
      <c r="G45" s="3">
        <v>0.17879424042910699</v>
      </c>
      <c r="H45" s="3">
        <v>0.32586766146122259</v>
      </c>
      <c r="I45" s="3">
        <v>4.595994773883838E-3</v>
      </c>
      <c r="J45" s="3">
        <v>4.595994773883838E-3</v>
      </c>
      <c r="K45" s="3">
        <v>1.648608987798228E-2</v>
      </c>
      <c r="L45" s="3">
        <v>0.99998872840768571</v>
      </c>
      <c r="M45" s="3">
        <v>0.99999977212335323</v>
      </c>
      <c r="N45" s="3">
        <v>1</v>
      </c>
    </row>
    <row r="47" spans="1:14" x14ac:dyDescent="0.2">
      <c r="A47" s="1" t="s">
        <v>1</v>
      </c>
      <c r="B47" t="s">
        <v>11</v>
      </c>
    </row>
    <row r="49" spans="1:2" x14ac:dyDescent="0.2">
      <c r="A49" s="1" t="s">
        <v>3</v>
      </c>
      <c r="B49" s="1" t="s">
        <v>4</v>
      </c>
    </row>
    <row r="50" spans="1:2" x14ac:dyDescent="0.2">
      <c r="A50">
        <v>1</v>
      </c>
      <c r="B50" t="s">
        <v>12</v>
      </c>
    </row>
    <row r="51" spans="1:2" x14ac:dyDescent="0.2">
      <c r="A51">
        <v>2</v>
      </c>
      <c r="B51" t="s">
        <v>16</v>
      </c>
    </row>
    <row r="52" spans="1:2" x14ac:dyDescent="0.2">
      <c r="A52">
        <v>3</v>
      </c>
      <c r="B52" t="s">
        <v>17</v>
      </c>
    </row>
    <row r="53" spans="1:2" x14ac:dyDescent="0.2">
      <c r="A53">
        <v>4</v>
      </c>
      <c r="B53" t="s">
        <v>18</v>
      </c>
    </row>
    <row r="54" spans="1:2" x14ac:dyDescent="0.2">
      <c r="A54">
        <v>5</v>
      </c>
      <c r="B54" t="s">
        <v>19</v>
      </c>
    </row>
    <row r="55" spans="1:2" x14ac:dyDescent="0.2">
      <c r="A55">
        <v>6</v>
      </c>
      <c r="B55" t="s">
        <v>20</v>
      </c>
    </row>
    <row r="56" spans="1:2" x14ac:dyDescent="0.2">
      <c r="A56">
        <v>7</v>
      </c>
      <c r="B56" t="s">
        <v>21</v>
      </c>
    </row>
    <row r="57" spans="1:2" x14ac:dyDescent="0.2">
      <c r="A57">
        <v>8</v>
      </c>
      <c r="B57" t="s">
        <v>22</v>
      </c>
    </row>
    <row r="58" spans="1:2" x14ac:dyDescent="0.2">
      <c r="A58">
        <v>9</v>
      </c>
      <c r="B58" t="s">
        <v>23</v>
      </c>
    </row>
    <row r="59" spans="1:2" x14ac:dyDescent="0.2">
      <c r="A59">
        <v>10</v>
      </c>
      <c r="B59" t="s">
        <v>24</v>
      </c>
    </row>
    <row r="60" spans="1:2" x14ac:dyDescent="0.2">
      <c r="A60">
        <v>11</v>
      </c>
      <c r="B60" t="s">
        <v>25</v>
      </c>
    </row>
    <row r="61" spans="1:2" x14ac:dyDescent="0.2">
      <c r="A61">
        <v>12</v>
      </c>
      <c r="B61" t="s">
        <v>26</v>
      </c>
    </row>
  </sheetData>
  <conditionalFormatting sqref="C34:N45">
    <cfRule type="cellIs" dxfId="4" priority="1" operator="lessThan">
      <formula>0.05</formula>
    </cfRule>
  </conditionalFormatting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EFACE-76DC-B942-BD6D-51F4538D5511}">
  <dimension ref="A1:T61"/>
  <sheetViews>
    <sheetView topLeftCell="C1" zoomScale="150" zoomScaleNormal="150" workbookViewId="0">
      <selection activeCell="N5" sqref="N5:N28"/>
    </sheetView>
  </sheetViews>
  <sheetFormatPr baseColWidth="10" defaultRowHeight="16" x14ac:dyDescent="0.2"/>
  <cols>
    <col min="1" max="1" width="33.6640625" bestFit="1" customWidth="1"/>
    <col min="2" max="2" width="20.1640625" customWidth="1"/>
    <col min="3" max="14" width="18.83203125" bestFit="1" customWidth="1"/>
    <col min="15" max="15" width="14.6640625" bestFit="1" customWidth="1"/>
    <col min="16" max="16" width="13.33203125" bestFit="1" customWidth="1"/>
    <col min="17" max="18" width="18.83203125" bestFit="1" customWidth="1"/>
    <col min="19" max="19" width="22.1640625" bestFit="1" customWidth="1"/>
    <col min="20" max="20" width="24.1640625" bestFit="1" customWidth="1"/>
    <col min="21" max="27" width="19" bestFit="1" customWidth="1"/>
    <col min="28" max="28" width="10" bestFit="1" customWidth="1"/>
  </cols>
  <sheetData>
    <row r="1" spans="1:20" x14ac:dyDescent="0.2">
      <c r="A1" s="1" t="s">
        <v>2</v>
      </c>
      <c r="B1" t="s">
        <v>27</v>
      </c>
      <c r="P1" s="1" t="s">
        <v>1</v>
      </c>
      <c r="Q1" t="s">
        <v>27</v>
      </c>
    </row>
    <row r="3" spans="1:20" x14ac:dyDescent="0.2">
      <c r="A3" s="1" t="s">
        <v>57</v>
      </c>
      <c r="C3" s="1" t="s">
        <v>3</v>
      </c>
      <c r="P3" s="1" t="s">
        <v>3</v>
      </c>
      <c r="Q3" t="s">
        <v>57</v>
      </c>
      <c r="R3" t="s">
        <v>59</v>
      </c>
      <c r="S3" t="s">
        <v>60</v>
      </c>
      <c r="T3" t="s">
        <v>61</v>
      </c>
    </row>
    <row r="4" spans="1:20" x14ac:dyDescent="0.2">
      <c r="A4" s="1" t="s">
        <v>0</v>
      </c>
      <c r="B4" s="1" t="s">
        <v>5</v>
      </c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P4">
        <v>12</v>
      </c>
      <c r="Q4" s="3">
        <v>0.7659989957775849</v>
      </c>
      <c r="R4" s="3">
        <v>2.4175099504615601E-2</v>
      </c>
      <c r="S4" s="4">
        <v>1.1064688563346843</v>
      </c>
      <c r="T4" s="5">
        <v>1.0955663947444587</v>
      </c>
    </row>
    <row r="5" spans="1:20" x14ac:dyDescent="0.2">
      <c r="A5" t="s">
        <v>55</v>
      </c>
      <c r="B5" t="s">
        <v>15</v>
      </c>
      <c r="C5" s="2">
        <v>0.75897824064075803</v>
      </c>
      <c r="D5" s="2">
        <v>0.76169395282551</v>
      </c>
      <c r="E5" s="2">
        <v>0.75494410335846995</v>
      </c>
      <c r="F5" s="2">
        <v>0.76588592545323497</v>
      </c>
      <c r="G5" s="2">
        <v>0.77625419925422001</v>
      </c>
      <c r="H5" s="2">
        <v>0.76524705178362795</v>
      </c>
      <c r="I5" s="2">
        <v>0.77949463479243597</v>
      </c>
      <c r="J5" s="2">
        <v>0.77508602282996297</v>
      </c>
      <c r="K5" s="2">
        <v>0.75767028852767404</v>
      </c>
      <c r="L5" s="2">
        <v>0.76506271601650899</v>
      </c>
      <c r="M5" s="2">
        <v>0.762667804034171</v>
      </c>
      <c r="N5" s="2">
        <v>0.76637751209386695</v>
      </c>
      <c r="P5">
        <v>5</v>
      </c>
      <c r="Q5" s="3">
        <v>0.76383411644735455</v>
      </c>
      <c r="R5" s="3">
        <v>2.2864455459341831E-2</v>
      </c>
      <c r="S5" s="4">
        <v>1.1123235126336388</v>
      </c>
      <c r="T5" s="5">
        <v>1.1049631667071127</v>
      </c>
    </row>
    <row r="6" spans="1:20" x14ac:dyDescent="0.2">
      <c r="B6" t="s">
        <v>13</v>
      </c>
      <c r="C6" s="2">
        <v>0.76324509803921503</v>
      </c>
      <c r="D6" s="2">
        <v>0.76933773216031198</v>
      </c>
      <c r="E6" s="2">
        <v>0.75702368823229704</v>
      </c>
      <c r="F6" s="2">
        <v>0.75078431372549004</v>
      </c>
      <c r="G6" s="2">
        <v>0.74452441226107702</v>
      </c>
      <c r="H6" s="2">
        <v>0.73824245757385198</v>
      </c>
      <c r="I6" s="2">
        <v>0.76317174732872395</v>
      </c>
      <c r="J6" s="2">
        <v>0.77549249530956799</v>
      </c>
      <c r="K6" s="2">
        <v>0.75698663605322003</v>
      </c>
      <c r="L6" s="2">
        <v>0.73824245757385198</v>
      </c>
      <c r="M6" s="2">
        <v>0.74420443349753695</v>
      </c>
      <c r="N6" s="2">
        <v>0.79440465927348203</v>
      </c>
      <c r="P6">
        <v>11</v>
      </c>
      <c r="Q6" s="3">
        <v>0.76220434148696814</v>
      </c>
      <c r="R6" s="3">
        <v>2.1467449036365809E-2</v>
      </c>
      <c r="S6" s="4">
        <v>1.1114543577035247</v>
      </c>
      <c r="T6" s="5">
        <v>1.0974610361213468</v>
      </c>
    </row>
    <row r="7" spans="1:20" x14ac:dyDescent="0.2">
      <c r="A7" t="s">
        <v>50</v>
      </c>
      <c r="B7" t="s">
        <v>15</v>
      </c>
      <c r="C7" s="2">
        <v>0.73921935511725201</v>
      </c>
      <c r="D7" s="2">
        <v>0.73385119179871094</v>
      </c>
      <c r="E7" s="2">
        <v>0.75426609575387105</v>
      </c>
      <c r="F7" s="2">
        <v>0.73417599795338895</v>
      </c>
      <c r="G7" s="2">
        <v>0.73881722961762697</v>
      </c>
      <c r="H7" s="2">
        <v>0.74611168187060695</v>
      </c>
      <c r="I7" s="2">
        <v>0.76179767105306395</v>
      </c>
      <c r="J7" s="2">
        <v>0.73061342638972304</v>
      </c>
      <c r="K7" s="2">
        <v>0.74239775709673095</v>
      </c>
      <c r="L7" s="2">
        <v>0.742324998639599</v>
      </c>
      <c r="M7" s="2">
        <v>0.73283359756788202</v>
      </c>
      <c r="N7" s="2">
        <v>0.75087053055582997</v>
      </c>
      <c r="P7">
        <v>8</v>
      </c>
      <c r="Q7" s="3">
        <v>0.76180751306610162</v>
      </c>
      <c r="R7" s="3">
        <v>2.7014392916960974E-2</v>
      </c>
      <c r="S7" s="4">
        <v>1.111811319986977</v>
      </c>
      <c r="T7" s="5">
        <v>1.0978182153911442</v>
      </c>
    </row>
    <row r="8" spans="1:20" x14ac:dyDescent="0.2">
      <c r="B8" t="s">
        <v>13</v>
      </c>
      <c r="C8" s="2">
        <v>0.75078320802005005</v>
      </c>
      <c r="D8" s="2">
        <v>0.756682266009852</v>
      </c>
      <c r="E8" s="2">
        <v>0.69453275529865099</v>
      </c>
      <c r="F8" s="2">
        <v>0.73205989980822594</v>
      </c>
      <c r="G8" s="2">
        <v>0.71340196078431295</v>
      </c>
      <c r="H8" s="2">
        <v>0.72586274509803905</v>
      </c>
      <c r="I8" s="2">
        <v>0.71313375846323401</v>
      </c>
      <c r="J8" s="2">
        <v>0.75698663605322003</v>
      </c>
      <c r="K8" s="2">
        <v>0.75606650421966004</v>
      </c>
      <c r="L8" s="2">
        <v>0.75031565656565602</v>
      </c>
      <c r="M8" s="2">
        <v>0.74392210896448197</v>
      </c>
      <c r="N8" s="2">
        <v>0.72586274509803905</v>
      </c>
      <c r="P8">
        <v>9</v>
      </c>
      <c r="Q8" s="3">
        <v>0.76033390108332799</v>
      </c>
      <c r="R8" s="3">
        <v>2.1107585896171139E-2</v>
      </c>
      <c r="S8" s="4">
        <v>1.1148890256881694</v>
      </c>
      <c r="T8" s="5">
        <v>1.1041433884006648</v>
      </c>
    </row>
    <row r="9" spans="1:20" x14ac:dyDescent="0.2">
      <c r="A9" t="s">
        <v>48</v>
      </c>
      <c r="B9" t="s">
        <v>15</v>
      </c>
      <c r="C9" s="2">
        <v>0.738926047399175</v>
      </c>
      <c r="D9" s="2">
        <v>0.74573637106444202</v>
      </c>
      <c r="E9" s="2">
        <v>0.73702973749490797</v>
      </c>
      <c r="F9" s="2">
        <v>0.73792777734724202</v>
      </c>
      <c r="G9" s="2">
        <v>0.73877357671532695</v>
      </c>
      <c r="H9" s="2">
        <v>0.74043978012456202</v>
      </c>
      <c r="I9" s="2">
        <v>0.74475038919522496</v>
      </c>
      <c r="J9" s="2">
        <v>0.74188855390157304</v>
      </c>
      <c r="K9" s="2">
        <v>0.73720773937023298</v>
      </c>
      <c r="L9" s="2">
        <v>0.72826620690442601</v>
      </c>
      <c r="M9" s="2">
        <v>0.75797509974802002</v>
      </c>
      <c r="N9" s="2">
        <v>0.73689081577554605</v>
      </c>
      <c r="P9">
        <v>6</v>
      </c>
      <c r="Q9" s="3">
        <v>0.76000968492205079</v>
      </c>
      <c r="R9" s="3">
        <v>2.2091218906531786E-2</v>
      </c>
      <c r="S9" s="4">
        <v>1.1119240323702473</v>
      </c>
      <c r="T9" s="5">
        <v>1.0999407463757898</v>
      </c>
    </row>
    <row r="10" spans="1:20" x14ac:dyDescent="0.2">
      <c r="B10" t="s">
        <v>13</v>
      </c>
      <c r="C10" s="2">
        <v>0.72577452667814102</v>
      </c>
      <c r="D10" s="2">
        <v>0.75070411516194602</v>
      </c>
      <c r="E10" s="2">
        <v>0.73205989980822594</v>
      </c>
      <c r="F10" s="2">
        <v>0.72560193871169398</v>
      </c>
      <c r="G10" s="2">
        <v>0.73193304007820104</v>
      </c>
      <c r="H10" s="2">
        <v>0.70676653901762299</v>
      </c>
      <c r="I10" s="2">
        <v>0.73832236842105203</v>
      </c>
      <c r="J10" s="2">
        <v>0.71285943116111805</v>
      </c>
      <c r="K10" s="2">
        <v>0.75702368823229704</v>
      </c>
      <c r="L10" s="2">
        <v>0.73172257825016596</v>
      </c>
      <c r="M10" s="2">
        <v>0.73832236842105203</v>
      </c>
      <c r="N10" s="2">
        <v>0.73205989980822594</v>
      </c>
      <c r="P10">
        <v>10</v>
      </c>
      <c r="Q10" s="3">
        <v>0.75958162809489949</v>
      </c>
      <c r="R10" s="3">
        <v>2.330154268378487E-2</v>
      </c>
      <c r="S10" s="4">
        <v>1.1096381048361428</v>
      </c>
      <c r="T10" s="5">
        <v>1.0989564372216265</v>
      </c>
    </row>
    <row r="11" spans="1:20" x14ac:dyDescent="0.2">
      <c r="A11" t="s">
        <v>10</v>
      </c>
      <c r="B11" t="s">
        <v>15</v>
      </c>
      <c r="C11" s="2">
        <v>0.744793491724551</v>
      </c>
      <c r="D11" s="2">
        <v>0.73542184590743298</v>
      </c>
      <c r="E11" s="2">
        <v>0.73799387445322495</v>
      </c>
      <c r="F11" s="2">
        <v>0.73672918847765001</v>
      </c>
      <c r="G11" s="2">
        <v>0.75764567392477</v>
      </c>
      <c r="H11" s="2">
        <v>0.74386058622243301</v>
      </c>
      <c r="I11" s="2">
        <v>0.73532522897187302</v>
      </c>
      <c r="J11" s="2">
        <v>0.73792929173265798</v>
      </c>
      <c r="K11" s="2">
        <v>0.73893865063418096</v>
      </c>
      <c r="L11" s="2">
        <v>0.75147452927563496</v>
      </c>
      <c r="M11" s="2">
        <v>0.74635529163247605</v>
      </c>
      <c r="N11" s="2">
        <v>0.73497998447403201</v>
      </c>
      <c r="P11">
        <v>7</v>
      </c>
      <c r="Q11" s="3">
        <v>0.75882878917106489</v>
      </c>
      <c r="R11" s="3">
        <v>2.3120985770445877E-2</v>
      </c>
      <c r="S11" s="4">
        <v>1.105586528778074</v>
      </c>
      <c r="T11" s="5">
        <v>1.0914885776069119</v>
      </c>
    </row>
    <row r="12" spans="1:20" x14ac:dyDescent="0.2">
      <c r="B12" t="s">
        <v>13</v>
      </c>
      <c r="C12" s="2">
        <v>0.74440495851519795</v>
      </c>
      <c r="D12" s="2">
        <v>0.74456336455190197</v>
      </c>
      <c r="E12" s="2">
        <v>0.71340068922305699</v>
      </c>
      <c r="F12" s="2">
        <v>0.67601960784313697</v>
      </c>
      <c r="G12" s="2">
        <v>0.75698663605322003</v>
      </c>
      <c r="H12" s="2">
        <v>0.76324404761904696</v>
      </c>
      <c r="I12" s="2">
        <v>0.70718239351071699</v>
      </c>
      <c r="J12" s="2">
        <v>0.70677093596059104</v>
      </c>
      <c r="K12" s="2">
        <v>0.71330973243623796</v>
      </c>
      <c r="L12" s="2">
        <v>0.70084852294154598</v>
      </c>
      <c r="M12" s="2">
        <v>0.72577781269641695</v>
      </c>
      <c r="N12" s="2">
        <v>0.73783143939393903</v>
      </c>
      <c r="P12">
        <v>2</v>
      </c>
      <c r="Q12" s="3">
        <v>0.7581311061092828</v>
      </c>
      <c r="R12" s="3">
        <v>2.0393965581642692E-2</v>
      </c>
      <c r="S12" s="4">
        <v>1.0067565739154796</v>
      </c>
      <c r="T12" s="5">
        <v>0.95307683197617665</v>
      </c>
    </row>
    <row r="13" spans="1:20" x14ac:dyDescent="0.2">
      <c r="A13" t="s">
        <v>51</v>
      </c>
      <c r="B13" t="s">
        <v>15</v>
      </c>
      <c r="C13" s="2">
        <v>0.72005991780096601</v>
      </c>
      <c r="D13" s="2">
        <v>0.73663012475276402</v>
      </c>
      <c r="E13" s="2">
        <v>0.73511650341492296</v>
      </c>
      <c r="F13" s="2">
        <v>0.719339878454333</v>
      </c>
      <c r="G13" s="2">
        <v>0.75666819747266401</v>
      </c>
      <c r="H13" s="2">
        <v>0.74285015049986303</v>
      </c>
      <c r="I13" s="2">
        <v>0.74164202447463701</v>
      </c>
      <c r="J13" s="2">
        <v>0.73426979904800804</v>
      </c>
      <c r="K13" s="2">
        <v>0.74045680987078899</v>
      </c>
      <c r="L13" s="2">
        <v>0.74902171751818103</v>
      </c>
      <c r="M13" s="2">
        <v>0.75150352118022501</v>
      </c>
      <c r="N13" s="2">
        <v>0.76399744874714604</v>
      </c>
      <c r="P13">
        <v>1</v>
      </c>
      <c r="Q13" s="3">
        <v>0.7548653695319123</v>
      </c>
      <c r="R13" s="3">
        <v>1.8982704411165136E-2</v>
      </c>
      <c r="S13" s="4">
        <v>1.005015571912127</v>
      </c>
      <c r="T13" s="5">
        <v>0.94733336907315202</v>
      </c>
    </row>
    <row r="14" spans="1:20" x14ac:dyDescent="0.2">
      <c r="B14" t="s">
        <v>13</v>
      </c>
      <c r="C14" s="2">
        <v>0.74456336455190197</v>
      </c>
      <c r="D14" s="2">
        <v>0.76324404761904696</v>
      </c>
      <c r="E14" s="2">
        <v>0.73823932092004296</v>
      </c>
      <c r="F14" s="2">
        <v>0.73172257825016596</v>
      </c>
      <c r="G14" s="2">
        <v>0.78816666666666602</v>
      </c>
      <c r="H14" s="2">
        <v>0.77570588235294102</v>
      </c>
      <c r="I14" s="2">
        <v>0.78190922077413805</v>
      </c>
      <c r="J14" s="2">
        <v>0.76324404761904696</v>
      </c>
      <c r="K14" s="2">
        <v>0.77570588235294102</v>
      </c>
      <c r="L14" s="2">
        <v>0.769484011912692</v>
      </c>
      <c r="M14" s="2">
        <v>0.74456336455190197</v>
      </c>
      <c r="N14" s="2">
        <v>0.78190922077413805</v>
      </c>
      <c r="P14">
        <v>3</v>
      </c>
      <c r="Q14" s="3">
        <v>0.75375486468317232</v>
      </c>
      <c r="R14" s="3">
        <v>2.3394594987300725E-2</v>
      </c>
      <c r="S14" s="4">
        <v>1.008569449186322</v>
      </c>
      <c r="T14" s="5">
        <v>0.95458431912367314</v>
      </c>
    </row>
    <row r="15" spans="1:20" x14ac:dyDescent="0.2">
      <c r="A15" t="s">
        <v>54</v>
      </c>
      <c r="B15" t="s">
        <v>15</v>
      </c>
      <c r="C15" s="2">
        <v>0.78161528241978395</v>
      </c>
      <c r="D15" s="2">
        <v>0.79427985108850296</v>
      </c>
      <c r="E15" s="2">
        <v>0.77778514874181603</v>
      </c>
      <c r="F15" s="2">
        <v>0.78175915619287795</v>
      </c>
      <c r="G15" s="2">
        <v>0.79928844538212496</v>
      </c>
      <c r="H15" s="2">
        <v>0.78557987614065505</v>
      </c>
      <c r="I15" s="2">
        <v>0.77551415398660295</v>
      </c>
      <c r="J15" s="2">
        <v>0.79419026521804903</v>
      </c>
      <c r="K15" s="2">
        <v>0.78442512490080296</v>
      </c>
      <c r="L15" s="2">
        <v>0.79434129760470695</v>
      </c>
      <c r="M15" s="2">
        <v>0.79056833687922001</v>
      </c>
      <c r="N15" s="2">
        <v>0.80169528160808201</v>
      </c>
      <c r="P15">
        <v>4</v>
      </c>
      <c r="Q15" s="3">
        <v>0.75010099548420728</v>
      </c>
      <c r="R15" s="3">
        <v>2.454905877826994E-2</v>
      </c>
      <c r="S15" s="4">
        <v>1.0026476283868127</v>
      </c>
      <c r="T15" s="5">
        <v>0.94908297886308823</v>
      </c>
    </row>
    <row r="16" spans="1:20" x14ac:dyDescent="0.2">
      <c r="B16" t="s">
        <v>13</v>
      </c>
      <c r="C16" s="2">
        <v>0.73807457786116304</v>
      </c>
      <c r="D16" s="2">
        <v>0.75078320802005005</v>
      </c>
      <c r="E16" s="2">
        <v>0.76301985616010004</v>
      </c>
      <c r="F16" s="2">
        <v>0.76324509803921503</v>
      </c>
      <c r="G16" s="2">
        <v>0.756682266009852</v>
      </c>
      <c r="H16" s="2">
        <v>0.76317174732872395</v>
      </c>
      <c r="I16" s="2">
        <v>0.74452223004970397</v>
      </c>
      <c r="J16" s="2">
        <v>0.76324404761904696</v>
      </c>
      <c r="K16" s="2">
        <v>0.75055109431585498</v>
      </c>
      <c r="L16" s="2">
        <v>0.77549598488426996</v>
      </c>
      <c r="M16" s="2">
        <v>0.75078320802005005</v>
      </c>
      <c r="N16" s="2">
        <v>0.75070710245128802</v>
      </c>
      <c r="P16" t="s">
        <v>58</v>
      </c>
      <c r="Q16" s="3">
        <v>0.75912094215482695</v>
      </c>
      <c r="R16" s="3">
        <v>2.2757768844790041E-2</v>
      </c>
      <c r="S16" s="4">
        <v>1.0755904134776846</v>
      </c>
      <c r="T16" s="5">
        <v>1.0326854728070656</v>
      </c>
    </row>
    <row r="17" spans="1:14" x14ac:dyDescent="0.2">
      <c r="A17" t="s">
        <v>49</v>
      </c>
      <c r="B17" t="s">
        <v>15</v>
      </c>
      <c r="C17" s="2">
        <v>0.75586142677864498</v>
      </c>
      <c r="D17" s="2">
        <v>0.76837481027715004</v>
      </c>
      <c r="E17" s="2">
        <v>0.75358237389175198</v>
      </c>
      <c r="F17" s="2">
        <v>0.75562237729660198</v>
      </c>
      <c r="G17" s="2">
        <v>0.75809798131313599</v>
      </c>
      <c r="H17" s="2">
        <v>0.75512867728379796</v>
      </c>
      <c r="I17" s="2">
        <v>0.765952654739538</v>
      </c>
      <c r="J17" s="2">
        <v>0.74624071651226898</v>
      </c>
      <c r="K17" s="2">
        <v>0.747900111174296</v>
      </c>
      <c r="L17" s="2">
        <v>0.75680908521863799</v>
      </c>
      <c r="M17" s="2">
        <v>0.75344630015695802</v>
      </c>
      <c r="N17" s="2">
        <v>0.762801165762094</v>
      </c>
    </row>
    <row r="18" spans="1:14" x14ac:dyDescent="0.2">
      <c r="B18" t="s">
        <v>13</v>
      </c>
      <c r="C18" s="2">
        <v>0.76768926249451497</v>
      </c>
      <c r="D18" s="2">
        <v>0.786755454690237</v>
      </c>
      <c r="E18" s="2">
        <v>0.76166786112438201</v>
      </c>
      <c r="F18" s="2">
        <v>0.77370524296675103</v>
      </c>
      <c r="G18" s="2">
        <v>0.805764835645295</v>
      </c>
      <c r="H18" s="2">
        <v>0.79323353471918601</v>
      </c>
      <c r="I18" s="2">
        <v>0.7353093403948</v>
      </c>
      <c r="J18" s="2">
        <v>0.76768926249451497</v>
      </c>
      <c r="K18" s="2">
        <v>0.77971721721721698</v>
      </c>
      <c r="L18" s="2">
        <v>0.76857591425967697</v>
      </c>
      <c r="M18" s="2">
        <v>0.76768926249451497</v>
      </c>
      <c r="N18" s="2">
        <v>0.773122291766971</v>
      </c>
    </row>
    <row r="19" spans="1:14" x14ac:dyDescent="0.2">
      <c r="A19" t="s">
        <v>46</v>
      </c>
      <c r="B19" t="s">
        <v>15</v>
      </c>
      <c r="C19" s="2">
        <v>0.78151807618120706</v>
      </c>
      <c r="D19" s="2">
        <v>0.75923333450499197</v>
      </c>
      <c r="E19" s="2">
        <v>0.76537351021272804</v>
      </c>
      <c r="F19" s="2">
        <v>0.76790834856916201</v>
      </c>
      <c r="G19" s="2">
        <v>0.78787480654686903</v>
      </c>
      <c r="H19" s="2">
        <v>0.78054260829497801</v>
      </c>
      <c r="I19" s="2">
        <v>0.79022622171913304</v>
      </c>
      <c r="J19" s="2">
        <v>0.78286653005361795</v>
      </c>
      <c r="K19" s="2">
        <v>0.78293974582980796</v>
      </c>
      <c r="L19" s="2">
        <v>0.799301966272841</v>
      </c>
      <c r="M19" s="2">
        <v>0.78405974828914504</v>
      </c>
      <c r="N19" s="2">
        <v>0.79273579584006204</v>
      </c>
    </row>
    <row r="20" spans="1:14" x14ac:dyDescent="0.2">
      <c r="B20" t="s">
        <v>13</v>
      </c>
      <c r="C20" s="2">
        <v>0.77549249530956799</v>
      </c>
      <c r="D20" s="2">
        <v>0.78190922077413805</v>
      </c>
      <c r="E20" s="2">
        <v>0.80062656641604002</v>
      </c>
      <c r="F20" s="2">
        <v>0.76933773216031198</v>
      </c>
      <c r="G20" s="2">
        <v>0.78194433559308696</v>
      </c>
      <c r="H20" s="2">
        <v>0.77570588235294102</v>
      </c>
      <c r="I20" s="2">
        <v>0.77570588235294102</v>
      </c>
      <c r="J20" s="2">
        <v>0.78190922077413805</v>
      </c>
      <c r="K20" s="2">
        <v>0.75702368823229704</v>
      </c>
      <c r="L20" s="2">
        <v>0.75702368823229704</v>
      </c>
      <c r="M20" s="2">
        <v>0.79437155101561496</v>
      </c>
      <c r="N20" s="2">
        <v>0.80683553122178997</v>
      </c>
    </row>
    <row r="21" spans="1:14" x14ac:dyDescent="0.2">
      <c r="A21" t="s">
        <v>47</v>
      </c>
      <c r="B21" t="s">
        <v>15</v>
      </c>
      <c r="C21" s="2">
        <v>0.76913454978420803</v>
      </c>
      <c r="D21" s="2">
        <v>0.772022631075023</v>
      </c>
      <c r="E21" s="2">
        <v>0.77700924814780203</v>
      </c>
      <c r="F21" s="2">
        <v>0.77451460947697404</v>
      </c>
      <c r="G21" s="2">
        <v>0.78693680666035304</v>
      </c>
      <c r="H21" s="2">
        <v>0.79414306466542595</v>
      </c>
      <c r="I21" s="2">
        <v>0.79179621655731203</v>
      </c>
      <c r="J21" s="2">
        <v>0.77694941229050896</v>
      </c>
      <c r="K21" s="2">
        <v>0.78286193410845994</v>
      </c>
      <c r="L21" s="2">
        <v>0.78567922269441803</v>
      </c>
      <c r="M21" s="2">
        <v>0.80164329501687104</v>
      </c>
      <c r="N21" s="2">
        <v>0.78542475185655503</v>
      </c>
    </row>
    <row r="22" spans="1:14" x14ac:dyDescent="0.2">
      <c r="B22" t="s">
        <v>13</v>
      </c>
      <c r="C22" s="2">
        <v>0.76324404761904696</v>
      </c>
      <c r="D22" s="2">
        <v>0.74456336455190197</v>
      </c>
      <c r="E22" s="2">
        <v>0.788165726817042</v>
      </c>
      <c r="F22" s="2">
        <v>0.77570588235294102</v>
      </c>
      <c r="G22" s="2">
        <v>0.78190922077413805</v>
      </c>
      <c r="H22" s="2">
        <v>0.78190922077413805</v>
      </c>
      <c r="I22" s="2">
        <v>0.76324509803921503</v>
      </c>
      <c r="J22" s="2">
        <v>0.80062745098039201</v>
      </c>
      <c r="K22" s="2">
        <v>0.77549598488426996</v>
      </c>
      <c r="L22" s="2">
        <v>0.78816666666666602</v>
      </c>
      <c r="M22" s="2">
        <v>0.77570488721804498</v>
      </c>
      <c r="N22" s="2">
        <v>0.79427419354838702</v>
      </c>
    </row>
    <row r="23" spans="1:14" x14ac:dyDescent="0.2">
      <c r="A23" t="s">
        <v>53</v>
      </c>
      <c r="B23" t="s">
        <v>15</v>
      </c>
      <c r="C23" s="2">
        <v>0.73696801682675805</v>
      </c>
      <c r="D23" s="2">
        <v>0.73662415971785999</v>
      </c>
      <c r="E23" s="2">
        <v>0.74787151362057602</v>
      </c>
      <c r="F23" s="2">
        <v>0.73702057352273997</v>
      </c>
      <c r="G23" s="2">
        <v>0.75437748968784402</v>
      </c>
      <c r="H23" s="2">
        <v>0.751559319839462</v>
      </c>
      <c r="I23" s="2">
        <v>0.76047195021466596</v>
      </c>
      <c r="J23" s="2">
        <v>0.75660944111144102</v>
      </c>
      <c r="K23" s="2">
        <v>0.74907115072000796</v>
      </c>
      <c r="L23" s="2">
        <v>0.75295153666304004</v>
      </c>
      <c r="M23" s="2">
        <v>0.76050831099023097</v>
      </c>
      <c r="N23" s="2">
        <v>0.74786385257638699</v>
      </c>
    </row>
    <row r="24" spans="1:14" x14ac:dyDescent="0.2">
      <c r="B24" t="s">
        <v>13</v>
      </c>
      <c r="C24" s="2">
        <v>0.75031254883575504</v>
      </c>
      <c r="D24" s="2">
        <v>0.72405409631019302</v>
      </c>
      <c r="E24" s="2">
        <v>0.76249999999999996</v>
      </c>
      <c r="F24" s="2">
        <v>0.77549249530956799</v>
      </c>
      <c r="G24" s="2">
        <v>0.78796513445903604</v>
      </c>
      <c r="H24" s="2">
        <v>0.75641187155748202</v>
      </c>
      <c r="I24" s="2">
        <v>0.78190922077413805</v>
      </c>
      <c r="J24" s="2">
        <v>0.813088235294117</v>
      </c>
      <c r="K24" s="2">
        <v>0.76915663709897997</v>
      </c>
      <c r="L24" s="2">
        <v>0.78190922077413805</v>
      </c>
      <c r="M24" s="2">
        <v>0.78190922077413805</v>
      </c>
      <c r="N24" s="2">
        <v>0.78163465671525101</v>
      </c>
    </row>
    <row r="25" spans="1:14" x14ac:dyDescent="0.2">
      <c r="A25" t="s">
        <v>56</v>
      </c>
      <c r="B25" t="s">
        <v>15</v>
      </c>
      <c r="C25" s="2">
        <v>0.74736326737693004</v>
      </c>
      <c r="D25" s="2">
        <v>0.75260773979987305</v>
      </c>
      <c r="E25" s="2">
        <v>0.73802956217461801</v>
      </c>
      <c r="F25" s="2">
        <v>0.74393124449985704</v>
      </c>
      <c r="G25" s="2">
        <v>0.75157071172818302</v>
      </c>
      <c r="H25" s="2">
        <v>0.74930733657342596</v>
      </c>
      <c r="I25" s="2">
        <v>0.75409246632182503</v>
      </c>
      <c r="J25" s="2">
        <v>0.75803600734361898</v>
      </c>
      <c r="K25" s="2">
        <v>0.74163990249044698</v>
      </c>
      <c r="L25" s="2">
        <v>0.74407771663881095</v>
      </c>
      <c r="M25" s="2">
        <v>0.750331644939225</v>
      </c>
      <c r="N25" s="2">
        <v>0.74916183604729703</v>
      </c>
    </row>
    <row r="26" spans="1:14" x14ac:dyDescent="0.2">
      <c r="B26" t="s">
        <v>13</v>
      </c>
      <c r="C26" s="2">
        <v>0.76933773216031198</v>
      </c>
      <c r="D26" s="2">
        <v>0.80056329212955701</v>
      </c>
      <c r="E26" s="2">
        <v>0.77549249530956799</v>
      </c>
      <c r="F26" s="2">
        <v>0.77570488721804498</v>
      </c>
      <c r="G26" s="2">
        <v>0.76944689053266002</v>
      </c>
      <c r="H26" s="2">
        <v>0.788165726817042</v>
      </c>
      <c r="I26" s="2">
        <v>0.78809849788765396</v>
      </c>
      <c r="J26" s="2">
        <v>0.75702368823229704</v>
      </c>
      <c r="K26" s="2">
        <v>0.77563370364575102</v>
      </c>
      <c r="L26" s="2">
        <v>0.78180596285435</v>
      </c>
      <c r="M26" s="2">
        <v>0.77563370364575102</v>
      </c>
      <c r="N26" s="2">
        <v>0.78180596285435</v>
      </c>
    </row>
    <row r="27" spans="1:14" x14ac:dyDescent="0.2">
      <c r="A27" t="s">
        <v>52</v>
      </c>
      <c r="B27" t="s">
        <v>15</v>
      </c>
      <c r="C27" s="2">
        <v>0.74878192565040302</v>
      </c>
      <c r="D27" s="2">
        <v>0.74387571511613304</v>
      </c>
      <c r="E27" s="2">
        <v>0.75522958472305701</v>
      </c>
      <c r="F27" s="2">
        <v>0.74135963652508896</v>
      </c>
      <c r="G27" s="2">
        <v>0.75667572874009603</v>
      </c>
      <c r="H27" s="2">
        <v>0.74770491745905499</v>
      </c>
      <c r="I27" s="2">
        <v>0.74897983792261902</v>
      </c>
      <c r="J27" s="2">
        <v>0.74913882924092101</v>
      </c>
      <c r="K27" s="2">
        <v>0.76274623657268004</v>
      </c>
      <c r="L27" s="2">
        <v>0.74790077881649097</v>
      </c>
      <c r="M27" s="2">
        <v>0.75769155034479896</v>
      </c>
      <c r="N27" s="2">
        <v>0.74881999964514101</v>
      </c>
    </row>
    <row r="28" spans="1:14" x14ac:dyDescent="0.2">
      <c r="B28" t="s">
        <v>13</v>
      </c>
      <c r="C28" s="2">
        <v>0.80062745098039201</v>
      </c>
      <c r="D28" s="2">
        <v>0.78163465671525101</v>
      </c>
      <c r="E28" s="2">
        <v>0.76915663709897997</v>
      </c>
      <c r="F28" s="2">
        <v>0.75686950146627496</v>
      </c>
      <c r="G28" s="2">
        <v>0.75031254883575504</v>
      </c>
      <c r="H28" s="2">
        <v>0.76933773216031198</v>
      </c>
      <c r="I28" s="2">
        <v>0.76933773216031198</v>
      </c>
      <c r="J28" s="2">
        <v>0.80062656641604002</v>
      </c>
      <c r="K28" s="2">
        <v>0.81308740601503704</v>
      </c>
      <c r="L28" s="2">
        <v>0.76915663709897997</v>
      </c>
      <c r="M28" s="2">
        <v>0.80043777360850499</v>
      </c>
      <c r="N28" s="2">
        <v>0.78190922077413805</v>
      </c>
    </row>
    <row r="29" spans="1:14" x14ac:dyDescent="0.2">
      <c r="A29" t="s">
        <v>58</v>
      </c>
      <c r="C29" s="2">
        <v>0.7548653695319123</v>
      </c>
      <c r="D29" s="2">
        <v>0.75813110610928247</v>
      </c>
      <c r="E29" s="2">
        <v>0.7537548646831721</v>
      </c>
      <c r="F29" s="2">
        <v>0.75010099548420717</v>
      </c>
      <c r="G29" s="2">
        <v>0.76383411644735466</v>
      </c>
      <c r="H29" s="2">
        <v>0.76000968492205068</v>
      </c>
      <c r="I29" s="2">
        <v>0.75882878917106511</v>
      </c>
      <c r="J29" s="2">
        <v>0.76180751306610162</v>
      </c>
      <c r="K29" s="2">
        <v>0.7603339010833281</v>
      </c>
      <c r="L29" s="2">
        <v>0.75958162809489915</v>
      </c>
      <c r="M29" s="2">
        <v>0.76220434148696781</v>
      </c>
      <c r="N29" s="2">
        <v>0.7659989957775849</v>
      </c>
    </row>
    <row r="30" spans="1:14" x14ac:dyDescent="0.2">
      <c r="B30" t="s">
        <v>76</v>
      </c>
    </row>
    <row r="32" spans="1:14" x14ac:dyDescent="0.2">
      <c r="A32" t="s">
        <v>62</v>
      </c>
      <c r="C32" t="s">
        <v>64</v>
      </c>
      <c r="D32" t="s">
        <v>65</v>
      </c>
      <c r="E32" t="s">
        <v>66</v>
      </c>
      <c r="F32" t="s">
        <v>67</v>
      </c>
      <c r="G32" t="s">
        <v>68</v>
      </c>
      <c r="H32" t="s">
        <v>69</v>
      </c>
      <c r="I32" t="s">
        <v>70</v>
      </c>
      <c r="J32" t="s">
        <v>71</v>
      </c>
      <c r="K32" t="s">
        <v>72</v>
      </c>
      <c r="L32" t="s">
        <v>73</v>
      </c>
      <c r="M32" t="s">
        <v>74</v>
      </c>
      <c r="N32" t="s">
        <v>75</v>
      </c>
    </row>
    <row r="33" spans="1:14" x14ac:dyDescent="0.2">
      <c r="A33" s="6">
        <v>9.7654257385543241E-4</v>
      </c>
    </row>
    <row r="34" spans="1:14" x14ac:dyDescent="0.2">
      <c r="B34" t="s">
        <v>64</v>
      </c>
      <c r="C34" s="3">
        <v>1</v>
      </c>
      <c r="D34" s="3">
        <v>0.92285369587567867</v>
      </c>
      <c r="E34" s="3">
        <v>0.99999999999993627</v>
      </c>
      <c r="F34" s="3">
        <v>0.99999899617858612</v>
      </c>
      <c r="G34" s="3">
        <v>4.7789381223750649E-2</v>
      </c>
      <c r="H34" s="3">
        <v>0.75862765200959048</v>
      </c>
      <c r="I34" s="3">
        <v>0.44647210546630539</v>
      </c>
      <c r="J34" s="3">
        <v>0.65040848947069074</v>
      </c>
      <c r="K34" s="3">
        <v>0.97659886321973499</v>
      </c>
      <c r="L34" s="3">
        <v>0.78319362124910741</v>
      </c>
      <c r="M34" s="3">
        <v>0.33841486892162642</v>
      </c>
      <c r="N34" s="3">
        <v>0.1135989708904781</v>
      </c>
    </row>
    <row r="35" spans="1:14" x14ac:dyDescent="0.2">
      <c r="B35" t="s">
        <v>65</v>
      </c>
      <c r="C35" s="3">
        <v>0.92285369587567867</v>
      </c>
      <c r="D35" s="3">
        <v>1</v>
      </c>
      <c r="E35" s="3">
        <v>0.95085021555558003</v>
      </c>
      <c r="F35" s="3">
        <v>0.6786718011368611</v>
      </c>
      <c r="G35" s="3">
        <v>0.85875987801988152</v>
      </c>
      <c r="H35" s="3">
        <v>0.99999996002568436</v>
      </c>
      <c r="I35" s="3">
        <v>0.99977890363154442</v>
      </c>
      <c r="J35" s="3">
        <v>0.9999975879312637</v>
      </c>
      <c r="K35" s="3">
        <v>0.99999999907814807</v>
      </c>
      <c r="L35" s="3">
        <v>0.9999999896324151</v>
      </c>
      <c r="M35" s="3">
        <v>0.99869992775750416</v>
      </c>
      <c r="N35" s="3">
        <v>0.95968025288389125</v>
      </c>
    </row>
    <row r="36" spans="1:14" x14ac:dyDescent="0.2">
      <c r="B36" t="s">
        <v>66</v>
      </c>
      <c r="C36" s="3">
        <v>0.99999999999993627</v>
      </c>
      <c r="D36" s="3">
        <v>0.95085021555558003</v>
      </c>
      <c r="E36" s="3">
        <v>1</v>
      </c>
      <c r="F36" s="3">
        <v>0.99999215247640427</v>
      </c>
      <c r="G36" s="3">
        <v>6.4725713149475173E-2</v>
      </c>
      <c r="H36" s="3">
        <v>0.81767285562074454</v>
      </c>
      <c r="I36" s="3">
        <v>0.51886340958253041</v>
      </c>
      <c r="J36" s="3">
        <v>0.71969629709668204</v>
      </c>
      <c r="K36" s="3">
        <v>0.987435960008337</v>
      </c>
      <c r="L36" s="3">
        <v>0.83894374618627221</v>
      </c>
      <c r="M36" s="3">
        <v>0.40453141075816629</v>
      </c>
      <c r="N36" s="3">
        <v>0.14708197676035231</v>
      </c>
    </row>
    <row r="37" spans="1:14" x14ac:dyDescent="0.2">
      <c r="B37" t="s">
        <v>67</v>
      </c>
      <c r="C37" s="3">
        <v>0.99999899617858612</v>
      </c>
      <c r="D37" s="3">
        <v>0.6786718011368611</v>
      </c>
      <c r="E37" s="3">
        <v>0.99999215247640427</v>
      </c>
      <c r="F37" s="3">
        <v>1</v>
      </c>
      <c r="G37" s="3">
        <v>9.9162803084746898E-3</v>
      </c>
      <c r="H37" s="3">
        <v>0.43233474713764242</v>
      </c>
      <c r="I37" s="3">
        <v>0.17879424042910699</v>
      </c>
      <c r="J37" s="3">
        <v>0.32586766146122259</v>
      </c>
      <c r="K37" s="3">
        <v>0.82848636350738414</v>
      </c>
      <c r="L37" s="3">
        <v>0.46074580799493431</v>
      </c>
      <c r="M37" s="3">
        <v>0.1197715851966165</v>
      </c>
      <c r="N37" s="3">
        <v>2.8561814166093151E-2</v>
      </c>
    </row>
    <row r="38" spans="1:14" x14ac:dyDescent="0.2">
      <c r="B38" t="s">
        <v>68</v>
      </c>
      <c r="C38" s="3">
        <v>4.7789381223750649E-2</v>
      </c>
      <c r="D38" s="3">
        <v>0.85875987801988152</v>
      </c>
      <c r="E38" s="3">
        <v>6.4725713149475173E-2</v>
      </c>
      <c r="F38" s="3">
        <v>9.9162803084746898E-3</v>
      </c>
      <c r="G38" s="3">
        <v>1</v>
      </c>
      <c r="H38" s="3">
        <v>0.96728257928480088</v>
      </c>
      <c r="I38" s="3">
        <v>0.99869992775750416</v>
      </c>
      <c r="J38" s="3">
        <v>0.987435960008337</v>
      </c>
      <c r="K38" s="3">
        <v>0.71969629709668204</v>
      </c>
      <c r="L38" s="3">
        <v>0.95968025288389136</v>
      </c>
      <c r="M38" s="3">
        <v>0.99977890363154442</v>
      </c>
      <c r="N38" s="3">
        <v>0.9999999896324151</v>
      </c>
    </row>
    <row r="39" spans="1:14" x14ac:dyDescent="0.2">
      <c r="B39" t="s">
        <v>69</v>
      </c>
      <c r="C39" s="3">
        <v>0.75862765200959048</v>
      </c>
      <c r="D39" s="3">
        <v>0.99999996002568436</v>
      </c>
      <c r="E39" s="3">
        <v>0.81767285562074454</v>
      </c>
      <c r="F39" s="3">
        <v>0.43233474713764242</v>
      </c>
      <c r="G39" s="3">
        <v>0.96728257928480088</v>
      </c>
      <c r="H39" s="3">
        <v>1</v>
      </c>
      <c r="I39" s="3">
        <v>0.99999937257029115</v>
      </c>
      <c r="J39" s="3">
        <v>0.9999999999889716</v>
      </c>
      <c r="K39" s="3">
        <v>0.99998872840768571</v>
      </c>
      <c r="L39" s="3">
        <v>1</v>
      </c>
      <c r="M39" s="3">
        <v>0.99998403364476607</v>
      </c>
      <c r="N39" s="3">
        <v>0.99549017606069756</v>
      </c>
    </row>
    <row r="40" spans="1:14" x14ac:dyDescent="0.2">
      <c r="B40" t="s">
        <v>70</v>
      </c>
      <c r="C40" s="3">
        <v>0.44647210546630539</v>
      </c>
      <c r="D40" s="3">
        <v>0.99977890363154442</v>
      </c>
      <c r="E40" s="3">
        <v>0.51886340958253041</v>
      </c>
      <c r="F40" s="3">
        <v>0.17879424042910699</v>
      </c>
      <c r="G40" s="3">
        <v>0.99869992775750416</v>
      </c>
      <c r="H40" s="3">
        <v>0.99999937257029115</v>
      </c>
      <c r="I40" s="3">
        <v>1</v>
      </c>
      <c r="J40" s="3">
        <v>0.9999999950858387</v>
      </c>
      <c r="K40" s="3">
        <v>0.9972732501632019</v>
      </c>
      <c r="L40" s="3">
        <v>0.99999842836578845</v>
      </c>
      <c r="M40" s="3">
        <v>0.9999999999889716</v>
      </c>
      <c r="N40" s="3">
        <v>0.99996916720817408</v>
      </c>
    </row>
    <row r="41" spans="1:14" x14ac:dyDescent="0.2">
      <c r="B41" t="s">
        <v>71</v>
      </c>
      <c r="C41" s="3">
        <v>0.65040848947069074</v>
      </c>
      <c r="D41" s="3">
        <v>0.9999975879312637</v>
      </c>
      <c r="E41" s="3">
        <v>0.71969629709668204</v>
      </c>
      <c r="F41" s="3">
        <v>0.32586766146122259</v>
      </c>
      <c r="G41" s="3">
        <v>0.987435960008337</v>
      </c>
      <c r="H41" s="3">
        <v>0.9999999999889716</v>
      </c>
      <c r="I41" s="3">
        <v>0.9999999950858387</v>
      </c>
      <c r="J41" s="3">
        <v>1</v>
      </c>
      <c r="K41" s="3">
        <v>0.99986807205625605</v>
      </c>
      <c r="L41" s="3">
        <v>0.9999999998735738</v>
      </c>
      <c r="M41" s="3">
        <v>0.99999937257029115</v>
      </c>
      <c r="N41" s="3">
        <v>0.99893441750592127</v>
      </c>
    </row>
    <row r="42" spans="1:14" x14ac:dyDescent="0.2">
      <c r="B42" t="s">
        <v>72</v>
      </c>
      <c r="C42" s="3">
        <v>0.97659886321973499</v>
      </c>
      <c r="D42" s="3">
        <v>0.99999999907814807</v>
      </c>
      <c r="E42" s="3">
        <v>0.987435960008337</v>
      </c>
      <c r="F42" s="3">
        <v>0.82848636350738414</v>
      </c>
      <c r="G42" s="3">
        <v>0.71969629709668204</v>
      </c>
      <c r="H42" s="3">
        <v>0.99998872840768571</v>
      </c>
      <c r="I42" s="3">
        <v>0.9972732501632019</v>
      </c>
      <c r="J42" s="3">
        <v>0.99986807205625605</v>
      </c>
      <c r="K42" s="3">
        <v>1</v>
      </c>
      <c r="L42" s="3">
        <v>0.99999461689614011</v>
      </c>
      <c r="M42" s="3">
        <v>0.99043894126717924</v>
      </c>
      <c r="N42" s="3">
        <v>0.88565896268886268</v>
      </c>
    </row>
    <row r="43" spans="1:14" x14ac:dyDescent="0.2">
      <c r="B43" t="s">
        <v>73</v>
      </c>
      <c r="C43" s="3">
        <v>0.78319362124910741</v>
      </c>
      <c r="D43" s="3">
        <v>0.9999999896324151</v>
      </c>
      <c r="E43" s="3">
        <v>0.83894374618627221</v>
      </c>
      <c r="F43" s="3">
        <v>0.46074580799493431</v>
      </c>
      <c r="G43" s="3">
        <v>0.95968025288389136</v>
      </c>
      <c r="H43" s="3">
        <v>1</v>
      </c>
      <c r="I43" s="3">
        <v>0.99999842836578845</v>
      </c>
      <c r="J43" s="3">
        <v>0.9999999998735738</v>
      </c>
      <c r="K43" s="3">
        <v>0.99999461689614011</v>
      </c>
      <c r="L43" s="3">
        <v>1</v>
      </c>
      <c r="M43" s="3">
        <v>0.99996916720817408</v>
      </c>
      <c r="N43" s="3">
        <v>0.99383302875016688</v>
      </c>
    </row>
    <row r="44" spans="1:14" x14ac:dyDescent="0.2">
      <c r="B44" t="s">
        <v>74</v>
      </c>
      <c r="C44" s="3">
        <v>0.33841486892162642</v>
      </c>
      <c r="D44" s="3">
        <v>0.99869992775750416</v>
      </c>
      <c r="E44" s="3">
        <v>0.40453141075816629</v>
      </c>
      <c r="F44" s="3">
        <v>0.1197715851966165</v>
      </c>
      <c r="G44" s="3">
        <v>0.99977890363154442</v>
      </c>
      <c r="H44" s="3">
        <v>0.99998403364476607</v>
      </c>
      <c r="I44" s="3">
        <v>0.9999999999889716</v>
      </c>
      <c r="J44" s="3">
        <v>0.99999937257029115</v>
      </c>
      <c r="K44" s="3">
        <v>0.99043894126717924</v>
      </c>
      <c r="L44" s="3">
        <v>0.99996916720817408</v>
      </c>
      <c r="M44" s="3">
        <v>1</v>
      </c>
      <c r="N44" s="3">
        <v>0.99999842836578845</v>
      </c>
    </row>
    <row r="45" spans="1:14" x14ac:dyDescent="0.2">
      <c r="B45" t="s">
        <v>75</v>
      </c>
      <c r="C45" s="3">
        <v>0.1135989708904781</v>
      </c>
      <c r="D45" s="3">
        <v>0.95968025288389125</v>
      </c>
      <c r="E45" s="3">
        <v>0.14708197676035231</v>
      </c>
      <c r="F45" s="3">
        <v>2.8561814166093151E-2</v>
      </c>
      <c r="G45" s="3">
        <v>0.9999999896324151</v>
      </c>
      <c r="H45" s="3">
        <v>0.99549017606069756</v>
      </c>
      <c r="I45" s="3">
        <v>0.99996916720817408</v>
      </c>
      <c r="J45" s="3">
        <v>0.99893441750592127</v>
      </c>
      <c r="K45" s="3">
        <v>0.88565896268886268</v>
      </c>
      <c r="L45" s="3">
        <v>0.99383302875016688</v>
      </c>
      <c r="M45" s="3">
        <v>0.99999842836578845</v>
      </c>
      <c r="N45" s="3">
        <v>1</v>
      </c>
    </row>
    <row r="47" spans="1:14" x14ac:dyDescent="0.2">
      <c r="A47" s="1" t="s">
        <v>1</v>
      </c>
      <c r="B47" t="s">
        <v>27</v>
      </c>
    </row>
    <row r="49" spans="1:2" x14ac:dyDescent="0.2">
      <c r="A49" s="1" t="s">
        <v>3</v>
      </c>
      <c r="B49" s="1" t="s">
        <v>4</v>
      </c>
    </row>
    <row r="50" spans="1:2" x14ac:dyDescent="0.2">
      <c r="A50">
        <v>1</v>
      </c>
      <c r="B50" t="s">
        <v>28</v>
      </c>
    </row>
    <row r="51" spans="1:2" x14ac:dyDescent="0.2">
      <c r="A51">
        <v>2</v>
      </c>
      <c r="B51" t="s">
        <v>29</v>
      </c>
    </row>
    <row r="52" spans="1:2" x14ac:dyDescent="0.2">
      <c r="A52">
        <v>3</v>
      </c>
      <c r="B52" t="s">
        <v>30</v>
      </c>
    </row>
    <row r="53" spans="1:2" x14ac:dyDescent="0.2">
      <c r="A53">
        <v>4</v>
      </c>
      <c r="B53" t="s">
        <v>31</v>
      </c>
    </row>
    <row r="54" spans="1:2" x14ac:dyDescent="0.2">
      <c r="A54">
        <v>5</v>
      </c>
      <c r="B54" t="s">
        <v>32</v>
      </c>
    </row>
    <row r="55" spans="1:2" x14ac:dyDescent="0.2">
      <c r="A55">
        <v>6</v>
      </c>
      <c r="B55" t="s">
        <v>33</v>
      </c>
    </row>
    <row r="56" spans="1:2" x14ac:dyDescent="0.2">
      <c r="A56">
        <v>7</v>
      </c>
      <c r="B56" t="s">
        <v>34</v>
      </c>
    </row>
    <row r="57" spans="1:2" x14ac:dyDescent="0.2">
      <c r="A57">
        <v>8</v>
      </c>
      <c r="B57" t="s">
        <v>35</v>
      </c>
    </row>
    <row r="58" spans="1:2" x14ac:dyDescent="0.2">
      <c r="A58">
        <v>9</v>
      </c>
      <c r="B58" t="s">
        <v>36</v>
      </c>
    </row>
    <row r="59" spans="1:2" x14ac:dyDescent="0.2">
      <c r="A59">
        <v>10</v>
      </c>
      <c r="B59" t="s">
        <v>37</v>
      </c>
    </row>
    <row r="60" spans="1:2" x14ac:dyDescent="0.2">
      <c r="A60">
        <v>11</v>
      </c>
      <c r="B60" t="s">
        <v>38</v>
      </c>
    </row>
    <row r="61" spans="1:2" x14ac:dyDescent="0.2">
      <c r="A61">
        <v>12</v>
      </c>
      <c r="B61" t="s">
        <v>39</v>
      </c>
    </row>
  </sheetData>
  <conditionalFormatting sqref="C34:N45">
    <cfRule type="cellIs" dxfId="3" priority="1" operator="lessThan">
      <formula>0.05</formula>
    </cfRule>
  </conditionalFormatting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34201-8BB7-764A-B6C4-98BA2E761B70}">
  <dimension ref="A1:T53"/>
  <sheetViews>
    <sheetView zoomScale="150" zoomScaleNormal="150" workbookViewId="0">
      <selection activeCell="C5" sqref="C5:C28"/>
    </sheetView>
  </sheetViews>
  <sheetFormatPr baseColWidth="10" defaultRowHeight="16" x14ac:dyDescent="0.2"/>
  <cols>
    <col min="1" max="1" width="40.33203125" bestFit="1" customWidth="1"/>
    <col min="2" max="2" width="14.33203125" bestFit="1" customWidth="1"/>
    <col min="3" max="14" width="18.83203125" bestFit="1" customWidth="1"/>
    <col min="15" max="15" width="14.6640625" bestFit="1" customWidth="1"/>
    <col min="16" max="16" width="13.33203125" bestFit="1" customWidth="1"/>
    <col min="17" max="18" width="18.83203125" bestFit="1" customWidth="1"/>
    <col min="19" max="19" width="22.1640625" bestFit="1" customWidth="1"/>
    <col min="20" max="20" width="24.1640625" bestFit="1" customWidth="1"/>
    <col min="21" max="27" width="19" bestFit="1" customWidth="1"/>
    <col min="28" max="28" width="10" bestFit="1" customWidth="1"/>
  </cols>
  <sheetData>
    <row r="1" spans="1:20" x14ac:dyDescent="0.2">
      <c r="A1" s="1" t="s">
        <v>2</v>
      </c>
      <c r="B1" t="s">
        <v>40</v>
      </c>
      <c r="P1" s="1" t="s">
        <v>1</v>
      </c>
      <c r="Q1" t="s">
        <v>40</v>
      </c>
    </row>
    <row r="3" spans="1:20" x14ac:dyDescent="0.2">
      <c r="A3" s="1" t="s">
        <v>57</v>
      </c>
      <c r="C3" s="1" t="s">
        <v>3</v>
      </c>
      <c r="P3" s="1" t="s">
        <v>3</v>
      </c>
      <c r="Q3" t="s">
        <v>57</v>
      </c>
      <c r="R3" t="s">
        <v>59</v>
      </c>
      <c r="S3" t="s">
        <v>60</v>
      </c>
      <c r="T3" t="s">
        <v>61</v>
      </c>
    </row>
    <row r="4" spans="1:20" x14ac:dyDescent="0.2">
      <c r="A4" s="1" t="s">
        <v>0</v>
      </c>
      <c r="B4" s="1" t="s">
        <v>5</v>
      </c>
      <c r="C4">
        <v>1</v>
      </c>
      <c r="D4">
        <v>2</v>
      </c>
      <c r="E4">
        <v>3</v>
      </c>
      <c r="F4">
        <v>4</v>
      </c>
      <c r="P4">
        <v>1</v>
      </c>
      <c r="Q4" s="3">
        <v>0.7584746877030577</v>
      </c>
      <c r="R4" s="3">
        <v>2.7283548045958037E-2</v>
      </c>
      <c r="S4" s="4">
        <v>11.83667858441669</v>
      </c>
      <c r="T4" s="5">
        <v>13.547924894469862</v>
      </c>
    </row>
    <row r="5" spans="1:20" x14ac:dyDescent="0.2">
      <c r="A5" t="s">
        <v>55</v>
      </c>
      <c r="B5" t="s">
        <v>15</v>
      </c>
      <c r="C5" s="2">
        <v>0.766036941779207</v>
      </c>
      <c r="D5" s="2">
        <v>0.726182486440062</v>
      </c>
      <c r="E5" s="2">
        <v>0.74038022049360797</v>
      </c>
      <c r="F5" s="2">
        <v>0.744958746952741</v>
      </c>
      <c r="P5">
        <v>4</v>
      </c>
      <c r="Q5" s="3">
        <v>0.75328990439497856</v>
      </c>
      <c r="R5" s="3">
        <v>2.5610053860970615E-2</v>
      </c>
      <c r="S5" s="4">
        <v>26.284317731857247</v>
      </c>
      <c r="T5" s="5">
        <v>33.406321758093</v>
      </c>
    </row>
    <row r="6" spans="1:20" x14ac:dyDescent="0.2">
      <c r="B6" t="s">
        <v>13</v>
      </c>
      <c r="C6" s="2">
        <v>0.70830971659918995</v>
      </c>
      <c r="D6" s="2">
        <v>0.69056135121708895</v>
      </c>
      <c r="E6" s="2">
        <v>0.72924118231495205</v>
      </c>
      <c r="F6" s="2">
        <v>0.72924118231495205</v>
      </c>
      <c r="P6">
        <v>3</v>
      </c>
      <c r="Q6" s="3">
        <v>0.74910756279741919</v>
      </c>
      <c r="R6" s="3">
        <v>2.8541781377900005E-2</v>
      </c>
      <c r="S6" s="4">
        <v>18.862705588340742</v>
      </c>
      <c r="T6" s="5">
        <v>22.49431726438209</v>
      </c>
    </row>
    <row r="7" spans="1:20" x14ac:dyDescent="0.2">
      <c r="A7" t="s">
        <v>50</v>
      </c>
      <c r="B7" t="s">
        <v>15</v>
      </c>
      <c r="C7" s="2">
        <v>0.77030009101132302</v>
      </c>
      <c r="D7" s="2">
        <v>0.76317778771183598</v>
      </c>
      <c r="E7" s="2">
        <v>0.75980587501346597</v>
      </c>
      <c r="F7" s="2">
        <v>0.76690741172452104</v>
      </c>
      <c r="P7">
        <v>2</v>
      </c>
      <c r="Q7" s="3">
        <v>0.74494112135559021</v>
      </c>
      <c r="R7" s="3">
        <v>2.5062084905457031E-2</v>
      </c>
      <c r="S7" s="4">
        <v>15.259610195954627</v>
      </c>
      <c r="T7" s="5">
        <v>17.753423356227728</v>
      </c>
    </row>
    <row r="8" spans="1:20" x14ac:dyDescent="0.2">
      <c r="B8" t="s">
        <v>13</v>
      </c>
      <c r="C8" s="2">
        <v>0.76166786112438201</v>
      </c>
      <c r="D8" s="2">
        <v>0.74195445445445396</v>
      </c>
      <c r="E8" s="2">
        <v>0.75386846126010199</v>
      </c>
      <c r="F8" s="2">
        <v>0.73453820116054103</v>
      </c>
      <c r="P8" t="s">
        <v>58</v>
      </c>
      <c r="Q8" s="3">
        <v>0.75145331906276125</v>
      </c>
      <c r="R8" s="3">
        <v>2.6715500006845569E-2</v>
      </c>
      <c r="S8" s="4">
        <v>18.060828025142332</v>
      </c>
      <c r="T8" s="5">
        <v>23.290566299289143</v>
      </c>
    </row>
    <row r="9" spans="1:20" x14ac:dyDescent="0.2">
      <c r="A9" t="s">
        <v>48</v>
      </c>
      <c r="B9" t="s">
        <v>15</v>
      </c>
      <c r="C9" s="2">
        <v>0.77957843883594502</v>
      </c>
      <c r="D9" s="2">
        <v>0.77241727254839398</v>
      </c>
      <c r="E9" s="2">
        <v>0.76008047966857695</v>
      </c>
      <c r="F9" s="2">
        <v>0.77287486403315298</v>
      </c>
    </row>
    <row r="10" spans="1:20" x14ac:dyDescent="0.2">
      <c r="B10" t="s">
        <v>13</v>
      </c>
      <c r="C10" s="2">
        <v>0.76051797464291404</v>
      </c>
      <c r="D10" s="2">
        <v>0.71600207068473298</v>
      </c>
      <c r="E10" s="2">
        <v>0.71677927927927898</v>
      </c>
      <c r="F10" s="2">
        <v>0.74791365751885697</v>
      </c>
    </row>
    <row r="11" spans="1:20" x14ac:dyDescent="0.2">
      <c r="A11" t="s">
        <v>10</v>
      </c>
      <c r="B11" t="s">
        <v>15</v>
      </c>
      <c r="C11" s="2">
        <v>0.78269021953567397</v>
      </c>
      <c r="D11" s="2">
        <v>0.79120434406368301</v>
      </c>
      <c r="E11" s="2">
        <v>0.79750927048613196</v>
      </c>
      <c r="F11" s="2">
        <v>0.80106770640831404</v>
      </c>
    </row>
    <row r="12" spans="1:20" x14ac:dyDescent="0.2">
      <c r="B12" t="s">
        <v>13</v>
      </c>
      <c r="C12" s="2">
        <v>0.79230480480480403</v>
      </c>
      <c r="D12" s="2">
        <v>0.77971721721721698</v>
      </c>
      <c r="E12" s="2">
        <v>0.81791861114435005</v>
      </c>
      <c r="F12" s="2">
        <v>0.81038442940038602</v>
      </c>
    </row>
    <row r="13" spans="1:20" x14ac:dyDescent="0.2">
      <c r="A13" t="s">
        <v>51</v>
      </c>
      <c r="B13" t="s">
        <v>15</v>
      </c>
      <c r="C13" s="2">
        <v>0.769094352214439</v>
      </c>
      <c r="D13" s="2">
        <v>0.74352478059661298</v>
      </c>
      <c r="E13" s="2">
        <v>0.73251534907950799</v>
      </c>
      <c r="F13" s="2">
        <v>0.74200050795938</v>
      </c>
    </row>
    <row r="14" spans="1:20" x14ac:dyDescent="0.2">
      <c r="B14" t="s">
        <v>13</v>
      </c>
      <c r="C14" s="2">
        <v>0.777672084906043</v>
      </c>
      <c r="D14" s="2">
        <v>0.73050115207373201</v>
      </c>
      <c r="E14" s="2">
        <v>0.71908603848259001</v>
      </c>
      <c r="F14" s="2">
        <v>0.72310296371997895</v>
      </c>
    </row>
    <row r="15" spans="1:20" x14ac:dyDescent="0.2">
      <c r="A15" t="s">
        <v>54</v>
      </c>
      <c r="B15" t="s">
        <v>15</v>
      </c>
      <c r="C15" s="2">
        <v>0.75971022665865995</v>
      </c>
      <c r="D15" s="2">
        <v>0.74371785204213703</v>
      </c>
      <c r="E15" s="2">
        <v>0.75669237303815595</v>
      </c>
      <c r="F15" s="2">
        <v>0.75908576854134102</v>
      </c>
    </row>
    <row r="16" spans="1:20" x14ac:dyDescent="0.2">
      <c r="B16" t="s">
        <v>13</v>
      </c>
      <c r="C16" s="2">
        <v>0.738575027538656</v>
      </c>
      <c r="D16" s="2">
        <v>0.738575027538656</v>
      </c>
      <c r="E16" s="2">
        <v>0.70610170184912402</v>
      </c>
      <c r="F16" s="2">
        <v>0.71491666666666598</v>
      </c>
    </row>
    <row r="17" spans="1:6" x14ac:dyDescent="0.2">
      <c r="A17" t="s">
        <v>49</v>
      </c>
      <c r="B17" t="s">
        <v>15</v>
      </c>
      <c r="C17" s="2">
        <v>0.78948320346054601</v>
      </c>
      <c r="D17" s="2">
        <v>0.78398564855861996</v>
      </c>
      <c r="E17" s="2">
        <v>0.79300987672484202</v>
      </c>
      <c r="F17" s="2">
        <v>0.790150510007539</v>
      </c>
    </row>
    <row r="18" spans="1:6" x14ac:dyDescent="0.2">
      <c r="B18" t="s">
        <v>13</v>
      </c>
      <c r="C18" s="2">
        <v>0.75563963194085604</v>
      </c>
      <c r="D18" s="2">
        <v>0.77246131528046402</v>
      </c>
      <c r="E18" s="2">
        <v>0.77911272164368095</v>
      </c>
      <c r="F18" s="2">
        <v>0.77911272164368095</v>
      </c>
    </row>
    <row r="19" spans="1:6" x14ac:dyDescent="0.2">
      <c r="A19" t="s">
        <v>46</v>
      </c>
      <c r="B19" t="s">
        <v>15</v>
      </c>
      <c r="C19" s="2">
        <v>0.78625558345486202</v>
      </c>
      <c r="D19" s="2">
        <v>0.76489105309278205</v>
      </c>
      <c r="E19" s="2">
        <v>0.77726012690262702</v>
      </c>
      <c r="F19" s="2">
        <v>0.77867764503834003</v>
      </c>
    </row>
    <row r="20" spans="1:6" x14ac:dyDescent="0.2">
      <c r="B20" t="s">
        <v>13</v>
      </c>
      <c r="C20" s="2">
        <v>0.75982027724048995</v>
      </c>
      <c r="D20" s="2">
        <v>0.75029999999999997</v>
      </c>
      <c r="E20" s="2">
        <v>0.75132746521969695</v>
      </c>
      <c r="F20" s="2">
        <v>0.74443626247749894</v>
      </c>
    </row>
    <row r="21" spans="1:6" x14ac:dyDescent="0.2">
      <c r="A21" t="s">
        <v>47</v>
      </c>
      <c r="B21" t="s">
        <v>15</v>
      </c>
      <c r="C21" s="2">
        <v>0.77608081236406801</v>
      </c>
      <c r="D21" s="2">
        <v>0.75409295051004699</v>
      </c>
      <c r="E21" s="2">
        <v>0.75990297098498005</v>
      </c>
      <c r="F21" s="2">
        <v>0.77647964321914897</v>
      </c>
    </row>
    <row r="22" spans="1:6" x14ac:dyDescent="0.2">
      <c r="B22" t="s">
        <v>13</v>
      </c>
      <c r="C22" s="2">
        <v>0.75101842461122303</v>
      </c>
      <c r="D22" s="2">
        <v>0.73631556683587096</v>
      </c>
      <c r="E22" s="2">
        <v>0.72345291155957203</v>
      </c>
      <c r="F22" s="2">
        <v>0.73364741418955604</v>
      </c>
    </row>
    <row r="23" spans="1:6" x14ac:dyDescent="0.2">
      <c r="A23" t="s">
        <v>53</v>
      </c>
      <c r="B23" t="s">
        <v>15</v>
      </c>
      <c r="C23" s="2">
        <v>0.73653992868142404</v>
      </c>
      <c r="D23" s="2">
        <v>0.74185305985454897</v>
      </c>
      <c r="E23" s="2">
        <v>0.74050604728935399</v>
      </c>
      <c r="F23" s="2">
        <v>0.73793704190294496</v>
      </c>
    </row>
    <row r="24" spans="1:6" x14ac:dyDescent="0.2">
      <c r="B24" t="s">
        <v>13</v>
      </c>
      <c r="C24" s="2">
        <v>0.67821476155021698</v>
      </c>
      <c r="D24" s="2">
        <v>0.70492913000977497</v>
      </c>
      <c r="E24" s="2">
        <v>0.71250000000000002</v>
      </c>
      <c r="F24" s="2">
        <v>0.72534380371933105</v>
      </c>
    </row>
    <row r="25" spans="1:6" x14ac:dyDescent="0.2">
      <c r="A25" t="s">
        <v>56</v>
      </c>
      <c r="B25" t="s">
        <v>15</v>
      </c>
      <c r="C25" s="2">
        <v>0.73779809736703295</v>
      </c>
      <c r="D25" s="2">
        <v>0.71938258885427397</v>
      </c>
      <c r="E25" s="2">
        <v>0.72736632568611004</v>
      </c>
      <c r="F25" s="2">
        <v>0.74006387023192</v>
      </c>
    </row>
    <row r="26" spans="1:6" x14ac:dyDescent="0.2">
      <c r="B26" t="s">
        <v>13</v>
      </c>
      <c r="C26" s="2">
        <v>0.78809849788765396</v>
      </c>
      <c r="D26" s="2">
        <v>0.75031254883575504</v>
      </c>
      <c r="E26" s="2">
        <v>0.756069084729872</v>
      </c>
      <c r="F26" s="2">
        <v>0.75031254883575504</v>
      </c>
    </row>
    <row r="27" spans="1:6" x14ac:dyDescent="0.2">
      <c r="A27" t="s">
        <v>52</v>
      </c>
      <c r="B27" t="s">
        <v>15</v>
      </c>
      <c r="C27" s="2">
        <v>0.72798554666377302</v>
      </c>
      <c r="D27" s="2">
        <v>0.725437474460353</v>
      </c>
      <c r="E27" s="2">
        <v>0.73149804235502303</v>
      </c>
      <c r="F27" s="2">
        <v>0.73268497482594996</v>
      </c>
    </row>
    <row r="28" spans="1:6" x14ac:dyDescent="0.2">
      <c r="B28" t="s">
        <v>13</v>
      </c>
      <c r="C28" s="2">
        <v>0.75</v>
      </c>
      <c r="D28" s="2">
        <v>0.73708977965306999</v>
      </c>
      <c r="E28" s="2">
        <v>0.73659709193245704</v>
      </c>
      <c r="F28" s="2">
        <v>0.74311916298698699</v>
      </c>
    </row>
    <row r="29" spans="1:6" x14ac:dyDescent="0.2">
      <c r="A29" t="s">
        <v>58</v>
      </c>
      <c r="C29" s="2">
        <v>0.7584746877030577</v>
      </c>
      <c r="D29" s="2">
        <v>0.74494112135559032</v>
      </c>
      <c r="E29" s="2">
        <v>0.74910756279741919</v>
      </c>
      <c r="F29" s="2">
        <v>0.75328990439497856</v>
      </c>
    </row>
    <row r="30" spans="1:6" x14ac:dyDescent="0.2">
      <c r="B30" t="s">
        <v>78</v>
      </c>
    </row>
    <row r="32" spans="1:6" x14ac:dyDescent="0.2">
      <c r="A32" t="s">
        <v>62</v>
      </c>
      <c r="C32" t="s">
        <v>64</v>
      </c>
      <c r="D32" t="s">
        <v>65</v>
      </c>
      <c r="E32" t="s">
        <v>66</v>
      </c>
      <c r="F32" t="s">
        <v>67</v>
      </c>
    </row>
    <row r="33" spans="1:14" x14ac:dyDescent="0.2">
      <c r="A33" s="6">
        <v>4.2084513046789992E-3</v>
      </c>
    </row>
    <row r="34" spans="1:14" x14ac:dyDescent="0.2">
      <c r="B34" t="s">
        <v>64</v>
      </c>
      <c r="C34" s="3">
        <v>1</v>
      </c>
      <c r="D34" s="3">
        <v>5.3776383754149393E-3</v>
      </c>
      <c r="E34" s="3">
        <v>0.1635248593789326</v>
      </c>
      <c r="F34" s="3">
        <v>0.90813177390141753</v>
      </c>
      <c r="G34" s="3"/>
      <c r="H34" s="3"/>
      <c r="I34" s="3"/>
      <c r="J34" s="3"/>
      <c r="K34" s="3"/>
      <c r="L34" s="3"/>
      <c r="M34" s="3"/>
      <c r="N34" s="3"/>
    </row>
    <row r="35" spans="1:14" x14ac:dyDescent="0.2">
      <c r="B35" t="s">
        <v>65</v>
      </c>
      <c r="C35" s="3">
        <v>5.3776383754149393E-3</v>
      </c>
      <c r="D35" s="3">
        <v>1</v>
      </c>
      <c r="E35" s="3">
        <v>0.60780870809276599</v>
      </c>
      <c r="F35" s="3">
        <v>4.2743033188185613E-2</v>
      </c>
      <c r="G35" s="3"/>
      <c r="H35" s="3"/>
      <c r="I35" s="3"/>
      <c r="J35" s="3"/>
      <c r="K35" s="3"/>
      <c r="L35" s="3"/>
      <c r="M35" s="3"/>
      <c r="N35" s="3"/>
    </row>
    <row r="36" spans="1:14" x14ac:dyDescent="0.2">
      <c r="B36" t="s">
        <v>66</v>
      </c>
      <c r="C36" s="3">
        <v>0.1635248593789326</v>
      </c>
      <c r="D36" s="3">
        <v>0.60780870809276599</v>
      </c>
      <c r="E36" s="3">
        <v>1</v>
      </c>
      <c r="F36" s="3">
        <v>0.50084470470900866</v>
      </c>
      <c r="G36" s="3"/>
      <c r="H36" s="3"/>
      <c r="I36" s="3"/>
      <c r="J36" s="3"/>
      <c r="K36" s="3"/>
      <c r="L36" s="3"/>
      <c r="M36" s="3"/>
      <c r="N36" s="3"/>
    </row>
    <row r="37" spans="1:14" x14ac:dyDescent="0.2">
      <c r="B37" t="s">
        <v>67</v>
      </c>
      <c r="C37" s="3">
        <v>0.90813177390141753</v>
      </c>
      <c r="D37" s="3">
        <v>4.2743033188185613E-2</v>
      </c>
      <c r="E37" s="3">
        <v>0.50084470470900866</v>
      </c>
      <c r="F37" s="3">
        <v>1</v>
      </c>
      <c r="G37" s="3"/>
      <c r="H37" s="3"/>
      <c r="I37" s="3"/>
      <c r="J37" s="3"/>
      <c r="K37" s="3"/>
      <c r="L37" s="3"/>
      <c r="M37" s="3"/>
      <c r="N37" s="3"/>
    </row>
    <row r="38" spans="1:14" x14ac:dyDescent="0.2"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"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1:14" x14ac:dyDescent="0.2"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1:14" x14ac:dyDescent="0.2"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</row>
    <row r="42" spans="1:14" x14ac:dyDescent="0.2"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</row>
    <row r="43" spans="1:14" x14ac:dyDescent="0.2"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</row>
    <row r="44" spans="1:14" x14ac:dyDescent="0.2"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</row>
    <row r="45" spans="1:14" x14ac:dyDescent="0.2"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</row>
    <row r="47" spans="1:14" x14ac:dyDescent="0.2">
      <c r="A47" s="1" t="s">
        <v>1</v>
      </c>
      <c r="B47" t="s">
        <v>40</v>
      </c>
    </row>
    <row r="49" spans="1:2" x14ac:dyDescent="0.2">
      <c r="A49" s="1" t="s">
        <v>3</v>
      </c>
      <c r="B49" s="1" t="s">
        <v>4</v>
      </c>
    </row>
    <row r="50" spans="1:2" x14ac:dyDescent="0.2">
      <c r="A50">
        <v>1</v>
      </c>
      <c r="B50" t="s">
        <v>41</v>
      </c>
    </row>
    <row r="51" spans="1:2" x14ac:dyDescent="0.2">
      <c r="A51">
        <v>2</v>
      </c>
      <c r="B51" t="s">
        <v>42</v>
      </c>
    </row>
    <row r="52" spans="1:2" x14ac:dyDescent="0.2">
      <c r="A52">
        <v>3</v>
      </c>
      <c r="B52" t="s">
        <v>43</v>
      </c>
    </row>
    <row r="53" spans="1:2" x14ac:dyDescent="0.2">
      <c r="A53">
        <v>4</v>
      </c>
      <c r="B53" t="s">
        <v>44</v>
      </c>
    </row>
  </sheetData>
  <conditionalFormatting sqref="C34:F37">
    <cfRule type="cellIs" dxfId="2" priority="1" operator="lessThan">
      <formula>0.05</formula>
    </cfRule>
  </conditionalFormatting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4E764-740E-A640-8171-1A134CE46E50}">
  <dimension ref="A1:T53"/>
  <sheetViews>
    <sheetView zoomScale="150" zoomScaleNormal="150" workbookViewId="0">
      <selection activeCell="D5" sqref="D5:D28"/>
    </sheetView>
  </sheetViews>
  <sheetFormatPr baseColWidth="10" defaultRowHeight="16" x14ac:dyDescent="0.2"/>
  <cols>
    <col min="1" max="1" width="40.33203125" bestFit="1" customWidth="1"/>
    <col min="2" max="2" width="16.33203125" bestFit="1" customWidth="1"/>
    <col min="3" max="14" width="18.83203125" bestFit="1" customWidth="1"/>
    <col min="15" max="15" width="14.6640625" bestFit="1" customWidth="1"/>
    <col min="16" max="16" width="13.33203125" bestFit="1" customWidth="1"/>
    <col min="17" max="18" width="18.83203125" bestFit="1" customWidth="1"/>
    <col min="19" max="19" width="22.1640625" bestFit="1" customWidth="1"/>
    <col min="20" max="20" width="24.1640625" bestFit="1" customWidth="1"/>
    <col min="21" max="27" width="19" bestFit="1" customWidth="1"/>
    <col min="28" max="28" width="10" bestFit="1" customWidth="1"/>
  </cols>
  <sheetData>
    <row r="1" spans="1:20" x14ac:dyDescent="0.2">
      <c r="A1" s="1" t="s">
        <v>2</v>
      </c>
      <c r="B1" t="s">
        <v>45</v>
      </c>
      <c r="P1" s="1" t="s">
        <v>1</v>
      </c>
      <c r="Q1" t="s">
        <v>45</v>
      </c>
    </row>
    <row r="3" spans="1:20" x14ac:dyDescent="0.2">
      <c r="A3" s="1" t="s">
        <v>57</v>
      </c>
      <c r="C3" s="1" t="s">
        <v>3</v>
      </c>
      <c r="P3" s="1" t="s">
        <v>3</v>
      </c>
      <c r="Q3" t="s">
        <v>57</v>
      </c>
      <c r="R3" t="s">
        <v>59</v>
      </c>
      <c r="S3" t="s">
        <v>60</v>
      </c>
      <c r="T3" t="s">
        <v>61</v>
      </c>
    </row>
    <row r="4" spans="1:20" x14ac:dyDescent="0.2">
      <c r="A4" s="1" t="s">
        <v>0</v>
      </c>
      <c r="B4" s="1" t="s">
        <v>5</v>
      </c>
      <c r="C4">
        <v>1</v>
      </c>
      <c r="D4">
        <v>2</v>
      </c>
      <c r="E4">
        <v>3</v>
      </c>
      <c r="F4">
        <v>4</v>
      </c>
      <c r="P4">
        <v>2</v>
      </c>
      <c r="Q4" s="3">
        <v>0.76880728332440018</v>
      </c>
      <c r="R4" s="3">
        <v>2.2741415306754865E-2</v>
      </c>
      <c r="S4" s="4">
        <v>75.010182986656645</v>
      </c>
      <c r="T4" s="5">
        <v>89.054989833240242</v>
      </c>
    </row>
    <row r="5" spans="1:20" x14ac:dyDescent="0.2">
      <c r="A5" t="s">
        <v>55</v>
      </c>
      <c r="B5" t="s">
        <v>15</v>
      </c>
      <c r="C5" s="2">
        <v>0.78513174964625199</v>
      </c>
      <c r="D5" s="2">
        <v>0.78696942162065198</v>
      </c>
      <c r="E5" s="2">
        <v>0.78748386859755404</v>
      </c>
      <c r="F5" s="2">
        <v>0.77949324505024598</v>
      </c>
      <c r="P5">
        <v>1</v>
      </c>
      <c r="Q5" s="3">
        <v>0.7674279744446677</v>
      </c>
      <c r="R5" s="3">
        <v>2.5353437273960111E-2</v>
      </c>
      <c r="S5" s="4">
        <v>53.367464383443064</v>
      </c>
      <c r="T5" s="5">
        <v>60.544571220882297</v>
      </c>
    </row>
    <row r="6" spans="1:20" x14ac:dyDescent="0.2">
      <c r="B6" t="s">
        <v>13</v>
      </c>
      <c r="C6" s="2">
        <v>0.77421165790730995</v>
      </c>
      <c r="D6" s="2">
        <v>0.75982027724048995</v>
      </c>
      <c r="E6" s="2">
        <v>0.74310833101474605</v>
      </c>
      <c r="F6" s="2">
        <v>0.76279987373737301</v>
      </c>
      <c r="P6">
        <v>4</v>
      </c>
      <c r="Q6" s="3">
        <v>0.76661708836061704</v>
      </c>
      <c r="R6" s="3">
        <v>2.2461739113808148E-2</v>
      </c>
      <c r="S6" s="4">
        <v>134.53456103801713</v>
      </c>
      <c r="T6" s="5">
        <v>174.74931689418031</v>
      </c>
    </row>
    <row r="7" spans="1:20" x14ac:dyDescent="0.2">
      <c r="A7" t="s">
        <v>50</v>
      </c>
      <c r="B7" t="s">
        <v>15</v>
      </c>
      <c r="C7" s="2">
        <v>0.769031644647999</v>
      </c>
      <c r="D7" s="2">
        <v>0.76608636720213397</v>
      </c>
      <c r="E7" s="2">
        <v>0.758858126348259</v>
      </c>
      <c r="F7" s="2">
        <v>0.76407800986956798</v>
      </c>
      <c r="P7">
        <v>3</v>
      </c>
      <c r="Q7" s="3">
        <v>0.7657057701819957</v>
      </c>
      <c r="R7" s="3">
        <v>2.3915228291794651E-2</v>
      </c>
      <c r="S7" s="4">
        <v>94.119187553723535</v>
      </c>
      <c r="T7" s="5">
        <v>114.20781198504879</v>
      </c>
    </row>
    <row r="8" spans="1:20" x14ac:dyDescent="0.2">
      <c r="B8" t="s">
        <v>13</v>
      </c>
      <c r="C8" s="2">
        <v>0.73658026755852801</v>
      </c>
      <c r="D8" s="2">
        <v>0.73104768413962495</v>
      </c>
      <c r="E8" s="2">
        <v>0.73750000000000004</v>
      </c>
      <c r="F8" s="2">
        <v>0.73807864903164799</v>
      </c>
      <c r="P8" t="s">
        <v>58</v>
      </c>
      <c r="Q8" s="3">
        <v>0.76713952907792005</v>
      </c>
      <c r="R8" s="3">
        <v>2.3297318434466998E-2</v>
      </c>
      <c r="S8" s="4">
        <v>89.25784899046009</v>
      </c>
      <c r="T8" s="5">
        <v>119.41210094988608</v>
      </c>
    </row>
    <row r="9" spans="1:20" x14ac:dyDescent="0.2">
      <c r="A9" t="s">
        <v>48</v>
      </c>
      <c r="B9" t="s">
        <v>15</v>
      </c>
      <c r="C9" s="2">
        <v>0.78923880673889502</v>
      </c>
      <c r="D9" s="2">
        <v>0.79663511329246195</v>
      </c>
      <c r="E9" s="2">
        <v>0.78833163851542198</v>
      </c>
      <c r="F9" s="2">
        <v>0.784342572421036</v>
      </c>
    </row>
    <row r="10" spans="1:20" x14ac:dyDescent="0.2">
      <c r="B10" t="s">
        <v>13</v>
      </c>
      <c r="C10" s="2">
        <v>0.76857591425967697</v>
      </c>
      <c r="D10" s="2">
        <v>0.76302353960006297</v>
      </c>
      <c r="E10" s="2">
        <v>0.77500000000000002</v>
      </c>
      <c r="F10" s="2">
        <v>0.74856138107416803</v>
      </c>
    </row>
    <row r="11" spans="1:20" x14ac:dyDescent="0.2">
      <c r="A11" t="s">
        <v>10</v>
      </c>
      <c r="B11" t="s">
        <v>15</v>
      </c>
      <c r="C11" s="2">
        <v>0.78518965577909605</v>
      </c>
      <c r="D11" s="2">
        <v>0.80625033652657796</v>
      </c>
      <c r="E11" s="2">
        <v>0.80242410979961798</v>
      </c>
      <c r="F11" s="2">
        <v>0.78883304663332698</v>
      </c>
    </row>
    <row r="12" spans="1:20" x14ac:dyDescent="0.2">
      <c r="B12" t="s">
        <v>13</v>
      </c>
      <c r="C12" s="2">
        <v>0.81861355441974704</v>
      </c>
      <c r="D12" s="2">
        <v>0.76857591425967697</v>
      </c>
      <c r="E12" s="2">
        <v>0.77500000000000002</v>
      </c>
      <c r="F12" s="2">
        <v>0.76934106012347103</v>
      </c>
    </row>
    <row r="13" spans="1:20" x14ac:dyDescent="0.2">
      <c r="A13" t="s">
        <v>51</v>
      </c>
      <c r="B13" t="s">
        <v>15</v>
      </c>
      <c r="C13" s="2">
        <v>0.78256307565511296</v>
      </c>
      <c r="D13" s="2">
        <v>0.77482763960416201</v>
      </c>
      <c r="E13" s="2">
        <v>0.76854439962704302</v>
      </c>
      <c r="F13" s="2">
        <v>0.75795045397263905</v>
      </c>
    </row>
    <row r="14" spans="1:20" x14ac:dyDescent="0.2">
      <c r="B14" t="s">
        <v>13</v>
      </c>
      <c r="C14" s="2">
        <v>0.79929925147316405</v>
      </c>
      <c r="D14" s="2">
        <v>0.78108532429969402</v>
      </c>
      <c r="E14" s="2">
        <v>0.74635627530364301</v>
      </c>
      <c r="F14" s="2">
        <v>0.80638013116826601</v>
      </c>
    </row>
    <row r="15" spans="1:20" x14ac:dyDescent="0.2">
      <c r="A15" t="s">
        <v>54</v>
      </c>
      <c r="B15" t="s">
        <v>15</v>
      </c>
      <c r="C15" s="2">
        <v>0.77707970232635604</v>
      </c>
      <c r="D15" s="2">
        <v>0.77466179332136897</v>
      </c>
      <c r="E15" s="2">
        <v>0.78231177110258698</v>
      </c>
      <c r="F15" s="2">
        <v>0.77629150974024097</v>
      </c>
    </row>
    <row r="16" spans="1:20" x14ac:dyDescent="0.2">
      <c r="B16" t="s">
        <v>13</v>
      </c>
      <c r="C16" s="2">
        <v>0.73708333333333298</v>
      </c>
      <c r="D16" s="2">
        <v>0.73708333333333298</v>
      </c>
      <c r="E16" s="2">
        <v>0.74791365751885697</v>
      </c>
      <c r="F16" s="2">
        <v>0.75070710245128802</v>
      </c>
    </row>
    <row r="17" spans="1:6" x14ac:dyDescent="0.2">
      <c r="A17" t="s">
        <v>49</v>
      </c>
      <c r="B17" t="s">
        <v>15</v>
      </c>
      <c r="C17" s="2">
        <v>0.79506975401421398</v>
      </c>
      <c r="D17" s="2">
        <v>0.80026254101584404</v>
      </c>
      <c r="E17" s="2">
        <v>0.79286541502427699</v>
      </c>
      <c r="F17" s="2">
        <v>0.79644845994395996</v>
      </c>
    </row>
    <row r="18" spans="1:6" x14ac:dyDescent="0.2">
      <c r="B18" t="s">
        <v>13</v>
      </c>
      <c r="C18" s="2">
        <v>0.73001725100713899</v>
      </c>
      <c r="D18" s="2">
        <v>0.76279987373737301</v>
      </c>
      <c r="E18" s="2">
        <v>0.76166786112438201</v>
      </c>
      <c r="F18" s="2">
        <v>0.76857591425967697</v>
      </c>
    </row>
    <row r="19" spans="1:6" x14ac:dyDescent="0.2">
      <c r="A19" t="s">
        <v>46</v>
      </c>
      <c r="B19" t="s">
        <v>15</v>
      </c>
      <c r="C19" s="2">
        <v>0.79896662525489404</v>
      </c>
      <c r="D19" s="2">
        <v>0.80759372646573202</v>
      </c>
      <c r="E19" s="2">
        <v>0.80141393865090405</v>
      </c>
      <c r="F19" s="2">
        <v>0.81354737882525296</v>
      </c>
    </row>
    <row r="20" spans="1:6" x14ac:dyDescent="0.2">
      <c r="B20" t="s">
        <v>13</v>
      </c>
      <c r="C20" s="2">
        <v>0.77421165790730995</v>
      </c>
      <c r="D20" s="2">
        <v>0.78716269841269804</v>
      </c>
      <c r="E20" s="2">
        <v>0.80610414437972899</v>
      </c>
      <c r="F20" s="2">
        <v>0.76817093286696603</v>
      </c>
    </row>
    <row r="21" spans="1:6" x14ac:dyDescent="0.2">
      <c r="A21" t="s">
        <v>47</v>
      </c>
      <c r="B21" t="s">
        <v>15</v>
      </c>
      <c r="C21" s="2">
        <v>0.78122158771141104</v>
      </c>
      <c r="D21" s="2">
        <v>0.78265738174296695</v>
      </c>
      <c r="E21" s="2">
        <v>0.79356442743357103</v>
      </c>
      <c r="F21" s="2">
        <v>0.783848591723876</v>
      </c>
    </row>
    <row r="22" spans="1:6" x14ac:dyDescent="0.2">
      <c r="B22" t="s">
        <v>13</v>
      </c>
      <c r="C22" s="2">
        <v>0.76496763261496004</v>
      </c>
      <c r="D22" s="2">
        <v>0.76113331202045997</v>
      </c>
      <c r="E22" s="2">
        <v>0.74912406434145495</v>
      </c>
      <c r="F22" s="2">
        <v>0.77490353266476797</v>
      </c>
    </row>
    <row r="23" spans="1:6" x14ac:dyDescent="0.2">
      <c r="A23" t="s">
        <v>53</v>
      </c>
      <c r="B23" t="s">
        <v>15</v>
      </c>
      <c r="C23" s="2">
        <v>0.738763478471677</v>
      </c>
      <c r="D23" s="2">
        <v>0.73322389719007297</v>
      </c>
      <c r="E23" s="2">
        <v>0.74030311235480195</v>
      </c>
      <c r="F23" s="2">
        <v>0.74053186804464599</v>
      </c>
    </row>
    <row r="24" spans="1:6" x14ac:dyDescent="0.2">
      <c r="B24" t="s">
        <v>13</v>
      </c>
      <c r="C24" s="2">
        <v>0.73782817627754305</v>
      </c>
      <c r="D24" s="2">
        <v>0.78139692228675195</v>
      </c>
      <c r="E24" s="2">
        <v>0.75054721701063098</v>
      </c>
      <c r="F24" s="2">
        <v>0.73058839044976698</v>
      </c>
    </row>
    <row r="25" spans="1:6" x14ac:dyDescent="0.2">
      <c r="A25" t="s">
        <v>56</v>
      </c>
      <c r="B25" t="s">
        <v>15</v>
      </c>
      <c r="C25" s="2">
        <v>0.73756906576510595</v>
      </c>
      <c r="D25" s="2">
        <v>0.73669512683726701</v>
      </c>
      <c r="E25" s="2">
        <v>0.72739787367027497</v>
      </c>
      <c r="F25" s="2">
        <v>0.74262585750676102</v>
      </c>
    </row>
    <row r="26" spans="1:6" x14ac:dyDescent="0.2">
      <c r="B26" t="s">
        <v>13</v>
      </c>
      <c r="C26" s="2">
        <v>0.756984560291182</v>
      </c>
      <c r="D26" s="2">
        <v>0.74440495851519795</v>
      </c>
      <c r="E26" s="2">
        <v>0.75687300931933399</v>
      </c>
      <c r="F26" s="2">
        <v>0.73193690771106101</v>
      </c>
    </row>
    <row r="27" spans="1:6" x14ac:dyDescent="0.2">
      <c r="A27" t="s">
        <v>52</v>
      </c>
      <c r="B27" t="s">
        <v>15</v>
      </c>
      <c r="C27" s="2">
        <v>0.75003143913409098</v>
      </c>
      <c r="D27" s="2">
        <v>0.75232768159679697</v>
      </c>
      <c r="E27" s="2">
        <v>0.74822388507089699</v>
      </c>
      <c r="F27" s="2">
        <v>0.75143751922449498</v>
      </c>
    </row>
    <row r="28" spans="1:6" x14ac:dyDescent="0.2">
      <c r="B28" t="s">
        <v>13</v>
      </c>
      <c r="C28" s="2">
        <v>0.73004154447702796</v>
      </c>
      <c r="D28" s="2">
        <v>0.75564993552420701</v>
      </c>
      <c r="E28" s="2">
        <v>0.73602135815991199</v>
      </c>
      <c r="F28" s="2">
        <v>0.76933773216031198</v>
      </c>
    </row>
    <row r="29" spans="1:6" x14ac:dyDescent="0.2">
      <c r="A29" t="s">
        <v>58</v>
      </c>
      <c r="C29" s="2">
        <v>0.7674279744446677</v>
      </c>
      <c r="D29" s="2">
        <v>0.76880728332440029</v>
      </c>
      <c r="E29" s="2">
        <v>0.76570577018199593</v>
      </c>
      <c r="F29" s="2">
        <v>0.76661708836061726</v>
      </c>
    </row>
    <row r="30" spans="1:6" x14ac:dyDescent="0.2">
      <c r="B30" t="s">
        <v>77</v>
      </c>
    </row>
    <row r="32" spans="1:6" x14ac:dyDescent="0.2">
      <c r="A32" t="s">
        <v>62</v>
      </c>
      <c r="C32" t="s">
        <v>64</v>
      </c>
      <c r="D32" t="s">
        <v>65</v>
      </c>
      <c r="E32" t="s">
        <v>66</v>
      </c>
      <c r="F32" t="s">
        <v>67</v>
      </c>
    </row>
    <row r="33" spans="1:14" x14ac:dyDescent="0.2">
      <c r="A33" s="6">
        <v>0.94248048941878781</v>
      </c>
    </row>
    <row r="34" spans="1:14" x14ac:dyDescent="0.2">
      <c r="B34" t="s">
        <v>64</v>
      </c>
      <c r="C34" s="3">
        <v>1</v>
      </c>
      <c r="D34" s="3">
        <v>0.99605875374064279</v>
      </c>
      <c r="E34" s="3">
        <v>0.99993732831889703</v>
      </c>
      <c r="F34" s="3">
        <v>0.95836063787446502</v>
      </c>
      <c r="G34" s="3"/>
      <c r="H34" s="3"/>
      <c r="I34" s="3"/>
      <c r="J34" s="3"/>
      <c r="K34" s="3"/>
      <c r="L34" s="3"/>
      <c r="M34" s="3"/>
      <c r="N34" s="3"/>
    </row>
    <row r="35" spans="1:14" x14ac:dyDescent="0.2">
      <c r="B35" t="s">
        <v>65</v>
      </c>
      <c r="C35" s="3">
        <v>0.99605875374064279</v>
      </c>
      <c r="D35" s="3">
        <v>1</v>
      </c>
      <c r="E35" s="3">
        <v>0.99238259930838213</v>
      </c>
      <c r="F35" s="3">
        <v>0.99238259930838224</v>
      </c>
      <c r="G35" s="3"/>
      <c r="H35" s="3"/>
      <c r="I35" s="3"/>
      <c r="J35" s="3"/>
      <c r="K35" s="3"/>
      <c r="L35" s="3"/>
      <c r="M35" s="3"/>
      <c r="N35" s="3"/>
    </row>
    <row r="36" spans="1:14" x14ac:dyDescent="0.2">
      <c r="B36" t="s">
        <v>66</v>
      </c>
      <c r="C36" s="3">
        <v>0.99993732831889703</v>
      </c>
      <c r="D36" s="3">
        <v>0.99238259930838213</v>
      </c>
      <c r="E36" s="3">
        <v>1</v>
      </c>
      <c r="F36" s="3">
        <v>0.94411090870229453</v>
      </c>
      <c r="G36" s="3"/>
      <c r="H36" s="3"/>
      <c r="I36" s="3"/>
      <c r="J36" s="3"/>
      <c r="K36" s="3"/>
      <c r="L36" s="3"/>
      <c r="M36" s="3"/>
      <c r="N36" s="3"/>
    </row>
    <row r="37" spans="1:14" x14ac:dyDescent="0.2">
      <c r="B37" t="s">
        <v>67</v>
      </c>
      <c r="C37" s="3">
        <v>0.95836063787446502</v>
      </c>
      <c r="D37" s="3">
        <v>0.99238259930838224</v>
      </c>
      <c r="E37" s="3">
        <v>0.94411090870229453</v>
      </c>
      <c r="F37" s="3">
        <v>1</v>
      </c>
      <c r="G37" s="3"/>
      <c r="H37" s="3"/>
      <c r="I37" s="3"/>
      <c r="J37" s="3"/>
      <c r="K37" s="3"/>
      <c r="L37" s="3"/>
      <c r="M37" s="3"/>
      <c r="N37" s="3"/>
    </row>
    <row r="38" spans="1:14" x14ac:dyDescent="0.2"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"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1:14" x14ac:dyDescent="0.2"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1:14" x14ac:dyDescent="0.2"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</row>
    <row r="42" spans="1:14" x14ac:dyDescent="0.2"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</row>
    <row r="43" spans="1:14" x14ac:dyDescent="0.2"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</row>
    <row r="44" spans="1:14" x14ac:dyDescent="0.2"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</row>
    <row r="45" spans="1:14" x14ac:dyDescent="0.2"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</row>
    <row r="47" spans="1:14" x14ac:dyDescent="0.2">
      <c r="A47" s="1" t="s">
        <v>1</v>
      </c>
      <c r="B47" t="s">
        <v>45</v>
      </c>
    </row>
    <row r="49" spans="1:2" x14ac:dyDescent="0.2">
      <c r="A49" s="1" t="s">
        <v>3</v>
      </c>
      <c r="B49" s="1" t="s">
        <v>4</v>
      </c>
    </row>
    <row r="50" spans="1:2" x14ac:dyDescent="0.2">
      <c r="A50">
        <v>1</v>
      </c>
      <c r="B50" t="s">
        <v>41</v>
      </c>
    </row>
    <row r="51" spans="1:2" x14ac:dyDescent="0.2">
      <c r="A51">
        <v>2</v>
      </c>
      <c r="B51" t="s">
        <v>42</v>
      </c>
    </row>
    <row r="52" spans="1:2" x14ac:dyDescent="0.2">
      <c r="A52">
        <v>3</v>
      </c>
      <c r="B52" t="s">
        <v>43</v>
      </c>
    </row>
    <row r="53" spans="1:2" x14ac:dyDescent="0.2">
      <c r="A53">
        <v>4</v>
      </c>
      <c r="B53" t="s">
        <v>44</v>
      </c>
    </row>
  </sheetData>
  <conditionalFormatting sqref="C34:F37">
    <cfRule type="cellIs" dxfId="1" priority="1" operator="lessThan">
      <formula>0.05</formula>
    </cfRule>
  </conditionalFormatting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CAECE-6B20-1E49-B0CD-9C7C866ACF1B}">
  <dimension ref="B2:O41"/>
  <sheetViews>
    <sheetView tabSelected="1" zoomScale="150" zoomScaleNormal="150" workbookViewId="0">
      <selection activeCell="D37" sqref="D37:H41"/>
    </sheetView>
  </sheetViews>
  <sheetFormatPr baseColWidth="10" defaultRowHeight="16" x14ac:dyDescent="0.2"/>
  <cols>
    <col min="2" max="2" width="22" bestFit="1" customWidth="1"/>
    <col min="3" max="3" width="11.1640625" customWidth="1"/>
    <col min="4" max="4" width="13.5" bestFit="1" customWidth="1"/>
    <col min="5" max="8" width="19.1640625" bestFit="1" customWidth="1"/>
    <col min="9" max="9" width="19.1640625" customWidth="1"/>
    <col min="10" max="10" width="20.6640625" bestFit="1" customWidth="1"/>
    <col min="11" max="13" width="20.1640625" bestFit="1" customWidth="1"/>
  </cols>
  <sheetData>
    <row r="2" spans="2:13" x14ac:dyDescent="0.2">
      <c r="B2" s="9" t="s">
        <v>0</v>
      </c>
      <c r="C2" s="10" t="s">
        <v>79</v>
      </c>
      <c r="D2" s="11" t="s">
        <v>5</v>
      </c>
      <c r="E2" s="10" t="s">
        <v>94</v>
      </c>
      <c r="F2" s="10" t="s">
        <v>95</v>
      </c>
      <c r="G2" s="10" t="s">
        <v>96</v>
      </c>
      <c r="H2" s="12" t="s">
        <v>97</v>
      </c>
      <c r="I2" s="7"/>
    </row>
    <row r="3" spans="2:13" x14ac:dyDescent="0.2">
      <c r="B3" s="13" t="s">
        <v>55</v>
      </c>
      <c r="C3" s="14" t="s">
        <v>80</v>
      </c>
      <c r="D3" s="15" t="s">
        <v>15</v>
      </c>
      <c r="E3" s="2">
        <v>0.79332726171716905</v>
      </c>
      <c r="F3" s="2">
        <v>0.76637751209386695</v>
      </c>
      <c r="G3" s="2">
        <v>0.766036941779207</v>
      </c>
      <c r="H3" s="34">
        <v>0.78696942162065198</v>
      </c>
      <c r="I3" s="16"/>
      <c r="J3">
        <f>_xlfn.RANK.EQ(E3,$E3:$H3,1)</f>
        <v>4</v>
      </c>
      <c r="K3">
        <f>_xlfn.RANK.EQ(F3,$E3:$H3,1)</f>
        <v>2</v>
      </c>
      <c r="L3">
        <f>_xlfn.RANK.EQ(G3,$E3:$H3,1)</f>
        <v>1</v>
      </c>
      <c r="M3">
        <f>_xlfn.RANK.EQ(H3,$E3:$H3,1)</f>
        <v>3</v>
      </c>
    </row>
    <row r="4" spans="2:13" x14ac:dyDescent="0.2">
      <c r="B4" s="17"/>
      <c r="C4" s="8"/>
      <c r="D4" s="18" t="s">
        <v>13</v>
      </c>
      <c r="E4" s="2">
        <v>0.76768926249451497</v>
      </c>
      <c r="F4" s="2">
        <v>0.79440465927348203</v>
      </c>
      <c r="G4" s="2">
        <v>0.70830971659918995</v>
      </c>
      <c r="H4" s="34">
        <v>0.75982027724048995</v>
      </c>
      <c r="I4" s="16"/>
      <c r="J4">
        <f t="shared" ref="J4:M26" si="0">_xlfn.RANK.EQ(E4,$E4:$H4,1)</f>
        <v>3</v>
      </c>
      <c r="K4">
        <f t="shared" ref="K4:K18" si="1">_xlfn.RANK.EQ(F4,$E4:$H4,1)</f>
        <v>4</v>
      </c>
      <c r="L4">
        <f t="shared" ref="L4:L18" si="2">_xlfn.RANK.EQ(G4,$E4:$H4,1)</f>
        <v>1</v>
      </c>
      <c r="M4">
        <f t="shared" ref="M4:M18" si="3">_xlfn.RANK.EQ(H4,$E4:$H4,1)</f>
        <v>2</v>
      </c>
    </row>
    <row r="5" spans="2:13" x14ac:dyDescent="0.2">
      <c r="B5" s="19" t="s">
        <v>50</v>
      </c>
      <c r="C5" s="8" t="s">
        <v>81</v>
      </c>
      <c r="D5" s="18" t="s">
        <v>15</v>
      </c>
      <c r="E5" s="2">
        <v>0.78608695980957699</v>
      </c>
      <c r="F5" s="2">
        <v>0.75087053055582997</v>
      </c>
      <c r="G5" s="2">
        <v>0.77030009101132302</v>
      </c>
      <c r="H5" s="34">
        <v>0.76608636720213397</v>
      </c>
      <c r="I5" s="16"/>
      <c r="J5">
        <f t="shared" si="0"/>
        <v>4</v>
      </c>
      <c r="K5">
        <f t="shared" si="1"/>
        <v>1</v>
      </c>
      <c r="L5">
        <f t="shared" si="2"/>
        <v>3</v>
      </c>
      <c r="M5">
        <f t="shared" si="3"/>
        <v>2</v>
      </c>
    </row>
    <row r="6" spans="2:13" x14ac:dyDescent="0.2">
      <c r="B6" s="17"/>
      <c r="C6" s="8"/>
      <c r="D6" s="18" t="s">
        <v>13</v>
      </c>
      <c r="E6" s="2">
        <v>0.773122291766971</v>
      </c>
      <c r="F6" s="2">
        <v>0.72586274509803905</v>
      </c>
      <c r="G6" s="2">
        <v>0.76166786112438201</v>
      </c>
      <c r="H6" s="34">
        <v>0.73104768413962495</v>
      </c>
      <c r="I6" s="16"/>
      <c r="J6">
        <f t="shared" si="0"/>
        <v>4</v>
      </c>
      <c r="K6">
        <f t="shared" si="1"/>
        <v>1</v>
      </c>
      <c r="L6">
        <f t="shared" si="2"/>
        <v>3</v>
      </c>
      <c r="M6">
        <f t="shared" si="3"/>
        <v>2</v>
      </c>
    </row>
    <row r="7" spans="2:13" x14ac:dyDescent="0.2">
      <c r="B7" s="19" t="s">
        <v>48</v>
      </c>
      <c r="C7" s="8" t="s">
        <v>82</v>
      </c>
      <c r="D7" s="18" t="s">
        <v>15</v>
      </c>
      <c r="E7" s="2">
        <v>0.78689711691745901</v>
      </c>
      <c r="F7" s="2">
        <v>0.73689081577554605</v>
      </c>
      <c r="G7" s="2">
        <v>0.77957843883594502</v>
      </c>
      <c r="H7" s="34">
        <v>0.79663511329246195</v>
      </c>
      <c r="I7" s="16"/>
      <c r="J7">
        <f t="shared" si="0"/>
        <v>3</v>
      </c>
      <c r="K7">
        <f t="shared" si="1"/>
        <v>1</v>
      </c>
      <c r="L7">
        <f t="shared" si="2"/>
        <v>2</v>
      </c>
      <c r="M7">
        <f t="shared" si="3"/>
        <v>4</v>
      </c>
    </row>
    <row r="8" spans="2:13" x14ac:dyDescent="0.2">
      <c r="B8" s="17"/>
      <c r="C8" s="8"/>
      <c r="D8" s="18" t="s">
        <v>13</v>
      </c>
      <c r="E8" s="2">
        <v>0.76916009852216705</v>
      </c>
      <c r="F8" s="2">
        <v>0.73205989980822594</v>
      </c>
      <c r="G8" s="2">
        <v>0.76051797464291404</v>
      </c>
      <c r="H8" s="34">
        <v>0.76302353960006297</v>
      </c>
      <c r="I8" s="16"/>
      <c r="J8">
        <f t="shared" si="0"/>
        <v>4</v>
      </c>
      <c r="K8">
        <f t="shared" si="1"/>
        <v>1</v>
      </c>
      <c r="L8">
        <f t="shared" si="2"/>
        <v>2</v>
      </c>
      <c r="M8">
        <f t="shared" si="3"/>
        <v>3</v>
      </c>
    </row>
    <row r="9" spans="2:13" x14ac:dyDescent="0.2">
      <c r="B9" s="19" t="s">
        <v>10</v>
      </c>
      <c r="C9" s="8" t="s">
        <v>83</v>
      </c>
      <c r="D9" s="18" t="s">
        <v>15</v>
      </c>
      <c r="E9" s="2">
        <v>0.78234771207136</v>
      </c>
      <c r="F9" s="2">
        <v>0.73497998447403201</v>
      </c>
      <c r="G9" s="2">
        <v>0.78269021953567397</v>
      </c>
      <c r="H9" s="34">
        <v>0.80625033652657796</v>
      </c>
      <c r="I9" s="16"/>
      <c r="J9">
        <f t="shared" si="0"/>
        <v>2</v>
      </c>
      <c r="K9">
        <f t="shared" si="1"/>
        <v>1</v>
      </c>
      <c r="L9">
        <f t="shared" si="2"/>
        <v>3</v>
      </c>
      <c r="M9">
        <f t="shared" si="3"/>
        <v>4</v>
      </c>
    </row>
    <row r="10" spans="2:13" x14ac:dyDescent="0.2">
      <c r="B10" s="17"/>
      <c r="C10" s="8"/>
      <c r="D10" s="18" t="s">
        <v>13</v>
      </c>
      <c r="E10" s="2">
        <v>0.77528409090909001</v>
      </c>
      <c r="F10" s="2">
        <v>0.73783143939393903</v>
      </c>
      <c r="G10" s="2">
        <v>0.79230480480480403</v>
      </c>
      <c r="H10" s="34">
        <v>0.76857591425967697</v>
      </c>
      <c r="I10" s="16"/>
      <c r="J10">
        <f t="shared" si="0"/>
        <v>3</v>
      </c>
      <c r="K10">
        <f t="shared" si="1"/>
        <v>1</v>
      </c>
      <c r="L10">
        <f t="shared" si="2"/>
        <v>4</v>
      </c>
      <c r="M10">
        <f t="shared" si="3"/>
        <v>2</v>
      </c>
    </row>
    <row r="11" spans="2:13" x14ac:dyDescent="0.2">
      <c r="B11" s="19" t="s">
        <v>51</v>
      </c>
      <c r="C11" s="8" t="s">
        <v>84</v>
      </c>
      <c r="D11" s="18" t="s">
        <v>15</v>
      </c>
      <c r="E11" s="2">
        <v>0.76359271738385703</v>
      </c>
      <c r="F11" s="2">
        <v>0.76399744874714604</v>
      </c>
      <c r="G11" s="2">
        <v>0.769094352214439</v>
      </c>
      <c r="H11" s="34">
        <v>0.77482763960416201</v>
      </c>
      <c r="I11" s="16"/>
      <c r="J11">
        <f t="shared" si="0"/>
        <v>1</v>
      </c>
      <c r="K11">
        <f t="shared" si="1"/>
        <v>2</v>
      </c>
      <c r="L11">
        <f t="shared" si="2"/>
        <v>3</v>
      </c>
      <c r="M11">
        <f t="shared" si="3"/>
        <v>4</v>
      </c>
    </row>
    <row r="12" spans="2:13" x14ac:dyDescent="0.2">
      <c r="B12" s="17"/>
      <c r="C12" s="8"/>
      <c r="D12" s="18" t="s">
        <v>13</v>
      </c>
      <c r="E12" s="2">
        <v>0.76212301587301501</v>
      </c>
      <c r="F12" s="2">
        <v>0.78190922077413805</v>
      </c>
      <c r="G12" s="2">
        <v>0.777672084906043</v>
      </c>
      <c r="H12" s="34">
        <v>0.78108532429969402</v>
      </c>
      <c r="I12" s="16"/>
      <c r="J12">
        <f t="shared" si="0"/>
        <v>1</v>
      </c>
      <c r="K12">
        <f t="shared" si="1"/>
        <v>4</v>
      </c>
      <c r="L12">
        <f t="shared" si="2"/>
        <v>2</v>
      </c>
      <c r="M12">
        <f t="shared" si="3"/>
        <v>3</v>
      </c>
    </row>
    <row r="13" spans="2:13" x14ac:dyDescent="0.2">
      <c r="B13" s="19" t="s">
        <v>54</v>
      </c>
      <c r="C13" s="8" t="s">
        <v>80</v>
      </c>
      <c r="D13" s="18" t="s">
        <v>15</v>
      </c>
      <c r="E13" s="2">
        <v>0.78663967682318003</v>
      </c>
      <c r="F13" s="2">
        <v>0.80169528160808201</v>
      </c>
      <c r="G13" s="2">
        <v>0.75971022665865995</v>
      </c>
      <c r="H13" s="34">
        <v>0.77466179332136897</v>
      </c>
      <c r="I13" s="16"/>
      <c r="J13">
        <f t="shared" si="0"/>
        <v>3</v>
      </c>
      <c r="K13">
        <f t="shared" si="1"/>
        <v>4</v>
      </c>
      <c r="L13">
        <f t="shared" si="2"/>
        <v>1</v>
      </c>
      <c r="M13">
        <f t="shared" si="3"/>
        <v>2</v>
      </c>
    </row>
    <row r="14" spans="2:13" x14ac:dyDescent="0.2">
      <c r="B14" s="17"/>
      <c r="C14" s="8"/>
      <c r="D14" s="18" t="s">
        <v>13</v>
      </c>
      <c r="E14" s="2">
        <v>0.754542042042042</v>
      </c>
      <c r="F14" s="2">
        <v>0.75070710245128802</v>
      </c>
      <c r="G14" s="2">
        <v>0.738575027538656</v>
      </c>
      <c r="H14" s="34">
        <v>0.73708333333333298</v>
      </c>
      <c r="I14" s="16"/>
      <c r="J14">
        <f t="shared" si="0"/>
        <v>4</v>
      </c>
      <c r="K14">
        <f t="shared" si="1"/>
        <v>3</v>
      </c>
      <c r="L14">
        <f t="shared" si="2"/>
        <v>2</v>
      </c>
      <c r="M14">
        <f t="shared" si="3"/>
        <v>1</v>
      </c>
    </row>
    <row r="15" spans="2:13" x14ac:dyDescent="0.2">
      <c r="B15" s="19" t="s">
        <v>49</v>
      </c>
      <c r="C15" s="8" t="s">
        <v>85</v>
      </c>
      <c r="D15" s="18" t="s">
        <v>15</v>
      </c>
      <c r="E15" s="2">
        <v>0.78739559841826301</v>
      </c>
      <c r="F15" s="2">
        <v>0.762801165762094</v>
      </c>
      <c r="G15" s="2">
        <v>0.78948320346054601</v>
      </c>
      <c r="H15" s="34">
        <v>0.80026254101584404</v>
      </c>
      <c r="I15" s="16"/>
      <c r="J15">
        <f t="shared" si="0"/>
        <v>2</v>
      </c>
      <c r="K15">
        <f t="shared" si="1"/>
        <v>1</v>
      </c>
      <c r="L15">
        <f t="shared" si="2"/>
        <v>3</v>
      </c>
      <c r="M15">
        <f t="shared" si="3"/>
        <v>4</v>
      </c>
    </row>
    <row r="16" spans="2:13" x14ac:dyDescent="0.2">
      <c r="B16" s="17"/>
      <c r="C16" s="8"/>
      <c r="D16" s="18" t="s">
        <v>13</v>
      </c>
      <c r="E16" s="2">
        <v>0.76857591425967697</v>
      </c>
      <c r="F16" s="2">
        <v>0.773122291766971</v>
      </c>
      <c r="G16" s="2">
        <v>0.75563963194085604</v>
      </c>
      <c r="H16" s="34">
        <v>0.76279987373737301</v>
      </c>
      <c r="I16" s="16"/>
      <c r="J16">
        <f t="shared" si="0"/>
        <v>3</v>
      </c>
      <c r="K16">
        <f t="shared" si="1"/>
        <v>4</v>
      </c>
      <c r="L16">
        <f t="shared" si="2"/>
        <v>1</v>
      </c>
      <c r="M16">
        <f t="shared" si="3"/>
        <v>2</v>
      </c>
    </row>
    <row r="17" spans="2:15" x14ac:dyDescent="0.2">
      <c r="B17" s="19" t="s">
        <v>46</v>
      </c>
      <c r="C17" s="8" t="s">
        <v>86</v>
      </c>
      <c r="D17" s="18" t="s">
        <v>15</v>
      </c>
      <c r="E17" s="2">
        <v>0.80381752031832499</v>
      </c>
      <c r="F17" s="2">
        <v>0.79273579584006204</v>
      </c>
      <c r="G17" s="2">
        <v>0.78625558345486202</v>
      </c>
      <c r="H17" s="34">
        <v>0.80759372646573202</v>
      </c>
      <c r="I17" s="16"/>
      <c r="J17">
        <f t="shared" si="0"/>
        <v>3</v>
      </c>
      <c r="K17">
        <f t="shared" si="1"/>
        <v>2</v>
      </c>
      <c r="L17">
        <f t="shared" si="2"/>
        <v>1</v>
      </c>
      <c r="M17">
        <f t="shared" si="3"/>
        <v>4</v>
      </c>
    </row>
    <row r="18" spans="2:15" x14ac:dyDescent="0.2">
      <c r="B18" s="17"/>
      <c r="C18" s="8"/>
      <c r="D18" s="18" t="s">
        <v>13</v>
      </c>
      <c r="E18" s="2">
        <v>0.773122291766971</v>
      </c>
      <c r="F18" s="2">
        <v>0.80683553122178997</v>
      </c>
      <c r="G18" s="2">
        <v>0.75982027724048995</v>
      </c>
      <c r="H18" s="34">
        <v>0.78716269841269804</v>
      </c>
      <c r="I18" s="16"/>
      <c r="J18">
        <f t="shared" si="0"/>
        <v>2</v>
      </c>
      <c r="K18">
        <f t="shared" si="1"/>
        <v>4</v>
      </c>
      <c r="L18">
        <f t="shared" si="2"/>
        <v>1</v>
      </c>
      <c r="M18">
        <f t="shared" si="3"/>
        <v>3</v>
      </c>
    </row>
    <row r="19" spans="2:15" x14ac:dyDescent="0.2">
      <c r="B19" s="19" t="s">
        <v>47</v>
      </c>
      <c r="C19" s="8" t="s">
        <v>84</v>
      </c>
      <c r="D19" s="18" t="s">
        <v>15</v>
      </c>
      <c r="E19" s="2">
        <v>0.79139449853874599</v>
      </c>
      <c r="F19" s="2">
        <v>0.78542475185655503</v>
      </c>
      <c r="G19" s="2">
        <v>0.77608081236406801</v>
      </c>
      <c r="H19" s="34">
        <v>0.78265738174296695</v>
      </c>
      <c r="I19" s="16"/>
      <c r="J19">
        <f t="shared" si="0"/>
        <v>4</v>
      </c>
      <c r="K19">
        <f t="shared" si="0"/>
        <v>3</v>
      </c>
      <c r="L19">
        <f t="shared" si="0"/>
        <v>1</v>
      </c>
      <c r="M19">
        <f t="shared" si="0"/>
        <v>2</v>
      </c>
    </row>
    <row r="20" spans="2:15" x14ac:dyDescent="0.2">
      <c r="B20" s="17"/>
      <c r="C20" s="8"/>
      <c r="D20" s="18" t="s">
        <v>13</v>
      </c>
      <c r="E20" s="2">
        <v>0.76113331202045997</v>
      </c>
      <c r="F20" s="2">
        <v>0.79427419354838702</v>
      </c>
      <c r="G20" s="2">
        <v>0.75101842461122303</v>
      </c>
      <c r="H20" s="34">
        <v>0.76113331202045997</v>
      </c>
      <c r="I20" s="16"/>
      <c r="J20">
        <f t="shared" si="0"/>
        <v>2</v>
      </c>
      <c r="K20">
        <f t="shared" si="0"/>
        <v>4</v>
      </c>
      <c r="L20">
        <f t="shared" si="0"/>
        <v>1</v>
      </c>
      <c r="M20">
        <f t="shared" si="0"/>
        <v>2</v>
      </c>
    </row>
    <row r="21" spans="2:15" x14ac:dyDescent="0.2">
      <c r="B21" s="19" t="s">
        <v>53</v>
      </c>
      <c r="C21" s="8" t="s">
        <v>87</v>
      </c>
      <c r="D21" s="18" t="s">
        <v>15</v>
      </c>
      <c r="E21" s="2">
        <v>0.73325384593602405</v>
      </c>
      <c r="F21" s="2">
        <v>0.74786385257638699</v>
      </c>
      <c r="G21" s="2">
        <v>0.73653992868142404</v>
      </c>
      <c r="H21" s="34">
        <v>0.73322389719007297</v>
      </c>
      <c r="I21" s="16"/>
      <c r="J21">
        <f t="shared" si="0"/>
        <v>2</v>
      </c>
      <c r="K21">
        <f t="shared" si="0"/>
        <v>4</v>
      </c>
      <c r="L21">
        <f t="shared" si="0"/>
        <v>3</v>
      </c>
      <c r="M21">
        <f t="shared" si="0"/>
        <v>1</v>
      </c>
    </row>
    <row r="22" spans="2:15" x14ac:dyDescent="0.2">
      <c r="B22" s="17"/>
      <c r="C22" s="8"/>
      <c r="D22" s="18" t="s">
        <v>13</v>
      </c>
      <c r="E22" s="2">
        <v>0.79411576354679703</v>
      </c>
      <c r="F22" s="2">
        <v>0.78163465671525101</v>
      </c>
      <c r="G22" s="2">
        <v>0.67821476155021698</v>
      </c>
      <c r="H22" s="34">
        <v>0.78139692228675195</v>
      </c>
      <c r="I22" s="16"/>
      <c r="J22">
        <f t="shared" si="0"/>
        <v>4</v>
      </c>
      <c r="K22">
        <f t="shared" si="0"/>
        <v>3</v>
      </c>
      <c r="L22">
        <f t="shared" si="0"/>
        <v>1</v>
      </c>
      <c r="M22">
        <f t="shared" si="0"/>
        <v>2</v>
      </c>
    </row>
    <row r="23" spans="2:15" x14ac:dyDescent="0.2">
      <c r="B23" s="19" t="s">
        <v>56</v>
      </c>
      <c r="C23" s="8" t="s">
        <v>88</v>
      </c>
      <c r="D23" s="18" t="s">
        <v>15</v>
      </c>
      <c r="E23" s="2">
        <v>0.745294547180679</v>
      </c>
      <c r="F23" s="2">
        <v>0.74916183604729703</v>
      </c>
      <c r="G23" s="2">
        <v>0.73779809736703295</v>
      </c>
      <c r="H23" s="34">
        <v>0.73669512683726701</v>
      </c>
      <c r="I23" s="16"/>
      <c r="J23">
        <f t="shared" si="0"/>
        <v>3</v>
      </c>
      <c r="K23">
        <f t="shared" si="0"/>
        <v>4</v>
      </c>
      <c r="L23">
        <f t="shared" si="0"/>
        <v>2</v>
      </c>
      <c r="M23">
        <f t="shared" si="0"/>
        <v>1</v>
      </c>
    </row>
    <row r="24" spans="2:15" x14ac:dyDescent="0.2">
      <c r="B24" s="17"/>
      <c r="C24" s="8"/>
      <c r="D24" s="18" t="s">
        <v>13</v>
      </c>
      <c r="E24" s="2">
        <v>0.76934106012347103</v>
      </c>
      <c r="F24" s="2">
        <v>0.78180596285435</v>
      </c>
      <c r="G24" s="2">
        <v>0.78809849788765396</v>
      </c>
      <c r="H24" s="34">
        <v>0.74440495851519795</v>
      </c>
      <c r="I24" s="16"/>
      <c r="J24">
        <f t="shared" si="0"/>
        <v>2</v>
      </c>
      <c r="K24">
        <f t="shared" si="0"/>
        <v>3</v>
      </c>
      <c r="L24">
        <f t="shared" si="0"/>
        <v>4</v>
      </c>
      <c r="M24">
        <f t="shared" si="0"/>
        <v>1</v>
      </c>
    </row>
    <row r="25" spans="2:15" x14ac:dyDescent="0.2">
      <c r="B25" s="19" t="s">
        <v>52</v>
      </c>
      <c r="C25" s="8" t="s">
        <v>89</v>
      </c>
      <c r="D25" s="18" t="s">
        <v>15</v>
      </c>
      <c r="E25" s="2">
        <v>0.76034909380298299</v>
      </c>
      <c r="F25" s="2">
        <v>0.74881999964514101</v>
      </c>
      <c r="G25" s="2">
        <v>0.72798554666377302</v>
      </c>
      <c r="H25" s="34">
        <v>0.75232768159679697</v>
      </c>
      <c r="I25" s="16"/>
      <c r="J25">
        <f t="shared" si="0"/>
        <v>4</v>
      </c>
      <c r="K25">
        <f t="shared" si="0"/>
        <v>2</v>
      </c>
      <c r="L25">
        <f t="shared" si="0"/>
        <v>1</v>
      </c>
      <c r="M25">
        <f t="shared" si="0"/>
        <v>3</v>
      </c>
    </row>
    <row r="26" spans="2:15" x14ac:dyDescent="0.2">
      <c r="B26" s="20"/>
      <c r="C26" s="21"/>
      <c r="D26" s="22" t="s">
        <v>13</v>
      </c>
      <c r="E26" s="2">
        <v>0.73708977965306999</v>
      </c>
      <c r="F26" s="2">
        <v>0.78190922077413805</v>
      </c>
      <c r="G26" s="2">
        <v>0.75</v>
      </c>
      <c r="H26" s="34">
        <v>0.75564993552420701</v>
      </c>
      <c r="I26" s="16"/>
      <c r="J26">
        <f t="shared" si="0"/>
        <v>1</v>
      </c>
      <c r="K26">
        <f t="shared" si="0"/>
        <v>4</v>
      </c>
      <c r="L26">
        <f t="shared" si="0"/>
        <v>2</v>
      </c>
      <c r="M26">
        <f t="shared" si="0"/>
        <v>3</v>
      </c>
    </row>
    <row r="27" spans="2:15" x14ac:dyDescent="0.2">
      <c r="D27" s="19" t="s">
        <v>90</v>
      </c>
      <c r="E27" s="23">
        <f>AVERAGE(E3:E26)</f>
        <v>0.77190397799566102</v>
      </c>
      <c r="F27" s="24">
        <f>AVERAGE(F3:F26)</f>
        <v>0.7659989957775849</v>
      </c>
      <c r="G27" s="24">
        <f>AVERAGE(G3:G26)</f>
        <v>0.7584746877030577</v>
      </c>
      <c r="H27" s="25">
        <f>AVERAGE(H3:H26)</f>
        <v>0.76880728332440029</v>
      </c>
      <c r="I27" s="26"/>
      <c r="J27" s="27">
        <f>AVERAGE(J3:J26)</f>
        <v>2.8333333333333335</v>
      </c>
      <c r="K27" s="27">
        <f>AVERAGE(K3:K26)</f>
        <v>2.625</v>
      </c>
      <c r="L27" s="27">
        <f>AVERAGE(L3:L26)</f>
        <v>2</v>
      </c>
      <c r="M27" s="27">
        <f>AVERAGE(M3:M26)</f>
        <v>2.5</v>
      </c>
      <c r="N27">
        <f>2.569*SQRT((4*(4+1))/(6*24))</f>
        <v>0.95740977236615998</v>
      </c>
    </row>
    <row r="28" spans="2:15" x14ac:dyDescent="0.2">
      <c r="D28" s="28" t="s">
        <v>91</v>
      </c>
      <c r="E28" s="29">
        <f>_xlfn.STDEV.S(E3:E26)</f>
        <v>1.8093701255467616E-2</v>
      </c>
      <c r="F28" s="30">
        <f>_xlfn.STDEV.S(F3:F26)</f>
        <v>2.4175099504615702E-2</v>
      </c>
      <c r="G28" s="30">
        <f>_xlfn.STDEV.S(G3:G26)</f>
        <v>2.7283548045956587E-2</v>
      </c>
      <c r="H28" s="31">
        <f>_xlfn.STDEV.S(H3:H26)</f>
        <v>2.2741415306750955E-2</v>
      </c>
      <c r="I28" s="26"/>
      <c r="M28" t="s">
        <v>92</v>
      </c>
      <c r="N28" s="32">
        <f>(12*24/(4*(4+1)))*((J27^2)+(K27^2)+(L27^2)+(M27^2))-3*24*(4+1)</f>
        <v>2.4250000000000114</v>
      </c>
      <c r="O28">
        <f>SQRT((4*(4+1))/(6*24))</f>
        <v>0.37267799624996495</v>
      </c>
    </row>
    <row r="30" spans="2:15" x14ac:dyDescent="0.2">
      <c r="B30" t="s">
        <v>93</v>
      </c>
      <c r="J30" s="10" t="s">
        <v>94</v>
      </c>
      <c r="K30" s="10" t="s">
        <v>95</v>
      </c>
      <c r="L30" s="10" t="s">
        <v>96</v>
      </c>
      <c r="M30" s="12" t="s">
        <v>97</v>
      </c>
    </row>
    <row r="31" spans="2:15" x14ac:dyDescent="0.2">
      <c r="B31" s="33">
        <f>1-_xlfn.CHISQ.DIST(N28,3,TRUE)</f>
        <v>0.4889978477959176</v>
      </c>
      <c r="I31" s="16"/>
      <c r="K31">
        <f>ABS($J$27-$K$27)</f>
        <v>0.20833333333333348</v>
      </c>
      <c r="L31">
        <f>ABS($J$27-$L$27)</f>
        <v>0.83333333333333348</v>
      </c>
      <c r="M31">
        <f>ABS($J$27-$M$27)</f>
        <v>0.33333333333333348</v>
      </c>
    </row>
    <row r="32" spans="2:15" x14ac:dyDescent="0.2">
      <c r="I32" s="16"/>
      <c r="J32">
        <f>ABS($J$27-$K$27)</f>
        <v>0.20833333333333348</v>
      </c>
      <c r="L32">
        <f>ABS($K$27-$L$27)</f>
        <v>0.625</v>
      </c>
      <c r="M32">
        <f>ABS($K$27-$M$27)</f>
        <v>0.125</v>
      </c>
    </row>
    <row r="33" spans="4:13" x14ac:dyDescent="0.2">
      <c r="I33" s="16"/>
      <c r="J33">
        <f>ABS($J$27-$L$27)</f>
        <v>0.83333333333333348</v>
      </c>
      <c r="K33">
        <f>ABS($K$27-$L$27)</f>
        <v>0.625</v>
      </c>
      <c r="M33">
        <f>ABS($L$27-$M$27)</f>
        <v>0.5</v>
      </c>
    </row>
    <row r="34" spans="4:13" x14ac:dyDescent="0.2">
      <c r="I34" s="16"/>
      <c r="J34">
        <f>ABS($J$27-$M$27)</f>
        <v>0.33333333333333348</v>
      </c>
      <c r="K34">
        <f>ABS($K$27-$M$27)</f>
        <v>0.125</v>
      </c>
      <c r="L34">
        <f>ABS($L$27-$M$27)</f>
        <v>0.5</v>
      </c>
    </row>
    <row r="37" spans="4:13" x14ac:dyDescent="0.2">
      <c r="E37" s="10" t="s">
        <v>94</v>
      </c>
      <c r="F37" s="10" t="s">
        <v>95</v>
      </c>
      <c r="G37" s="10" t="s">
        <v>96</v>
      </c>
      <c r="H37" s="12" t="s">
        <v>97</v>
      </c>
      <c r="K37">
        <f>K31/$O$28</f>
        <v>0.55901699437494778</v>
      </c>
      <c r="L37">
        <f>L31/$O$28</f>
        <v>2.2360679774997902</v>
      </c>
      <c r="M37">
        <f t="shared" ref="M37:M39" si="4">M31/$O$28</f>
        <v>0.8944271909999163</v>
      </c>
    </row>
    <row r="38" spans="4:13" x14ac:dyDescent="0.2">
      <c r="D38" s="10" t="s">
        <v>94</v>
      </c>
      <c r="E38" s="3">
        <f>2*(1-_xlfn.T.DIST(J37,100,TRUE))</f>
        <v>1</v>
      </c>
      <c r="F38" s="3">
        <f>2*(1-_xlfn.T.DIST(K37,100,TRUE))</f>
        <v>0.57739989021589366</v>
      </c>
      <c r="G38" s="3">
        <f>2*(1-_xlfn.T.DIST(L37,100,TRUE))</f>
        <v>2.7569600666045302E-2</v>
      </c>
      <c r="H38" s="3">
        <f>2*(1-_xlfn.T.DIST(M37,100,TRUE))</f>
        <v>0.3732410827341488</v>
      </c>
      <c r="J38">
        <f>J32/$O$28</f>
        <v>0.55901699437494778</v>
      </c>
      <c r="L38">
        <f>L32/$O$28</f>
        <v>1.6770509831248424</v>
      </c>
      <c r="M38">
        <f t="shared" si="4"/>
        <v>0.33541019662496846</v>
      </c>
    </row>
    <row r="39" spans="4:13" x14ac:dyDescent="0.2">
      <c r="D39" s="10" t="s">
        <v>95</v>
      </c>
      <c r="E39" s="3">
        <f>2*(1-_xlfn.T.DIST(J38,100,TRUE))</f>
        <v>0.57739989021589366</v>
      </c>
      <c r="F39" s="3">
        <f>2*(1-_xlfn.T.DIST(K38,100,TRUE))</f>
        <v>1</v>
      </c>
      <c r="G39" s="3">
        <f>2*(1-_xlfn.T.DIST(L38,100,TRUE))</f>
        <v>9.6655848685819556E-2</v>
      </c>
      <c r="H39" s="3">
        <f>2*(1-_xlfn.T.DIST(M38,100,TRUE))</f>
        <v>0.73801830854622086</v>
      </c>
      <c r="J39">
        <f>J33/$O$28</f>
        <v>2.2360679774997902</v>
      </c>
      <c r="K39">
        <f>K33/$O$28</f>
        <v>1.6770509831248424</v>
      </c>
      <c r="M39">
        <f t="shared" si="4"/>
        <v>1.3416407864998738</v>
      </c>
    </row>
    <row r="40" spans="4:13" x14ac:dyDescent="0.2">
      <c r="D40" s="10" t="s">
        <v>96</v>
      </c>
      <c r="E40" s="3">
        <f>2*(1-_xlfn.T.DIST(J39,100,TRUE))</f>
        <v>2.7569600666045302E-2</v>
      </c>
      <c r="F40" s="3">
        <f>2*(1-_xlfn.T.DIST(K39,100,TRUE))</f>
        <v>9.6655848685819556E-2</v>
      </c>
      <c r="G40" s="3">
        <f>2*(1-_xlfn.T.DIST(L39,100,TRUE))</f>
        <v>1</v>
      </c>
      <c r="H40" s="3">
        <f>2*(1-_xlfn.T.DIST(M39,100,TRUE))</f>
        <v>0.18275124367193762</v>
      </c>
      <c r="J40">
        <f>J34/$O$28</f>
        <v>0.8944271909999163</v>
      </c>
      <c r="K40">
        <f>K34/$O$28</f>
        <v>0.33541019662496846</v>
      </c>
      <c r="L40">
        <f>L34/$O$28</f>
        <v>1.3416407864998738</v>
      </c>
    </row>
    <row r="41" spans="4:13" x14ac:dyDescent="0.2">
      <c r="D41" s="12" t="s">
        <v>97</v>
      </c>
      <c r="E41" s="3">
        <f>2*(1-_xlfn.T.DIST(J40,100,TRUE))</f>
        <v>0.3732410827341488</v>
      </c>
      <c r="F41" s="3">
        <f>2*(1-_xlfn.T.DIST(K40,100,TRUE))</f>
        <v>0.73801830854622086</v>
      </c>
      <c r="G41" s="3">
        <f>2*(1-_xlfn.T.DIST(L40,100,TRUE))</f>
        <v>0.18275124367193762</v>
      </c>
      <c r="H41" s="3">
        <f>2*(1-_xlfn.T.DIST(M40,100,TRUE))</f>
        <v>1</v>
      </c>
    </row>
  </sheetData>
  <conditionalFormatting sqref="E38:H41">
    <cfRule type="cellIs" dxfId="0" priority="1" operator="lessThan">
      <formula>0.05</formula>
    </cfRule>
  </conditionalFormatting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EE731-03C9-B148-BEDA-69F11C6E8667}">
  <dimension ref="A1:J769"/>
  <sheetViews>
    <sheetView topLeftCell="A734" workbookViewId="0">
      <selection sqref="A1:J769"/>
    </sheetView>
  </sheetViews>
  <sheetFormatPr baseColWidth="10" defaultRowHeight="16" x14ac:dyDescent="0.2"/>
  <cols>
    <col min="1" max="1" width="21.6640625" bestFit="1" customWidth="1"/>
    <col min="2" max="3" width="13.33203125" bestFit="1" customWidth="1"/>
    <col min="4" max="4" width="10.33203125" bestFit="1" customWidth="1"/>
    <col min="5" max="5" width="37.1640625" bestFit="1" customWidth="1"/>
    <col min="6" max="6" width="13.5" bestFit="1" customWidth="1"/>
    <col min="7" max="8" width="12.1640625" bestFit="1" customWidth="1"/>
    <col min="9" max="9" width="10" bestFit="1" customWidth="1"/>
    <col min="10" max="10" width="13.66406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 t="s">
        <v>11</v>
      </c>
      <c r="C2" t="s">
        <v>11</v>
      </c>
      <c r="D2">
        <v>1</v>
      </c>
      <c r="E2" t="s">
        <v>12</v>
      </c>
      <c r="F2" t="s">
        <v>13</v>
      </c>
      <c r="G2">
        <v>0.74856138107416803</v>
      </c>
      <c r="H2">
        <v>0</v>
      </c>
      <c r="I2" t="s">
        <v>14</v>
      </c>
      <c r="J2">
        <v>0.409672021865844</v>
      </c>
    </row>
    <row r="3" spans="1:10" x14ac:dyDescent="0.2">
      <c r="A3" t="s">
        <v>10</v>
      </c>
      <c r="B3" t="s">
        <v>11</v>
      </c>
      <c r="C3" t="s">
        <v>11</v>
      </c>
      <c r="D3">
        <v>1</v>
      </c>
      <c r="E3" t="s">
        <v>12</v>
      </c>
      <c r="F3" t="s">
        <v>15</v>
      </c>
      <c r="G3">
        <v>0.71866241235804595</v>
      </c>
      <c r="H3">
        <v>3.01406966789107E-2</v>
      </c>
      <c r="I3" t="s">
        <v>14</v>
      </c>
      <c r="J3">
        <v>0.63030576705932595</v>
      </c>
    </row>
    <row r="4" spans="1:10" x14ac:dyDescent="0.2">
      <c r="A4" t="s">
        <v>10</v>
      </c>
      <c r="B4" t="s">
        <v>11</v>
      </c>
      <c r="C4" t="s">
        <v>11</v>
      </c>
      <c r="D4">
        <v>2</v>
      </c>
      <c r="E4" t="s">
        <v>16</v>
      </c>
      <c r="F4" t="s">
        <v>13</v>
      </c>
      <c r="G4">
        <v>0.77421165790730995</v>
      </c>
      <c r="H4">
        <v>0</v>
      </c>
      <c r="I4" t="s">
        <v>14</v>
      </c>
      <c r="J4">
        <v>8.0774068832397405E-2</v>
      </c>
    </row>
    <row r="5" spans="1:10" x14ac:dyDescent="0.2">
      <c r="A5" t="s">
        <v>10</v>
      </c>
      <c r="B5" t="s">
        <v>11</v>
      </c>
      <c r="C5" t="s">
        <v>11</v>
      </c>
      <c r="D5">
        <v>2</v>
      </c>
      <c r="E5" t="s">
        <v>16</v>
      </c>
      <c r="F5" t="s">
        <v>15</v>
      </c>
      <c r="G5">
        <v>0.72632302044588004</v>
      </c>
      <c r="H5">
        <v>3.94836949814334E-2</v>
      </c>
      <c r="I5" t="s">
        <v>14</v>
      </c>
      <c r="J5">
        <v>1.2626600265502901</v>
      </c>
    </row>
    <row r="6" spans="1:10" x14ac:dyDescent="0.2">
      <c r="A6" t="s">
        <v>10</v>
      </c>
      <c r="B6" t="s">
        <v>11</v>
      </c>
      <c r="C6" t="s">
        <v>11</v>
      </c>
      <c r="D6">
        <v>3</v>
      </c>
      <c r="E6" t="s">
        <v>17</v>
      </c>
      <c r="F6" t="s">
        <v>13</v>
      </c>
      <c r="G6">
        <v>0.76768926249451497</v>
      </c>
      <c r="H6">
        <v>0</v>
      </c>
      <c r="I6" t="s">
        <v>14</v>
      </c>
      <c r="J6">
        <v>9.0486049652099595E-2</v>
      </c>
    </row>
    <row r="7" spans="1:10" x14ac:dyDescent="0.2">
      <c r="A7" t="s">
        <v>10</v>
      </c>
      <c r="B7" t="s">
        <v>11</v>
      </c>
      <c r="C7" t="s">
        <v>11</v>
      </c>
      <c r="D7">
        <v>3</v>
      </c>
      <c r="E7" t="s">
        <v>17</v>
      </c>
      <c r="F7" t="s">
        <v>15</v>
      </c>
      <c r="G7">
        <v>0.72868355532523599</v>
      </c>
      <c r="H7">
        <v>3.5628748279743001E-2</v>
      </c>
      <c r="I7" t="s">
        <v>14</v>
      </c>
      <c r="J7">
        <v>1.84807300567626</v>
      </c>
    </row>
    <row r="8" spans="1:10" x14ac:dyDescent="0.2">
      <c r="A8" t="s">
        <v>10</v>
      </c>
      <c r="B8" t="s">
        <v>11</v>
      </c>
      <c r="C8" t="s">
        <v>11</v>
      </c>
      <c r="D8">
        <v>4</v>
      </c>
      <c r="E8" t="s">
        <v>18</v>
      </c>
      <c r="F8" t="s">
        <v>13</v>
      </c>
      <c r="G8">
        <v>0.73824245757385198</v>
      </c>
      <c r="H8">
        <v>0</v>
      </c>
      <c r="I8" t="s">
        <v>14</v>
      </c>
      <c r="J8">
        <v>5.4774045944213798E-2</v>
      </c>
    </row>
    <row r="9" spans="1:10" x14ac:dyDescent="0.2">
      <c r="A9" t="s">
        <v>10</v>
      </c>
      <c r="B9" t="s">
        <v>11</v>
      </c>
      <c r="C9" t="s">
        <v>11</v>
      </c>
      <c r="D9">
        <v>4</v>
      </c>
      <c r="E9" t="s">
        <v>18</v>
      </c>
      <c r="F9" t="s">
        <v>15</v>
      </c>
      <c r="G9">
        <v>0.72754762778555504</v>
      </c>
      <c r="H9">
        <v>4.0883211713833197E-2</v>
      </c>
      <c r="I9" t="s">
        <v>14</v>
      </c>
      <c r="J9">
        <v>0.63232111930847101</v>
      </c>
    </row>
    <row r="10" spans="1:10" x14ac:dyDescent="0.2">
      <c r="A10" t="s">
        <v>10</v>
      </c>
      <c r="B10" t="s">
        <v>11</v>
      </c>
      <c r="C10" t="s">
        <v>11</v>
      </c>
      <c r="D10">
        <v>5</v>
      </c>
      <c r="E10" t="s">
        <v>19</v>
      </c>
      <c r="F10" t="s">
        <v>13</v>
      </c>
      <c r="G10">
        <v>0.73205989980822594</v>
      </c>
      <c r="H10">
        <v>0</v>
      </c>
      <c r="I10" t="s">
        <v>14</v>
      </c>
      <c r="J10">
        <v>8.1265926361083901E-2</v>
      </c>
    </row>
    <row r="11" spans="1:10" x14ac:dyDescent="0.2">
      <c r="A11" t="s">
        <v>10</v>
      </c>
      <c r="B11" t="s">
        <v>11</v>
      </c>
      <c r="C11" t="s">
        <v>11</v>
      </c>
      <c r="D11">
        <v>5</v>
      </c>
      <c r="E11" t="s">
        <v>19</v>
      </c>
      <c r="F11" t="s">
        <v>15</v>
      </c>
      <c r="G11">
        <v>0.746914189267878</v>
      </c>
      <c r="H11">
        <v>4.6171272579404003E-2</v>
      </c>
      <c r="I11" t="s">
        <v>14</v>
      </c>
      <c r="J11">
        <v>1.1371769905090301</v>
      </c>
    </row>
    <row r="12" spans="1:10" x14ac:dyDescent="0.2">
      <c r="A12" t="s">
        <v>10</v>
      </c>
      <c r="B12" t="s">
        <v>11</v>
      </c>
      <c r="C12" t="s">
        <v>11</v>
      </c>
      <c r="D12">
        <v>6</v>
      </c>
      <c r="E12" t="s">
        <v>20</v>
      </c>
      <c r="F12" t="s">
        <v>13</v>
      </c>
      <c r="G12">
        <v>0.71331316781898102</v>
      </c>
      <c r="H12">
        <v>0</v>
      </c>
      <c r="I12" t="s">
        <v>14</v>
      </c>
      <c r="J12">
        <v>0.10065793991088801</v>
      </c>
    </row>
    <row r="13" spans="1:10" x14ac:dyDescent="0.2">
      <c r="A13" t="s">
        <v>10</v>
      </c>
      <c r="B13" t="s">
        <v>11</v>
      </c>
      <c r="C13" t="s">
        <v>11</v>
      </c>
      <c r="D13">
        <v>6</v>
      </c>
      <c r="E13" t="s">
        <v>20</v>
      </c>
      <c r="F13" t="s">
        <v>15</v>
      </c>
      <c r="G13">
        <v>0.75020760442151402</v>
      </c>
      <c r="H13">
        <v>3.4160233225754601E-2</v>
      </c>
      <c r="I13" t="s">
        <v>14</v>
      </c>
      <c r="J13">
        <v>1.6207320690155</v>
      </c>
    </row>
    <row r="14" spans="1:10" x14ac:dyDescent="0.2">
      <c r="A14" t="s">
        <v>10</v>
      </c>
      <c r="B14" t="s">
        <v>11</v>
      </c>
      <c r="C14" t="s">
        <v>11</v>
      </c>
      <c r="D14">
        <v>7</v>
      </c>
      <c r="E14" t="s">
        <v>21</v>
      </c>
      <c r="F14" t="s">
        <v>13</v>
      </c>
      <c r="G14">
        <v>0.68838014395243297</v>
      </c>
      <c r="H14">
        <v>0</v>
      </c>
      <c r="I14" t="s">
        <v>14</v>
      </c>
      <c r="J14">
        <v>2.7738809585571199E-2</v>
      </c>
    </row>
    <row r="15" spans="1:10" x14ac:dyDescent="0.2">
      <c r="A15" t="s">
        <v>10</v>
      </c>
      <c r="B15" t="s">
        <v>11</v>
      </c>
      <c r="C15" t="s">
        <v>11</v>
      </c>
      <c r="D15">
        <v>7</v>
      </c>
      <c r="E15" t="s">
        <v>21</v>
      </c>
      <c r="F15" t="s">
        <v>15</v>
      </c>
      <c r="G15">
        <v>0.71933507712313205</v>
      </c>
      <c r="H15">
        <v>3.5105351655196598E-2</v>
      </c>
      <c r="I15" t="s">
        <v>14</v>
      </c>
      <c r="J15">
        <v>0.37841200828552202</v>
      </c>
    </row>
    <row r="16" spans="1:10" x14ac:dyDescent="0.2">
      <c r="A16" t="s">
        <v>10</v>
      </c>
      <c r="B16" t="s">
        <v>11</v>
      </c>
      <c r="C16" t="s">
        <v>11</v>
      </c>
      <c r="D16">
        <v>8</v>
      </c>
      <c r="E16" t="s">
        <v>22</v>
      </c>
      <c r="F16" t="s">
        <v>13</v>
      </c>
      <c r="G16">
        <v>0.70718239351071699</v>
      </c>
      <c r="H16">
        <v>0</v>
      </c>
      <c r="I16" t="s">
        <v>14</v>
      </c>
      <c r="J16">
        <v>4.3839216232299798E-2</v>
      </c>
    </row>
    <row r="17" spans="1:10" x14ac:dyDescent="0.2">
      <c r="A17" t="s">
        <v>10</v>
      </c>
      <c r="B17" t="s">
        <v>11</v>
      </c>
      <c r="C17" t="s">
        <v>11</v>
      </c>
      <c r="D17">
        <v>8</v>
      </c>
      <c r="E17" t="s">
        <v>22</v>
      </c>
      <c r="F17" t="s">
        <v>15</v>
      </c>
      <c r="G17">
        <v>0.72215137874130597</v>
      </c>
      <c r="H17">
        <v>3.3733069474528102E-2</v>
      </c>
      <c r="I17" t="s">
        <v>14</v>
      </c>
      <c r="J17">
        <v>0.65002894401550204</v>
      </c>
    </row>
    <row r="18" spans="1:10" x14ac:dyDescent="0.2">
      <c r="A18" t="s">
        <v>10</v>
      </c>
      <c r="B18" t="s">
        <v>11</v>
      </c>
      <c r="C18" t="s">
        <v>11</v>
      </c>
      <c r="D18">
        <v>9</v>
      </c>
      <c r="E18" t="s">
        <v>23</v>
      </c>
      <c r="F18" t="s">
        <v>13</v>
      </c>
      <c r="G18">
        <v>0.71959756956674803</v>
      </c>
      <c r="H18">
        <v>0</v>
      </c>
      <c r="I18" t="s">
        <v>14</v>
      </c>
      <c r="J18">
        <v>5.55231571197509E-2</v>
      </c>
    </row>
    <row r="19" spans="1:10" x14ac:dyDescent="0.2">
      <c r="A19" t="s">
        <v>10</v>
      </c>
      <c r="B19" t="s">
        <v>11</v>
      </c>
      <c r="C19" t="s">
        <v>11</v>
      </c>
      <c r="D19">
        <v>9</v>
      </c>
      <c r="E19" t="s">
        <v>23</v>
      </c>
      <c r="F19" t="s">
        <v>15</v>
      </c>
      <c r="G19">
        <v>0.70505075240468496</v>
      </c>
      <c r="H19">
        <v>3.7600153730856602E-2</v>
      </c>
      <c r="I19" t="s">
        <v>14</v>
      </c>
      <c r="J19">
        <v>0.86319208145141602</v>
      </c>
    </row>
    <row r="20" spans="1:10" x14ac:dyDescent="0.2">
      <c r="A20" t="s">
        <v>10</v>
      </c>
      <c r="B20" t="s">
        <v>11</v>
      </c>
      <c r="C20" t="s">
        <v>11</v>
      </c>
      <c r="D20">
        <v>10</v>
      </c>
      <c r="E20" t="s">
        <v>24</v>
      </c>
      <c r="F20" t="s">
        <v>13</v>
      </c>
      <c r="G20">
        <v>0.75606650421966004</v>
      </c>
      <c r="H20">
        <v>0</v>
      </c>
      <c r="I20" t="s">
        <v>14</v>
      </c>
      <c r="J20">
        <v>1.64777183532714</v>
      </c>
    </row>
    <row r="21" spans="1:10" x14ac:dyDescent="0.2">
      <c r="A21" t="s">
        <v>10</v>
      </c>
      <c r="B21" t="s">
        <v>11</v>
      </c>
      <c r="C21" t="s">
        <v>11</v>
      </c>
      <c r="D21">
        <v>10</v>
      </c>
      <c r="E21" t="s">
        <v>24</v>
      </c>
      <c r="F21" t="s">
        <v>15</v>
      </c>
      <c r="G21">
        <v>0.77984960401929704</v>
      </c>
      <c r="H21">
        <v>4.4213380818776502E-2</v>
      </c>
      <c r="I21" t="s">
        <v>14</v>
      </c>
      <c r="J21">
        <v>31.551607131958001</v>
      </c>
    </row>
    <row r="22" spans="1:10" x14ac:dyDescent="0.2">
      <c r="A22" t="s">
        <v>10</v>
      </c>
      <c r="B22" t="s">
        <v>11</v>
      </c>
      <c r="C22" t="s">
        <v>11</v>
      </c>
      <c r="D22">
        <v>11</v>
      </c>
      <c r="E22" t="s">
        <v>25</v>
      </c>
      <c r="F22" t="s">
        <v>13</v>
      </c>
      <c r="G22">
        <v>0.786755454690237</v>
      </c>
      <c r="H22">
        <v>0</v>
      </c>
      <c r="I22" t="s">
        <v>14</v>
      </c>
      <c r="J22">
        <v>3.4775700569152801</v>
      </c>
    </row>
    <row r="23" spans="1:10" x14ac:dyDescent="0.2">
      <c r="A23" t="s">
        <v>10</v>
      </c>
      <c r="B23" t="s">
        <v>11</v>
      </c>
      <c r="C23" t="s">
        <v>11</v>
      </c>
      <c r="D23">
        <v>11</v>
      </c>
      <c r="E23" t="s">
        <v>25</v>
      </c>
      <c r="F23" t="s">
        <v>15</v>
      </c>
      <c r="G23">
        <v>0.79372542264597501</v>
      </c>
      <c r="H23">
        <v>3.8545305369711798E-2</v>
      </c>
      <c r="I23" t="s">
        <v>14</v>
      </c>
      <c r="J23">
        <v>63.597707033157299</v>
      </c>
    </row>
    <row r="24" spans="1:10" x14ac:dyDescent="0.2">
      <c r="A24" t="s">
        <v>10</v>
      </c>
      <c r="B24" t="s">
        <v>11</v>
      </c>
      <c r="C24" t="s">
        <v>11</v>
      </c>
      <c r="D24">
        <v>12</v>
      </c>
      <c r="E24" t="s">
        <v>26</v>
      </c>
      <c r="F24" t="s">
        <v>13</v>
      </c>
      <c r="G24">
        <v>0.77528409090909001</v>
      </c>
      <c r="H24">
        <v>0</v>
      </c>
      <c r="I24" t="s">
        <v>14</v>
      </c>
      <c r="J24">
        <v>5.45424103736877</v>
      </c>
    </row>
    <row r="25" spans="1:10" x14ac:dyDescent="0.2">
      <c r="A25" t="s">
        <v>10</v>
      </c>
      <c r="B25" t="s">
        <v>11</v>
      </c>
      <c r="C25" t="s">
        <v>11</v>
      </c>
      <c r="D25">
        <v>12</v>
      </c>
      <c r="E25" t="s">
        <v>26</v>
      </c>
      <c r="F25" t="s">
        <v>15</v>
      </c>
      <c r="G25">
        <v>0.78234771207136</v>
      </c>
      <c r="H25">
        <v>2.7237162148255601E-2</v>
      </c>
      <c r="I25" t="s">
        <v>14</v>
      </c>
      <c r="J25">
        <v>95.972770214080796</v>
      </c>
    </row>
    <row r="26" spans="1:10" x14ac:dyDescent="0.2">
      <c r="A26" t="s">
        <v>10</v>
      </c>
      <c r="B26" t="s">
        <v>27</v>
      </c>
      <c r="C26" t="s">
        <v>27</v>
      </c>
      <c r="D26">
        <v>1</v>
      </c>
      <c r="E26" t="s">
        <v>28</v>
      </c>
      <c r="F26" t="s">
        <v>13</v>
      </c>
      <c r="G26">
        <v>0.74440495851519795</v>
      </c>
      <c r="H26">
        <v>0</v>
      </c>
      <c r="I26" t="s">
        <v>14</v>
      </c>
      <c r="J26">
        <v>9.5932960510253906E-2</v>
      </c>
    </row>
    <row r="27" spans="1:10" x14ac:dyDescent="0.2">
      <c r="A27" t="s">
        <v>10</v>
      </c>
      <c r="B27" t="s">
        <v>27</v>
      </c>
      <c r="C27" t="s">
        <v>27</v>
      </c>
      <c r="D27">
        <v>1</v>
      </c>
      <c r="E27" t="s">
        <v>28</v>
      </c>
      <c r="F27" t="s">
        <v>15</v>
      </c>
      <c r="G27">
        <v>0.744793491724551</v>
      </c>
      <c r="H27">
        <v>5.5748839090101102E-2</v>
      </c>
      <c r="I27" t="s">
        <v>14</v>
      </c>
      <c r="J27">
        <v>1.60715532302856</v>
      </c>
    </row>
    <row r="28" spans="1:10" x14ac:dyDescent="0.2">
      <c r="A28" t="s">
        <v>10</v>
      </c>
      <c r="B28" t="s">
        <v>27</v>
      </c>
      <c r="C28" t="s">
        <v>27</v>
      </c>
      <c r="D28">
        <v>2</v>
      </c>
      <c r="E28" t="s">
        <v>29</v>
      </c>
      <c r="F28" t="s">
        <v>13</v>
      </c>
      <c r="G28">
        <v>0.74456336455190197</v>
      </c>
      <c r="H28">
        <v>0</v>
      </c>
      <c r="I28" t="s">
        <v>14</v>
      </c>
      <c r="J28">
        <v>9.0823173522949205E-2</v>
      </c>
    </row>
    <row r="29" spans="1:10" x14ac:dyDescent="0.2">
      <c r="A29" t="s">
        <v>10</v>
      </c>
      <c r="B29" t="s">
        <v>27</v>
      </c>
      <c r="C29" t="s">
        <v>27</v>
      </c>
      <c r="D29">
        <v>2</v>
      </c>
      <c r="E29" t="s">
        <v>29</v>
      </c>
      <c r="F29" t="s">
        <v>15</v>
      </c>
      <c r="G29">
        <v>0.73542184590743298</v>
      </c>
      <c r="H29">
        <v>4.3294481526964197E-2</v>
      </c>
      <c r="I29" t="s">
        <v>14</v>
      </c>
      <c r="J29">
        <v>1.6390628814697199</v>
      </c>
    </row>
    <row r="30" spans="1:10" x14ac:dyDescent="0.2">
      <c r="A30" t="s">
        <v>10</v>
      </c>
      <c r="B30" t="s">
        <v>27</v>
      </c>
      <c r="C30" t="s">
        <v>27</v>
      </c>
      <c r="D30">
        <v>3</v>
      </c>
      <c r="E30" t="s">
        <v>30</v>
      </c>
      <c r="F30" t="s">
        <v>13</v>
      </c>
      <c r="G30">
        <v>0.71340068922305699</v>
      </c>
      <c r="H30">
        <v>0</v>
      </c>
      <c r="I30" t="s">
        <v>14</v>
      </c>
      <c r="J30">
        <v>9.2965841293334905E-2</v>
      </c>
    </row>
    <row r="31" spans="1:10" x14ac:dyDescent="0.2">
      <c r="A31" t="s">
        <v>10</v>
      </c>
      <c r="B31" t="s">
        <v>27</v>
      </c>
      <c r="C31" t="s">
        <v>27</v>
      </c>
      <c r="D31">
        <v>3</v>
      </c>
      <c r="E31" t="s">
        <v>30</v>
      </c>
      <c r="F31" t="s">
        <v>15</v>
      </c>
      <c r="G31">
        <v>0.73799387445322495</v>
      </c>
      <c r="H31">
        <v>4.22628291526808E-2</v>
      </c>
      <c r="I31" t="s">
        <v>14</v>
      </c>
      <c r="J31">
        <v>1.59663009643554</v>
      </c>
    </row>
    <row r="32" spans="1:10" x14ac:dyDescent="0.2">
      <c r="A32" t="s">
        <v>10</v>
      </c>
      <c r="B32" t="s">
        <v>27</v>
      </c>
      <c r="C32" t="s">
        <v>27</v>
      </c>
      <c r="D32">
        <v>4</v>
      </c>
      <c r="E32" t="s">
        <v>31</v>
      </c>
      <c r="F32" t="s">
        <v>13</v>
      </c>
      <c r="G32">
        <v>0.67601960784313697</v>
      </c>
      <c r="H32">
        <v>0</v>
      </c>
      <c r="I32" t="s">
        <v>14</v>
      </c>
      <c r="J32">
        <v>9.2242956161498996E-2</v>
      </c>
    </row>
    <row r="33" spans="1:10" x14ac:dyDescent="0.2">
      <c r="A33" t="s">
        <v>10</v>
      </c>
      <c r="B33" t="s">
        <v>27</v>
      </c>
      <c r="C33" t="s">
        <v>27</v>
      </c>
      <c r="D33">
        <v>4</v>
      </c>
      <c r="E33" t="s">
        <v>31</v>
      </c>
      <c r="F33" t="s">
        <v>15</v>
      </c>
      <c r="G33">
        <v>0.73672918847765001</v>
      </c>
      <c r="H33">
        <v>3.3948755870273899E-2</v>
      </c>
      <c r="I33" t="s">
        <v>14</v>
      </c>
      <c r="J33">
        <v>1.61759209632873</v>
      </c>
    </row>
    <row r="34" spans="1:10" x14ac:dyDescent="0.2">
      <c r="A34" t="s">
        <v>10</v>
      </c>
      <c r="B34" t="s">
        <v>27</v>
      </c>
      <c r="C34" t="s">
        <v>27</v>
      </c>
      <c r="D34">
        <v>5</v>
      </c>
      <c r="E34" t="s">
        <v>32</v>
      </c>
      <c r="F34" t="s">
        <v>13</v>
      </c>
      <c r="G34">
        <v>0.75698663605322003</v>
      </c>
      <c r="H34">
        <v>0</v>
      </c>
      <c r="I34" t="s">
        <v>14</v>
      </c>
      <c r="J34">
        <v>9.5652103424072196E-2</v>
      </c>
    </row>
    <row r="35" spans="1:10" x14ac:dyDescent="0.2">
      <c r="A35" t="s">
        <v>10</v>
      </c>
      <c r="B35" t="s">
        <v>27</v>
      </c>
      <c r="C35" t="s">
        <v>27</v>
      </c>
      <c r="D35">
        <v>5</v>
      </c>
      <c r="E35" t="s">
        <v>32</v>
      </c>
      <c r="F35" t="s">
        <v>15</v>
      </c>
      <c r="G35">
        <v>0.75764567392477</v>
      </c>
      <c r="H35">
        <v>3.5120761112026298E-2</v>
      </c>
      <c r="I35" t="s">
        <v>14</v>
      </c>
      <c r="J35">
        <v>1.6326918601989699</v>
      </c>
    </row>
    <row r="36" spans="1:10" x14ac:dyDescent="0.2">
      <c r="A36" t="s">
        <v>10</v>
      </c>
      <c r="B36" t="s">
        <v>27</v>
      </c>
      <c r="C36" t="s">
        <v>27</v>
      </c>
      <c r="D36">
        <v>6</v>
      </c>
      <c r="E36" t="s">
        <v>33</v>
      </c>
      <c r="F36" t="s">
        <v>13</v>
      </c>
      <c r="G36">
        <v>0.76324404761904696</v>
      </c>
      <c r="H36">
        <v>0</v>
      </c>
      <c r="I36" t="s">
        <v>14</v>
      </c>
      <c r="J36">
        <v>8.8942050933837793E-2</v>
      </c>
    </row>
    <row r="37" spans="1:10" x14ac:dyDescent="0.2">
      <c r="A37" t="s">
        <v>10</v>
      </c>
      <c r="B37" t="s">
        <v>27</v>
      </c>
      <c r="C37" t="s">
        <v>27</v>
      </c>
      <c r="D37">
        <v>6</v>
      </c>
      <c r="E37" t="s">
        <v>33</v>
      </c>
      <c r="F37" t="s">
        <v>15</v>
      </c>
      <c r="G37">
        <v>0.74386058622243301</v>
      </c>
      <c r="H37">
        <v>3.6932664308748399E-2</v>
      </c>
      <c r="I37" t="s">
        <v>14</v>
      </c>
      <c r="J37">
        <v>1.63228106498718</v>
      </c>
    </row>
    <row r="38" spans="1:10" x14ac:dyDescent="0.2">
      <c r="A38" t="s">
        <v>10</v>
      </c>
      <c r="B38" t="s">
        <v>27</v>
      </c>
      <c r="C38" t="s">
        <v>27</v>
      </c>
      <c r="D38">
        <v>7</v>
      </c>
      <c r="E38" t="s">
        <v>34</v>
      </c>
      <c r="F38" t="s">
        <v>13</v>
      </c>
      <c r="G38">
        <v>0.70718239351071699</v>
      </c>
      <c r="H38">
        <v>0</v>
      </c>
      <c r="I38" t="s">
        <v>14</v>
      </c>
      <c r="J38">
        <v>9.4287872314453097E-2</v>
      </c>
    </row>
    <row r="39" spans="1:10" x14ac:dyDescent="0.2">
      <c r="A39" t="s">
        <v>10</v>
      </c>
      <c r="B39" t="s">
        <v>27</v>
      </c>
      <c r="C39" t="s">
        <v>27</v>
      </c>
      <c r="D39">
        <v>7</v>
      </c>
      <c r="E39" t="s">
        <v>34</v>
      </c>
      <c r="F39" t="s">
        <v>15</v>
      </c>
      <c r="G39">
        <v>0.73532522897187302</v>
      </c>
      <c r="H39">
        <v>5.7893515295957099E-2</v>
      </c>
      <c r="I39" t="s">
        <v>14</v>
      </c>
      <c r="J39">
        <v>1.63243579864501</v>
      </c>
    </row>
    <row r="40" spans="1:10" x14ac:dyDescent="0.2">
      <c r="A40" t="s">
        <v>10</v>
      </c>
      <c r="B40" t="s">
        <v>27</v>
      </c>
      <c r="C40" t="s">
        <v>27</v>
      </c>
      <c r="D40">
        <v>8</v>
      </c>
      <c r="E40" t="s">
        <v>35</v>
      </c>
      <c r="F40" t="s">
        <v>13</v>
      </c>
      <c r="G40">
        <v>0.70677093596059104</v>
      </c>
      <c r="H40">
        <v>0</v>
      </c>
      <c r="I40" t="s">
        <v>14</v>
      </c>
      <c r="J40">
        <v>8.7195873260498005E-2</v>
      </c>
    </row>
    <row r="41" spans="1:10" x14ac:dyDescent="0.2">
      <c r="A41" t="s">
        <v>10</v>
      </c>
      <c r="B41" t="s">
        <v>27</v>
      </c>
      <c r="C41" t="s">
        <v>27</v>
      </c>
      <c r="D41">
        <v>8</v>
      </c>
      <c r="E41" t="s">
        <v>35</v>
      </c>
      <c r="F41" t="s">
        <v>15</v>
      </c>
      <c r="G41">
        <v>0.73792929173265798</v>
      </c>
      <c r="H41">
        <v>4.0424532667026801E-2</v>
      </c>
      <c r="I41" t="s">
        <v>14</v>
      </c>
      <c r="J41">
        <v>1.6474628448486299</v>
      </c>
    </row>
    <row r="42" spans="1:10" x14ac:dyDescent="0.2">
      <c r="A42" t="s">
        <v>10</v>
      </c>
      <c r="B42" t="s">
        <v>27</v>
      </c>
      <c r="C42" t="s">
        <v>27</v>
      </c>
      <c r="D42">
        <v>9</v>
      </c>
      <c r="E42" t="s">
        <v>36</v>
      </c>
      <c r="F42" t="s">
        <v>13</v>
      </c>
      <c r="G42">
        <v>0.71330973243623796</v>
      </c>
      <c r="H42">
        <v>0</v>
      </c>
      <c r="I42" t="s">
        <v>14</v>
      </c>
      <c r="J42">
        <v>9.0810060501098605E-2</v>
      </c>
    </row>
    <row r="43" spans="1:10" x14ac:dyDescent="0.2">
      <c r="A43" t="s">
        <v>10</v>
      </c>
      <c r="B43" t="s">
        <v>27</v>
      </c>
      <c r="C43" t="s">
        <v>27</v>
      </c>
      <c r="D43">
        <v>9</v>
      </c>
      <c r="E43" t="s">
        <v>36</v>
      </c>
      <c r="F43" t="s">
        <v>15</v>
      </c>
      <c r="G43">
        <v>0.73893865063418096</v>
      </c>
      <c r="H43">
        <v>3.86718845318006E-2</v>
      </c>
      <c r="I43" t="s">
        <v>14</v>
      </c>
      <c r="J43">
        <v>1.6631400585174501</v>
      </c>
    </row>
    <row r="44" spans="1:10" x14ac:dyDescent="0.2">
      <c r="A44" t="s">
        <v>10</v>
      </c>
      <c r="B44" t="s">
        <v>27</v>
      </c>
      <c r="C44" t="s">
        <v>27</v>
      </c>
      <c r="D44">
        <v>10</v>
      </c>
      <c r="E44" t="s">
        <v>37</v>
      </c>
      <c r="F44" t="s">
        <v>13</v>
      </c>
      <c r="G44">
        <v>0.70084852294154598</v>
      </c>
      <c r="H44">
        <v>0</v>
      </c>
      <c r="I44" t="s">
        <v>14</v>
      </c>
      <c r="J44">
        <v>9.54868793487548E-2</v>
      </c>
    </row>
    <row r="45" spans="1:10" x14ac:dyDescent="0.2">
      <c r="A45" t="s">
        <v>10</v>
      </c>
      <c r="B45" t="s">
        <v>27</v>
      </c>
      <c r="C45" t="s">
        <v>27</v>
      </c>
      <c r="D45">
        <v>10</v>
      </c>
      <c r="E45" t="s">
        <v>37</v>
      </c>
      <c r="F45" t="s">
        <v>15</v>
      </c>
      <c r="G45">
        <v>0.75147452927563496</v>
      </c>
      <c r="H45">
        <v>4.1260582614928501E-2</v>
      </c>
      <c r="I45" t="s">
        <v>14</v>
      </c>
      <c r="J45">
        <v>1.6144819259643499</v>
      </c>
    </row>
    <row r="46" spans="1:10" x14ac:dyDescent="0.2">
      <c r="A46" t="s">
        <v>10</v>
      </c>
      <c r="B46" t="s">
        <v>27</v>
      </c>
      <c r="C46" t="s">
        <v>27</v>
      </c>
      <c r="D46">
        <v>11</v>
      </c>
      <c r="E46" t="s">
        <v>38</v>
      </c>
      <c r="F46" t="s">
        <v>13</v>
      </c>
      <c r="G46">
        <v>0.72577781269641695</v>
      </c>
      <c r="H46">
        <v>0</v>
      </c>
      <c r="I46" t="s">
        <v>14</v>
      </c>
      <c r="J46">
        <v>8.9813947677612305E-2</v>
      </c>
    </row>
    <row r="47" spans="1:10" x14ac:dyDescent="0.2">
      <c r="A47" t="s">
        <v>10</v>
      </c>
      <c r="B47" t="s">
        <v>27</v>
      </c>
      <c r="C47" t="s">
        <v>27</v>
      </c>
      <c r="D47">
        <v>11</v>
      </c>
      <c r="E47" t="s">
        <v>38</v>
      </c>
      <c r="F47" t="s">
        <v>15</v>
      </c>
      <c r="G47">
        <v>0.74635529163247605</v>
      </c>
      <c r="H47">
        <v>4.87078248491883E-2</v>
      </c>
      <c r="I47" t="s">
        <v>14</v>
      </c>
      <c r="J47">
        <v>1.6535060405731199</v>
      </c>
    </row>
    <row r="48" spans="1:10" x14ac:dyDescent="0.2">
      <c r="A48" t="s">
        <v>10</v>
      </c>
      <c r="B48" t="s">
        <v>27</v>
      </c>
      <c r="C48" t="s">
        <v>27</v>
      </c>
      <c r="D48">
        <v>12</v>
      </c>
      <c r="E48" t="s">
        <v>39</v>
      </c>
      <c r="F48" t="s">
        <v>13</v>
      </c>
      <c r="G48">
        <v>0.73783143939393903</v>
      </c>
      <c r="H48">
        <v>0</v>
      </c>
      <c r="I48" t="s">
        <v>14</v>
      </c>
      <c r="J48">
        <v>9.2460155487060505E-2</v>
      </c>
    </row>
    <row r="49" spans="1:10" x14ac:dyDescent="0.2">
      <c r="A49" t="s">
        <v>10</v>
      </c>
      <c r="B49" t="s">
        <v>27</v>
      </c>
      <c r="C49" t="s">
        <v>27</v>
      </c>
      <c r="D49">
        <v>12</v>
      </c>
      <c r="E49" t="s">
        <v>39</v>
      </c>
      <c r="F49" t="s">
        <v>15</v>
      </c>
      <c r="G49">
        <v>0.73497998447403201</v>
      </c>
      <c r="H49">
        <v>4.7745474137889501E-2</v>
      </c>
      <c r="I49" t="s">
        <v>14</v>
      </c>
      <c r="J49">
        <v>1.63584184646606</v>
      </c>
    </row>
    <row r="50" spans="1:10" x14ac:dyDescent="0.2">
      <c r="A50" t="s">
        <v>10</v>
      </c>
      <c r="B50" t="s">
        <v>40</v>
      </c>
      <c r="C50" t="s">
        <v>40</v>
      </c>
      <c r="D50">
        <v>1</v>
      </c>
      <c r="E50" t="s">
        <v>41</v>
      </c>
      <c r="F50" t="s">
        <v>13</v>
      </c>
      <c r="G50">
        <v>0.79230480480480403</v>
      </c>
      <c r="H50">
        <v>0</v>
      </c>
      <c r="I50" t="s">
        <v>14</v>
      </c>
      <c r="J50">
        <v>0.264409780502319</v>
      </c>
    </row>
    <row r="51" spans="1:10" x14ac:dyDescent="0.2">
      <c r="A51" t="s">
        <v>10</v>
      </c>
      <c r="B51" t="s">
        <v>40</v>
      </c>
      <c r="C51" t="s">
        <v>40</v>
      </c>
      <c r="D51">
        <v>1</v>
      </c>
      <c r="E51" t="s">
        <v>41</v>
      </c>
      <c r="F51" t="s">
        <v>15</v>
      </c>
      <c r="G51">
        <v>0.78269021953567397</v>
      </c>
      <c r="H51">
        <v>5.0440261950311399E-2</v>
      </c>
      <c r="I51" t="s">
        <v>14</v>
      </c>
      <c r="J51">
        <v>6.8829648494720397</v>
      </c>
    </row>
    <row r="52" spans="1:10" x14ac:dyDescent="0.2">
      <c r="A52" t="s">
        <v>10</v>
      </c>
      <c r="B52" t="s">
        <v>40</v>
      </c>
      <c r="C52" t="s">
        <v>40</v>
      </c>
      <c r="D52">
        <v>2</v>
      </c>
      <c r="E52" t="s">
        <v>42</v>
      </c>
      <c r="F52" t="s">
        <v>13</v>
      </c>
      <c r="G52">
        <v>0.77971721721721698</v>
      </c>
      <c r="H52">
        <v>0</v>
      </c>
      <c r="I52" t="s">
        <v>14</v>
      </c>
      <c r="J52">
        <v>0.41133308410644498</v>
      </c>
    </row>
    <row r="53" spans="1:10" x14ac:dyDescent="0.2">
      <c r="A53" t="s">
        <v>10</v>
      </c>
      <c r="B53" t="s">
        <v>40</v>
      </c>
      <c r="C53" t="s">
        <v>40</v>
      </c>
      <c r="D53">
        <v>2</v>
      </c>
      <c r="E53" t="s">
        <v>42</v>
      </c>
      <c r="F53" t="s">
        <v>15</v>
      </c>
      <c r="G53">
        <v>0.79120434406368301</v>
      </c>
      <c r="H53">
        <v>3.3731854400850997E-2</v>
      </c>
      <c r="I53" t="s">
        <v>14</v>
      </c>
      <c r="J53">
        <v>8.5856239795684797</v>
      </c>
    </row>
    <row r="54" spans="1:10" x14ac:dyDescent="0.2">
      <c r="A54" t="s">
        <v>10</v>
      </c>
      <c r="B54" t="s">
        <v>40</v>
      </c>
      <c r="C54" t="s">
        <v>40</v>
      </c>
      <c r="D54">
        <v>3</v>
      </c>
      <c r="E54" t="s">
        <v>43</v>
      </c>
      <c r="F54" t="s">
        <v>13</v>
      </c>
      <c r="G54">
        <v>0.81791861114435005</v>
      </c>
      <c r="H54">
        <v>0</v>
      </c>
      <c r="I54" t="s">
        <v>14</v>
      </c>
      <c r="J54">
        <v>0.58051323890686002</v>
      </c>
    </row>
    <row r="55" spans="1:10" x14ac:dyDescent="0.2">
      <c r="A55" t="s">
        <v>10</v>
      </c>
      <c r="B55" t="s">
        <v>40</v>
      </c>
      <c r="C55" t="s">
        <v>40</v>
      </c>
      <c r="D55">
        <v>3</v>
      </c>
      <c r="E55" t="s">
        <v>43</v>
      </c>
      <c r="F55" t="s">
        <v>15</v>
      </c>
      <c r="G55">
        <v>0.79750927048613196</v>
      </c>
      <c r="H55">
        <v>3.7581399518288698E-2</v>
      </c>
      <c r="I55" t="s">
        <v>14</v>
      </c>
      <c r="J55">
        <v>10.657071113586399</v>
      </c>
    </row>
    <row r="56" spans="1:10" x14ac:dyDescent="0.2">
      <c r="A56" t="s">
        <v>10</v>
      </c>
      <c r="B56" t="s">
        <v>40</v>
      </c>
      <c r="C56" t="s">
        <v>40</v>
      </c>
      <c r="D56">
        <v>4</v>
      </c>
      <c r="E56" t="s">
        <v>44</v>
      </c>
      <c r="F56" t="s">
        <v>13</v>
      </c>
      <c r="G56">
        <v>0.81038442940038602</v>
      </c>
      <c r="H56">
        <v>0</v>
      </c>
      <c r="I56" t="s">
        <v>14</v>
      </c>
      <c r="J56">
        <v>0.95503163337707497</v>
      </c>
    </row>
    <row r="57" spans="1:10" x14ac:dyDescent="0.2">
      <c r="A57" t="s">
        <v>10</v>
      </c>
      <c r="B57" t="s">
        <v>40</v>
      </c>
      <c r="C57" t="s">
        <v>40</v>
      </c>
      <c r="D57">
        <v>4</v>
      </c>
      <c r="E57" t="s">
        <v>44</v>
      </c>
      <c r="F57" t="s">
        <v>15</v>
      </c>
      <c r="G57">
        <v>0.80106770640831404</v>
      </c>
      <c r="H57">
        <v>2.5014725156786599E-2</v>
      </c>
      <c r="I57" t="s">
        <v>14</v>
      </c>
      <c r="J57">
        <v>12.485375881195001</v>
      </c>
    </row>
    <row r="58" spans="1:10" x14ac:dyDescent="0.2">
      <c r="A58" t="s">
        <v>10</v>
      </c>
      <c r="B58" t="s">
        <v>45</v>
      </c>
      <c r="C58" t="s">
        <v>45</v>
      </c>
      <c r="D58">
        <v>1</v>
      </c>
      <c r="E58" t="s">
        <v>41</v>
      </c>
      <c r="F58" t="s">
        <v>13</v>
      </c>
      <c r="G58">
        <v>0.81861355441974704</v>
      </c>
      <c r="H58">
        <v>0</v>
      </c>
      <c r="I58" t="s">
        <v>14</v>
      </c>
      <c r="J58">
        <v>1.90856909751892</v>
      </c>
    </row>
    <row r="59" spans="1:10" x14ac:dyDescent="0.2">
      <c r="A59" t="s">
        <v>10</v>
      </c>
      <c r="B59" t="s">
        <v>45</v>
      </c>
      <c r="C59" t="s">
        <v>45</v>
      </c>
      <c r="D59">
        <v>1</v>
      </c>
      <c r="E59" t="s">
        <v>41</v>
      </c>
      <c r="F59" t="s">
        <v>15</v>
      </c>
      <c r="G59">
        <v>0.78518965577909605</v>
      </c>
      <c r="H59">
        <v>3.2231605543286697E-2</v>
      </c>
      <c r="I59" t="s">
        <v>14</v>
      </c>
      <c r="J59">
        <v>30.324907064437799</v>
      </c>
    </row>
    <row r="60" spans="1:10" x14ac:dyDescent="0.2">
      <c r="A60" t="s">
        <v>10</v>
      </c>
      <c r="B60" t="s">
        <v>45</v>
      </c>
      <c r="C60" t="s">
        <v>45</v>
      </c>
      <c r="D60">
        <v>2</v>
      </c>
      <c r="E60" t="s">
        <v>42</v>
      </c>
      <c r="F60" t="s">
        <v>13</v>
      </c>
      <c r="G60">
        <v>0.76857591425967697</v>
      </c>
      <c r="H60">
        <v>0</v>
      </c>
      <c r="I60" t="s">
        <v>14</v>
      </c>
      <c r="J60">
        <v>2.1322989463806099</v>
      </c>
    </row>
    <row r="61" spans="1:10" x14ac:dyDescent="0.2">
      <c r="A61" t="s">
        <v>10</v>
      </c>
      <c r="B61" t="s">
        <v>45</v>
      </c>
      <c r="C61" t="s">
        <v>45</v>
      </c>
      <c r="D61">
        <v>2</v>
      </c>
      <c r="E61" t="s">
        <v>42</v>
      </c>
      <c r="F61" t="s">
        <v>15</v>
      </c>
      <c r="G61">
        <v>0.80625033652657796</v>
      </c>
      <c r="H61">
        <v>3.1685210038848E-2</v>
      </c>
      <c r="I61" t="s">
        <v>14</v>
      </c>
      <c r="J61">
        <v>40.388350963592501</v>
      </c>
    </row>
    <row r="62" spans="1:10" x14ac:dyDescent="0.2">
      <c r="A62" t="s">
        <v>10</v>
      </c>
      <c r="B62" t="s">
        <v>45</v>
      </c>
      <c r="C62" t="s">
        <v>45</v>
      </c>
      <c r="D62">
        <v>3</v>
      </c>
      <c r="E62" t="s">
        <v>43</v>
      </c>
      <c r="F62" t="s">
        <v>13</v>
      </c>
      <c r="G62">
        <v>0.77500000000000002</v>
      </c>
      <c r="H62">
        <v>0</v>
      </c>
      <c r="I62" t="s">
        <v>14</v>
      </c>
      <c r="J62">
        <v>2.8536629676818799</v>
      </c>
    </row>
    <row r="63" spans="1:10" x14ac:dyDescent="0.2">
      <c r="A63" t="s">
        <v>10</v>
      </c>
      <c r="B63" t="s">
        <v>45</v>
      </c>
      <c r="C63" t="s">
        <v>45</v>
      </c>
      <c r="D63">
        <v>3</v>
      </c>
      <c r="E63" t="s">
        <v>43</v>
      </c>
      <c r="F63" t="s">
        <v>15</v>
      </c>
      <c r="G63">
        <v>0.80242410979961798</v>
      </c>
      <c r="H63">
        <v>2.3977121583192498E-2</v>
      </c>
      <c r="I63" t="s">
        <v>14</v>
      </c>
      <c r="J63">
        <v>52.192323923110898</v>
      </c>
    </row>
    <row r="64" spans="1:10" x14ac:dyDescent="0.2">
      <c r="A64" t="s">
        <v>10</v>
      </c>
      <c r="B64" t="s">
        <v>45</v>
      </c>
      <c r="C64" t="s">
        <v>45</v>
      </c>
      <c r="D64">
        <v>4</v>
      </c>
      <c r="E64" t="s">
        <v>44</v>
      </c>
      <c r="F64" t="s">
        <v>13</v>
      </c>
      <c r="G64">
        <v>0.76934106012347103</v>
      </c>
      <c r="H64">
        <v>0</v>
      </c>
      <c r="I64" t="s">
        <v>14</v>
      </c>
      <c r="J64">
        <v>3.6223940849304199</v>
      </c>
    </row>
    <row r="65" spans="1:10" x14ac:dyDescent="0.2">
      <c r="A65" t="s">
        <v>10</v>
      </c>
      <c r="B65" t="s">
        <v>45</v>
      </c>
      <c r="C65" t="s">
        <v>45</v>
      </c>
      <c r="D65">
        <v>4</v>
      </c>
      <c r="E65" t="s">
        <v>44</v>
      </c>
      <c r="F65" t="s">
        <v>15</v>
      </c>
      <c r="G65">
        <v>0.78883304663332698</v>
      </c>
      <c r="H65">
        <v>3.93531253600303E-2</v>
      </c>
      <c r="I65" t="s">
        <v>14</v>
      </c>
      <c r="J65">
        <v>66.611352205276404</v>
      </c>
    </row>
    <row r="66" spans="1:10" x14ac:dyDescent="0.2">
      <c r="A66" t="s">
        <v>46</v>
      </c>
      <c r="B66" t="s">
        <v>11</v>
      </c>
      <c r="C66" t="s">
        <v>11</v>
      </c>
      <c r="D66">
        <v>1</v>
      </c>
      <c r="E66" t="s">
        <v>12</v>
      </c>
      <c r="F66" t="s">
        <v>13</v>
      </c>
      <c r="G66">
        <v>0.62538971367974505</v>
      </c>
      <c r="H66">
        <v>0</v>
      </c>
      <c r="I66" t="s">
        <v>14</v>
      </c>
      <c r="J66">
        <v>0.13503599166870101</v>
      </c>
    </row>
    <row r="67" spans="1:10" x14ac:dyDescent="0.2">
      <c r="A67" t="s">
        <v>46</v>
      </c>
      <c r="B67" t="s">
        <v>11</v>
      </c>
      <c r="C67" t="s">
        <v>11</v>
      </c>
      <c r="D67">
        <v>1</v>
      </c>
      <c r="E67" t="s">
        <v>12</v>
      </c>
      <c r="F67" t="s">
        <v>15</v>
      </c>
      <c r="G67">
        <v>0.59561426061196399</v>
      </c>
      <c r="H67">
        <v>7.64533834414831E-2</v>
      </c>
      <c r="I67" t="s">
        <v>14</v>
      </c>
      <c r="J67">
        <v>1.6303560733795099</v>
      </c>
    </row>
    <row r="68" spans="1:10" x14ac:dyDescent="0.2">
      <c r="A68" t="s">
        <v>46</v>
      </c>
      <c r="B68" t="s">
        <v>11</v>
      </c>
      <c r="C68" t="s">
        <v>11</v>
      </c>
      <c r="D68">
        <v>2</v>
      </c>
      <c r="E68" t="s">
        <v>16</v>
      </c>
      <c r="F68" t="s">
        <v>13</v>
      </c>
      <c r="G68">
        <v>0.62836538461538405</v>
      </c>
      <c r="H68">
        <v>0</v>
      </c>
      <c r="I68" t="s">
        <v>14</v>
      </c>
      <c r="J68">
        <v>0.234845876693725</v>
      </c>
    </row>
    <row r="69" spans="1:10" x14ac:dyDescent="0.2">
      <c r="A69" t="s">
        <v>46</v>
      </c>
      <c r="B69" t="s">
        <v>11</v>
      </c>
      <c r="C69" t="s">
        <v>11</v>
      </c>
      <c r="D69">
        <v>2</v>
      </c>
      <c r="E69" t="s">
        <v>16</v>
      </c>
      <c r="F69" t="s">
        <v>15</v>
      </c>
      <c r="G69">
        <v>0.582059536334807</v>
      </c>
      <c r="H69">
        <v>6.5341908440474605E-2</v>
      </c>
      <c r="I69" t="s">
        <v>14</v>
      </c>
      <c r="J69">
        <v>3.7102711200714098</v>
      </c>
    </row>
    <row r="70" spans="1:10" x14ac:dyDescent="0.2">
      <c r="A70" t="s">
        <v>46</v>
      </c>
      <c r="B70" t="s">
        <v>11</v>
      </c>
      <c r="C70" t="s">
        <v>11</v>
      </c>
      <c r="D70">
        <v>3</v>
      </c>
      <c r="E70" t="s">
        <v>17</v>
      </c>
      <c r="F70" t="s">
        <v>13</v>
      </c>
      <c r="G70">
        <v>0.63621959300585695</v>
      </c>
      <c r="H70">
        <v>0</v>
      </c>
      <c r="I70" t="s">
        <v>14</v>
      </c>
      <c r="J70">
        <v>0.36441016197204501</v>
      </c>
    </row>
    <row r="71" spans="1:10" x14ac:dyDescent="0.2">
      <c r="A71" t="s">
        <v>46</v>
      </c>
      <c r="B71" t="s">
        <v>11</v>
      </c>
      <c r="C71" t="s">
        <v>11</v>
      </c>
      <c r="D71">
        <v>3</v>
      </c>
      <c r="E71" t="s">
        <v>17</v>
      </c>
      <c r="F71" t="s">
        <v>15</v>
      </c>
      <c r="G71">
        <v>0.58323756436645702</v>
      </c>
      <c r="H71">
        <v>7.4984420414711206E-2</v>
      </c>
      <c r="I71" t="s">
        <v>14</v>
      </c>
      <c r="J71">
        <v>4.9920909404754603</v>
      </c>
    </row>
    <row r="72" spans="1:10" x14ac:dyDescent="0.2">
      <c r="A72" t="s">
        <v>46</v>
      </c>
      <c r="B72" t="s">
        <v>11</v>
      </c>
      <c r="C72" t="s">
        <v>11</v>
      </c>
      <c r="D72">
        <v>4</v>
      </c>
      <c r="E72" t="s">
        <v>18</v>
      </c>
      <c r="F72" t="s">
        <v>13</v>
      </c>
      <c r="G72">
        <v>0.71204365079364995</v>
      </c>
      <c r="H72">
        <v>0</v>
      </c>
      <c r="I72" t="s">
        <v>14</v>
      </c>
      <c r="J72">
        <v>0.17827105522155701</v>
      </c>
    </row>
    <row r="73" spans="1:10" x14ac:dyDescent="0.2">
      <c r="A73" t="s">
        <v>46</v>
      </c>
      <c r="B73" t="s">
        <v>11</v>
      </c>
      <c r="C73" t="s">
        <v>11</v>
      </c>
      <c r="D73">
        <v>4</v>
      </c>
      <c r="E73" t="s">
        <v>18</v>
      </c>
      <c r="F73" t="s">
        <v>15</v>
      </c>
      <c r="G73">
        <v>0.746776522879673</v>
      </c>
      <c r="H73">
        <v>5.0069445941028003E-2</v>
      </c>
      <c r="I73" t="s">
        <v>14</v>
      </c>
      <c r="J73">
        <v>2.7462530136108398</v>
      </c>
    </row>
    <row r="74" spans="1:10" x14ac:dyDescent="0.2">
      <c r="A74" t="s">
        <v>46</v>
      </c>
      <c r="B74" t="s">
        <v>11</v>
      </c>
      <c r="C74" t="s">
        <v>11</v>
      </c>
      <c r="D74">
        <v>5</v>
      </c>
      <c r="E74" t="s">
        <v>19</v>
      </c>
      <c r="F74" t="s">
        <v>13</v>
      </c>
      <c r="G74">
        <v>0.73807864903164799</v>
      </c>
      <c r="H74">
        <v>0</v>
      </c>
      <c r="I74" t="s">
        <v>14</v>
      </c>
      <c r="J74">
        <v>0.30549716949462802</v>
      </c>
    </row>
    <row r="75" spans="1:10" x14ac:dyDescent="0.2">
      <c r="A75" t="s">
        <v>46</v>
      </c>
      <c r="B75" t="s">
        <v>11</v>
      </c>
      <c r="C75" t="s">
        <v>11</v>
      </c>
      <c r="D75">
        <v>5</v>
      </c>
      <c r="E75" t="s">
        <v>19</v>
      </c>
      <c r="F75" t="s">
        <v>15</v>
      </c>
      <c r="G75">
        <v>0.78030974187015401</v>
      </c>
      <c r="H75">
        <v>3.2778310281739699E-2</v>
      </c>
      <c r="I75" t="s">
        <v>14</v>
      </c>
      <c r="J75">
        <v>5.3128859996795601</v>
      </c>
    </row>
    <row r="76" spans="1:10" x14ac:dyDescent="0.2">
      <c r="A76" t="s">
        <v>46</v>
      </c>
      <c r="B76" t="s">
        <v>11</v>
      </c>
      <c r="C76" t="s">
        <v>11</v>
      </c>
      <c r="D76">
        <v>6</v>
      </c>
      <c r="E76" t="s">
        <v>20</v>
      </c>
      <c r="F76" t="s">
        <v>13</v>
      </c>
      <c r="G76">
        <v>0.76324509803921503</v>
      </c>
      <c r="H76">
        <v>0</v>
      </c>
      <c r="I76" t="s">
        <v>14</v>
      </c>
      <c r="J76">
        <v>0.42922210693359297</v>
      </c>
    </row>
    <row r="77" spans="1:10" x14ac:dyDescent="0.2">
      <c r="A77" t="s">
        <v>46</v>
      </c>
      <c r="B77" t="s">
        <v>11</v>
      </c>
      <c r="C77" t="s">
        <v>11</v>
      </c>
      <c r="D77">
        <v>6</v>
      </c>
      <c r="E77" t="s">
        <v>20</v>
      </c>
      <c r="F77" t="s">
        <v>15</v>
      </c>
      <c r="G77">
        <v>0.77148606291574595</v>
      </c>
      <c r="H77">
        <v>2.96489495774486E-2</v>
      </c>
      <c r="I77" t="s">
        <v>14</v>
      </c>
      <c r="J77">
        <v>7.8075547218322701</v>
      </c>
    </row>
    <row r="78" spans="1:10" x14ac:dyDescent="0.2">
      <c r="A78" t="s">
        <v>46</v>
      </c>
      <c r="B78" t="s">
        <v>11</v>
      </c>
      <c r="C78" t="s">
        <v>11</v>
      </c>
      <c r="D78">
        <v>7</v>
      </c>
      <c r="E78" t="s">
        <v>21</v>
      </c>
      <c r="F78" t="s">
        <v>13</v>
      </c>
      <c r="G78">
        <v>0.75702368823229704</v>
      </c>
      <c r="H78">
        <v>0</v>
      </c>
      <c r="I78" t="s">
        <v>14</v>
      </c>
      <c r="J78">
        <v>6.2578916549682603E-2</v>
      </c>
    </row>
    <row r="79" spans="1:10" x14ac:dyDescent="0.2">
      <c r="A79" t="s">
        <v>46</v>
      </c>
      <c r="B79" t="s">
        <v>11</v>
      </c>
      <c r="C79" t="s">
        <v>11</v>
      </c>
      <c r="D79">
        <v>7</v>
      </c>
      <c r="E79" t="s">
        <v>21</v>
      </c>
      <c r="F79" t="s">
        <v>15</v>
      </c>
      <c r="G79">
        <v>0.73077673453271097</v>
      </c>
      <c r="H79">
        <v>3.6740038143191101E-2</v>
      </c>
      <c r="I79" t="s">
        <v>14</v>
      </c>
      <c r="J79">
        <v>0.61334490776062001</v>
      </c>
    </row>
    <row r="80" spans="1:10" x14ac:dyDescent="0.2">
      <c r="A80" t="s">
        <v>46</v>
      </c>
      <c r="B80" t="s">
        <v>11</v>
      </c>
      <c r="C80" t="s">
        <v>11</v>
      </c>
      <c r="D80">
        <v>8</v>
      </c>
      <c r="E80" t="s">
        <v>22</v>
      </c>
      <c r="F80" t="s">
        <v>13</v>
      </c>
      <c r="G80">
        <v>0.75078431372549004</v>
      </c>
      <c r="H80">
        <v>0</v>
      </c>
      <c r="I80" t="s">
        <v>14</v>
      </c>
      <c r="J80">
        <v>8.8772773742675698E-2</v>
      </c>
    </row>
    <row r="81" spans="1:10" x14ac:dyDescent="0.2">
      <c r="A81" t="s">
        <v>46</v>
      </c>
      <c r="B81" t="s">
        <v>11</v>
      </c>
      <c r="C81" t="s">
        <v>11</v>
      </c>
      <c r="D81">
        <v>8</v>
      </c>
      <c r="E81" t="s">
        <v>22</v>
      </c>
      <c r="F81" t="s">
        <v>15</v>
      </c>
      <c r="G81">
        <v>0.736996204682696</v>
      </c>
      <c r="H81">
        <v>3.1279590153051103E-2</v>
      </c>
      <c r="I81" t="s">
        <v>14</v>
      </c>
      <c r="J81">
        <v>1.0038478374481199</v>
      </c>
    </row>
    <row r="82" spans="1:10" x14ac:dyDescent="0.2">
      <c r="A82" t="s">
        <v>46</v>
      </c>
      <c r="B82" t="s">
        <v>11</v>
      </c>
      <c r="C82" t="s">
        <v>11</v>
      </c>
      <c r="D82">
        <v>9</v>
      </c>
      <c r="E82" t="s">
        <v>23</v>
      </c>
      <c r="F82" t="s">
        <v>13</v>
      </c>
      <c r="G82">
        <v>0.76324404761904696</v>
      </c>
      <c r="H82">
        <v>0</v>
      </c>
      <c r="I82" t="s">
        <v>14</v>
      </c>
      <c r="J82">
        <v>0.115524768829345</v>
      </c>
    </row>
    <row r="83" spans="1:10" x14ac:dyDescent="0.2">
      <c r="A83" t="s">
        <v>46</v>
      </c>
      <c r="B83" t="s">
        <v>11</v>
      </c>
      <c r="C83" t="s">
        <v>11</v>
      </c>
      <c r="D83">
        <v>9</v>
      </c>
      <c r="E83" t="s">
        <v>23</v>
      </c>
      <c r="F83" t="s">
        <v>15</v>
      </c>
      <c r="G83">
        <v>0.736889717483726</v>
      </c>
      <c r="H83">
        <v>3.5072360563026997E-2</v>
      </c>
      <c r="I83" t="s">
        <v>14</v>
      </c>
      <c r="J83">
        <v>1.39247798919677</v>
      </c>
    </row>
    <row r="84" spans="1:10" x14ac:dyDescent="0.2">
      <c r="A84" t="s">
        <v>46</v>
      </c>
      <c r="B84" t="s">
        <v>11</v>
      </c>
      <c r="C84" t="s">
        <v>11</v>
      </c>
      <c r="D84">
        <v>10</v>
      </c>
      <c r="E84" t="s">
        <v>24</v>
      </c>
      <c r="F84" t="s">
        <v>13</v>
      </c>
      <c r="G84">
        <v>0.80610414437972899</v>
      </c>
      <c r="H84">
        <v>0</v>
      </c>
      <c r="I84" t="s">
        <v>14</v>
      </c>
      <c r="J84">
        <v>10.713216066360401</v>
      </c>
    </row>
    <row r="85" spans="1:10" x14ac:dyDescent="0.2">
      <c r="A85" t="s">
        <v>46</v>
      </c>
      <c r="B85" t="s">
        <v>11</v>
      </c>
      <c r="C85" t="s">
        <v>11</v>
      </c>
      <c r="D85">
        <v>10</v>
      </c>
      <c r="E85" t="s">
        <v>24</v>
      </c>
      <c r="F85" t="s">
        <v>15</v>
      </c>
      <c r="G85">
        <v>0.80617553850502</v>
      </c>
      <c r="H85">
        <v>2.76244444860985E-2</v>
      </c>
      <c r="I85" t="s">
        <v>14</v>
      </c>
      <c r="J85">
        <v>136.06725287437399</v>
      </c>
    </row>
    <row r="86" spans="1:10" x14ac:dyDescent="0.2">
      <c r="A86" t="s">
        <v>46</v>
      </c>
      <c r="B86" t="s">
        <v>11</v>
      </c>
      <c r="C86" t="s">
        <v>11</v>
      </c>
      <c r="D86">
        <v>11</v>
      </c>
      <c r="E86" t="s">
        <v>25</v>
      </c>
      <c r="F86" t="s">
        <v>13</v>
      </c>
      <c r="G86">
        <v>0.76768926249451497</v>
      </c>
      <c r="H86">
        <v>0</v>
      </c>
      <c r="I86" t="s">
        <v>14</v>
      </c>
      <c r="J86">
        <v>15.4129781723022</v>
      </c>
    </row>
    <row r="87" spans="1:10" x14ac:dyDescent="0.2">
      <c r="A87" t="s">
        <v>46</v>
      </c>
      <c r="B87" t="s">
        <v>11</v>
      </c>
      <c r="C87" t="s">
        <v>11</v>
      </c>
      <c r="D87">
        <v>11</v>
      </c>
      <c r="E87" t="s">
        <v>25</v>
      </c>
      <c r="F87" t="s">
        <v>15</v>
      </c>
      <c r="G87">
        <v>0.80878689669388604</v>
      </c>
      <c r="H87">
        <v>2.3382213308283401E-2</v>
      </c>
      <c r="I87" t="s">
        <v>14</v>
      </c>
      <c r="J87">
        <v>287.06236267089798</v>
      </c>
    </row>
    <row r="88" spans="1:10" x14ac:dyDescent="0.2">
      <c r="A88" t="s">
        <v>46</v>
      </c>
      <c r="B88" t="s">
        <v>11</v>
      </c>
      <c r="C88" t="s">
        <v>11</v>
      </c>
      <c r="D88">
        <v>12</v>
      </c>
      <c r="E88" t="s">
        <v>26</v>
      </c>
      <c r="F88" t="s">
        <v>13</v>
      </c>
      <c r="G88">
        <v>0.773122291766971</v>
      </c>
      <c r="H88">
        <v>0</v>
      </c>
      <c r="I88" t="s">
        <v>14</v>
      </c>
      <c r="J88">
        <v>27.7938599586486</v>
      </c>
    </row>
    <row r="89" spans="1:10" x14ac:dyDescent="0.2">
      <c r="A89" t="s">
        <v>46</v>
      </c>
      <c r="B89" t="s">
        <v>11</v>
      </c>
      <c r="C89" t="s">
        <v>11</v>
      </c>
      <c r="D89">
        <v>12</v>
      </c>
      <c r="E89" t="s">
        <v>26</v>
      </c>
      <c r="F89" t="s">
        <v>15</v>
      </c>
      <c r="G89">
        <v>0.80381752031832499</v>
      </c>
      <c r="H89">
        <v>3.2186283462828702E-2</v>
      </c>
      <c r="I89" t="s">
        <v>14</v>
      </c>
      <c r="J89">
        <v>429.380456209182</v>
      </c>
    </row>
    <row r="90" spans="1:10" x14ac:dyDescent="0.2">
      <c r="A90" t="s">
        <v>46</v>
      </c>
      <c r="B90" t="s">
        <v>27</v>
      </c>
      <c r="C90" t="s">
        <v>27</v>
      </c>
      <c r="D90">
        <v>1</v>
      </c>
      <c r="E90" t="s">
        <v>28</v>
      </c>
      <c r="F90" t="s">
        <v>13</v>
      </c>
      <c r="G90">
        <v>0.77549249530956799</v>
      </c>
      <c r="H90">
        <v>0</v>
      </c>
      <c r="I90" t="s">
        <v>14</v>
      </c>
      <c r="J90">
        <v>0.11334204673767</v>
      </c>
    </row>
    <row r="91" spans="1:10" x14ac:dyDescent="0.2">
      <c r="A91" t="s">
        <v>46</v>
      </c>
      <c r="B91" t="s">
        <v>27</v>
      </c>
      <c r="C91" t="s">
        <v>27</v>
      </c>
      <c r="D91">
        <v>1</v>
      </c>
      <c r="E91" t="s">
        <v>28</v>
      </c>
      <c r="F91" t="s">
        <v>15</v>
      </c>
      <c r="G91">
        <v>0.78151807618120706</v>
      </c>
      <c r="H91">
        <v>2.79101116364368E-2</v>
      </c>
      <c r="I91" t="s">
        <v>14</v>
      </c>
      <c r="J91">
        <v>1.82988286018371</v>
      </c>
    </row>
    <row r="92" spans="1:10" x14ac:dyDescent="0.2">
      <c r="A92" t="s">
        <v>46</v>
      </c>
      <c r="B92" t="s">
        <v>27</v>
      </c>
      <c r="C92" t="s">
        <v>27</v>
      </c>
      <c r="D92">
        <v>2</v>
      </c>
      <c r="E92" t="s">
        <v>29</v>
      </c>
      <c r="F92" t="s">
        <v>13</v>
      </c>
      <c r="G92">
        <v>0.78190922077413805</v>
      </c>
      <c r="H92">
        <v>0</v>
      </c>
      <c r="I92" t="s">
        <v>14</v>
      </c>
      <c r="J92">
        <v>0.110435247421264</v>
      </c>
    </row>
    <row r="93" spans="1:10" x14ac:dyDescent="0.2">
      <c r="A93" t="s">
        <v>46</v>
      </c>
      <c r="B93" t="s">
        <v>27</v>
      </c>
      <c r="C93" t="s">
        <v>27</v>
      </c>
      <c r="D93">
        <v>2</v>
      </c>
      <c r="E93" t="s">
        <v>29</v>
      </c>
      <c r="F93" t="s">
        <v>15</v>
      </c>
      <c r="G93">
        <v>0.75923333450499197</v>
      </c>
      <c r="H93">
        <v>3.0853383341139001E-2</v>
      </c>
      <c r="I93" t="s">
        <v>14</v>
      </c>
      <c r="J93">
        <v>1.8443961143493599</v>
      </c>
    </row>
    <row r="94" spans="1:10" x14ac:dyDescent="0.2">
      <c r="A94" t="s">
        <v>46</v>
      </c>
      <c r="B94" t="s">
        <v>27</v>
      </c>
      <c r="C94" t="s">
        <v>27</v>
      </c>
      <c r="D94">
        <v>3</v>
      </c>
      <c r="E94" t="s">
        <v>30</v>
      </c>
      <c r="F94" t="s">
        <v>13</v>
      </c>
      <c r="G94">
        <v>0.80062656641604002</v>
      </c>
      <c r="H94">
        <v>0</v>
      </c>
      <c r="I94" t="s">
        <v>14</v>
      </c>
      <c r="J94">
        <v>0.11284208297729401</v>
      </c>
    </row>
    <row r="95" spans="1:10" x14ac:dyDescent="0.2">
      <c r="A95" t="s">
        <v>46</v>
      </c>
      <c r="B95" t="s">
        <v>27</v>
      </c>
      <c r="C95" t="s">
        <v>27</v>
      </c>
      <c r="D95">
        <v>3</v>
      </c>
      <c r="E95" t="s">
        <v>30</v>
      </c>
      <c r="F95" t="s">
        <v>15</v>
      </c>
      <c r="G95">
        <v>0.76537351021272804</v>
      </c>
      <c r="H95">
        <v>4.75806595641977E-2</v>
      </c>
      <c r="I95" t="s">
        <v>14</v>
      </c>
      <c r="J95">
        <v>1.8582670688629099</v>
      </c>
    </row>
    <row r="96" spans="1:10" x14ac:dyDescent="0.2">
      <c r="A96" t="s">
        <v>46</v>
      </c>
      <c r="B96" t="s">
        <v>27</v>
      </c>
      <c r="C96" t="s">
        <v>27</v>
      </c>
      <c r="D96">
        <v>4</v>
      </c>
      <c r="E96" t="s">
        <v>31</v>
      </c>
      <c r="F96" t="s">
        <v>13</v>
      </c>
      <c r="G96">
        <v>0.76933773216031198</v>
      </c>
      <c r="H96">
        <v>0</v>
      </c>
      <c r="I96" t="s">
        <v>14</v>
      </c>
      <c r="J96">
        <v>0.10797381401062001</v>
      </c>
    </row>
    <row r="97" spans="1:10" x14ac:dyDescent="0.2">
      <c r="A97" t="s">
        <v>46</v>
      </c>
      <c r="B97" t="s">
        <v>27</v>
      </c>
      <c r="C97" t="s">
        <v>27</v>
      </c>
      <c r="D97">
        <v>4</v>
      </c>
      <c r="E97" t="s">
        <v>31</v>
      </c>
      <c r="F97" t="s">
        <v>15</v>
      </c>
      <c r="G97">
        <v>0.76790834856916201</v>
      </c>
      <c r="H97">
        <v>3.5117147403464499E-2</v>
      </c>
      <c r="I97" t="s">
        <v>14</v>
      </c>
      <c r="J97">
        <v>1.8524749279022199</v>
      </c>
    </row>
    <row r="98" spans="1:10" x14ac:dyDescent="0.2">
      <c r="A98" t="s">
        <v>46</v>
      </c>
      <c r="B98" t="s">
        <v>27</v>
      </c>
      <c r="C98" t="s">
        <v>27</v>
      </c>
      <c r="D98">
        <v>5</v>
      </c>
      <c r="E98" t="s">
        <v>32</v>
      </c>
      <c r="F98" t="s">
        <v>13</v>
      </c>
      <c r="G98">
        <v>0.78194433559308696</v>
      </c>
      <c r="H98">
        <v>0</v>
      </c>
      <c r="I98" t="s">
        <v>14</v>
      </c>
      <c r="J98">
        <v>0.123360157012939</v>
      </c>
    </row>
    <row r="99" spans="1:10" x14ac:dyDescent="0.2">
      <c r="A99" t="s">
        <v>46</v>
      </c>
      <c r="B99" t="s">
        <v>27</v>
      </c>
      <c r="C99" t="s">
        <v>27</v>
      </c>
      <c r="D99">
        <v>5</v>
      </c>
      <c r="E99" t="s">
        <v>32</v>
      </c>
      <c r="F99" t="s">
        <v>15</v>
      </c>
      <c r="G99">
        <v>0.78787480654686903</v>
      </c>
      <c r="H99">
        <v>3.3230937519868498E-2</v>
      </c>
      <c r="I99" t="s">
        <v>14</v>
      </c>
      <c r="J99">
        <v>2.1099832057952801</v>
      </c>
    </row>
    <row r="100" spans="1:10" x14ac:dyDescent="0.2">
      <c r="A100" t="s">
        <v>46</v>
      </c>
      <c r="B100" t="s">
        <v>27</v>
      </c>
      <c r="C100" t="s">
        <v>27</v>
      </c>
      <c r="D100">
        <v>6</v>
      </c>
      <c r="E100" t="s">
        <v>33</v>
      </c>
      <c r="F100" t="s">
        <v>13</v>
      </c>
      <c r="G100">
        <v>0.77570588235294102</v>
      </c>
      <c r="H100">
        <v>0</v>
      </c>
      <c r="I100" t="s">
        <v>14</v>
      </c>
      <c r="J100">
        <v>0.124799966812133</v>
      </c>
    </row>
    <row r="101" spans="1:10" x14ac:dyDescent="0.2">
      <c r="A101" t="s">
        <v>46</v>
      </c>
      <c r="B101" t="s">
        <v>27</v>
      </c>
      <c r="C101" t="s">
        <v>27</v>
      </c>
      <c r="D101">
        <v>6</v>
      </c>
      <c r="E101" t="s">
        <v>33</v>
      </c>
      <c r="F101" t="s">
        <v>15</v>
      </c>
      <c r="G101">
        <v>0.78054260829497801</v>
      </c>
      <c r="H101">
        <v>2.9125852340259901E-2</v>
      </c>
      <c r="I101" t="s">
        <v>14</v>
      </c>
      <c r="J101">
        <v>2.1112949848175</v>
      </c>
    </row>
    <row r="102" spans="1:10" x14ac:dyDescent="0.2">
      <c r="A102" t="s">
        <v>46</v>
      </c>
      <c r="B102" t="s">
        <v>27</v>
      </c>
      <c r="C102" t="s">
        <v>27</v>
      </c>
      <c r="D102">
        <v>7</v>
      </c>
      <c r="E102" t="s">
        <v>34</v>
      </c>
      <c r="F102" t="s">
        <v>13</v>
      </c>
      <c r="G102">
        <v>0.77570588235294102</v>
      </c>
      <c r="H102">
        <v>0</v>
      </c>
      <c r="I102" t="s">
        <v>14</v>
      </c>
      <c r="J102">
        <v>0.132071018218994</v>
      </c>
    </row>
    <row r="103" spans="1:10" x14ac:dyDescent="0.2">
      <c r="A103" t="s">
        <v>46</v>
      </c>
      <c r="B103" t="s">
        <v>27</v>
      </c>
      <c r="C103" t="s">
        <v>27</v>
      </c>
      <c r="D103">
        <v>7</v>
      </c>
      <c r="E103" t="s">
        <v>34</v>
      </c>
      <c r="F103" t="s">
        <v>15</v>
      </c>
      <c r="G103">
        <v>0.79022622171913304</v>
      </c>
      <c r="H103">
        <v>2.3039286441044401E-2</v>
      </c>
      <c r="I103" t="s">
        <v>14</v>
      </c>
      <c r="J103">
        <v>2.0911507606506299</v>
      </c>
    </row>
    <row r="104" spans="1:10" x14ac:dyDescent="0.2">
      <c r="A104" t="s">
        <v>46</v>
      </c>
      <c r="B104" t="s">
        <v>27</v>
      </c>
      <c r="C104" t="s">
        <v>27</v>
      </c>
      <c r="D104">
        <v>8</v>
      </c>
      <c r="E104" t="s">
        <v>35</v>
      </c>
      <c r="F104" t="s">
        <v>13</v>
      </c>
      <c r="G104">
        <v>0.78190922077413805</v>
      </c>
      <c r="H104">
        <v>0</v>
      </c>
      <c r="I104" t="s">
        <v>14</v>
      </c>
      <c r="J104">
        <v>0.12479591369628899</v>
      </c>
    </row>
    <row r="105" spans="1:10" x14ac:dyDescent="0.2">
      <c r="A105" t="s">
        <v>46</v>
      </c>
      <c r="B105" t="s">
        <v>27</v>
      </c>
      <c r="C105" t="s">
        <v>27</v>
      </c>
      <c r="D105">
        <v>8</v>
      </c>
      <c r="E105" t="s">
        <v>35</v>
      </c>
      <c r="F105" t="s">
        <v>15</v>
      </c>
      <c r="G105">
        <v>0.78286653005361795</v>
      </c>
      <c r="H105">
        <v>2.7163088217105998E-2</v>
      </c>
      <c r="I105" t="s">
        <v>14</v>
      </c>
      <c r="J105">
        <v>2.0849940776824898</v>
      </c>
    </row>
    <row r="106" spans="1:10" x14ac:dyDescent="0.2">
      <c r="A106" t="s">
        <v>46</v>
      </c>
      <c r="B106" t="s">
        <v>27</v>
      </c>
      <c r="C106" t="s">
        <v>27</v>
      </c>
      <c r="D106">
        <v>9</v>
      </c>
      <c r="E106" t="s">
        <v>36</v>
      </c>
      <c r="F106" t="s">
        <v>13</v>
      </c>
      <c r="G106">
        <v>0.75702368823229704</v>
      </c>
      <c r="H106">
        <v>0</v>
      </c>
      <c r="I106" t="s">
        <v>14</v>
      </c>
      <c r="J106">
        <v>0.118870019912719</v>
      </c>
    </row>
    <row r="107" spans="1:10" x14ac:dyDescent="0.2">
      <c r="A107" t="s">
        <v>46</v>
      </c>
      <c r="B107" t="s">
        <v>27</v>
      </c>
      <c r="C107" t="s">
        <v>27</v>
      </c>
      <c r="D107">
        <v>9</v>
      </c>
      <c r="E107" t="s">
        <v>36</v>
      </c>
      <c r="F107" t="s">
        <v>15</v>
      </c>
      <c r="G107">
        <v>0.78293974582980796</v>
      </c>
      <c r="H107">
        <v>3.28741314619636E-2</v>
      </c>
      <c r="I107" t="s">
        <v>14</v>
      </c>
      <c r="J107">
        <v>2.1072509288787802</v>
      </c>
    </row>
    <row r="108" spans="1:10" x14ac:dyDescent="0.2">
      <c r="A108" t="s">
        <v>46</v>
      </c>
      <c r="B108" t="s">
        <v>27</v>
      </c>
      <c r="C108" t="s">
        <v>27</v>
      </c>
      <c r="D108">
        <v>10</v>
      </c>
      <c r="E108" t="s">
        <v>37</v>
      </c>
      <c r="F108" t="s">
        <v>13</v>
      </c>
      <c r="G108">
        <v>0.75702368823229704</v>
      </c>
      <c r="H108">
        <v>0</v>
      </c>
      <c r="I108" t="s">
        <v>14</v>
      </c>
      <c r="J108">
        <v>0.121270895004272</v>
      </c>
    </row>
    <row r="109" spans="1:10" x14ac:dyDescent="0.2">
      <c r="A109" t="s">
        <v>46</v>
      </c>
      <c r="B109" t="s">
        <v>27</v>
      </c>
      <c r="C109" t="s">
        <v>27</v>
      </c>
      <c r="D109">
        <v>10</v>
      </c>
      <c r="E109" t="s">
        <v>37</v>
      </c>
      <c r="F109" t="s">
        <v>15</v>
      </c>
      <c r="G109">
        <v>0.799301966272841</v>
      </c>
      <c r="H109">
        <v>3.3256626781588902E-2</v>
      </c>
      <c r="I109" t="s">
        <v>14</v>
      </c>
      <c r="J109">
        <v>2.0977790355682302</v>
      </c>
    </row>
    <row r="110" spans="1:10" x14ac:dyDescent="0.2">
      <c r="A110" t="s">
        <v>46</v>
      </c>
      <c r="B110" t="s">
        <v>27</v>
      </c>
      <c r="C110" t="s">
        <v>27</v>
      </c>
      <c r="D110">
        <v>11</v>
      </c>
      <c r="E110" t="s">
        <v>38</v>
      </c>
      <c r="F110" t="s">
        <v>13</v>
      </c>
      <c r="G110">
        <v>0.79437155101561496</v>
      </c>
      <c r="H110">
        <v>0</v>
      </c>
      <c r="I110" t="s">
        <v>14</v>
      </c>
      <c r="J110">
        <v>0.12082099914550699</v>
      </c>
    </row>
    <row r="111" spans="1:10" x14ac:dyDescent="0.2">
      <c r="A111" t="s">
        <v>46</v>
      </c>
      <c r="B111" t="s">
        <v>27</v>
      </c>
      <c r="C111" t="s">
        <v>27</v>
      </c>
      <c r="D111">
        <v>11</v>
      </c>
      <c r="E111" t="s">
        <v>38</v>
      </c>
      <c r="F111" t="s">
        <v>15</v>
      </c>
      <c r="G111">
        <v>0.78405974828914504</v>
      </c>
      <c r="H111">
        <v>3.2362731777437002E-2</v>
      </c>
      <c r="I111" t="s">
        <v>14</v>
      </c>
      <c r="J111">
        <v>2.0946290493011399</v>
      </c>
    </row>
    <row r="112" spans="1:10" x14ac:dyDescent="0.2">
      <c r="A112" t="s">
        <v>46</v>
      </c>
      <c r="B112" t="s">
        <v>27</v>
      </c>
      <c r="C112" t="s">
        <v>27</v>
      </c>
      <c r="D112">
        <v>12</v>
      </c>
      <c r="E112" t="s">
        <v>39</v>
      </c>
      <c r="F112" t="s">
        <v>13</v>
      </c>
      <c r="G112">
        <v>0.80683553122178997</v>
      </c>
      <c r="H112">
        <v>0</v>
      </c>
      <c r="I112" t="s">
        <v>14</v>
      </c>
      <c r="J112">
        <v>0.118462085723876</v>
      </c>
    </row>
    <row r="113" spans="1:10" x14ac:dyDescent="0.2">
      <c r="A113" t="s">
        <v>46</v>
      </c>
      <c r="B113" t="s">
        <v>27</v>
      </c>
      <c r="C113" t="s">
        <v>27</v>
      </c>
      <c r="D113">
        <v>12</v>
      </c>
      <c r="E113" t="s">
        <v>39</v>
      </c>
      <c r="F113" t="s">
        <v>15</v>
      </c>
      <c r="G113">
        <v>0.79273579584006204</v>
      </c>
      <c r="H113">
        <v>2.5304538412332701E-2</v>
      </c>
      <c r="I113" t="s">
        <v>14</v>
      </c>
      <c r="J113">
        <v>2.10078692436218</v>
      </c>
    </row>
    <row r="114" spans="1:10" x14ac:dyDescent="0.2">
      <c r="A114" t="s">
        <v>46</v>
      </c>
      <c r="B114" t="s">
        <v>40</v>
      </c>
      <c r="C114" t="s">
        <v>40</v>
      </c>
      <c r="D114">
        <v>1</v>
      </c>
      <c r="E114" t="s">
        <v>41</v>
      </c>
      <c r="F114" t="s">
        <v>13</v>
      </c>
      <c r="G114">
        <v>0.75982027724048995</v>
      </c>
      <c r="H114">
        <v>0</v>
      </c>
      <c r="I114" t="s">
        <v>14</v>
      </c>
      <c r="J114">
        <v>2.5503897666931099</v>
      </c>
    </row>
    <row r="115" spans="1:10" x14ac:dyDescent="0.2">
      <c r="A115" t="s">
        <v>46</v>
      </c>
      <c r="B115" t="s">
        <v>40</v>
      </c>
      <c r="C115" t="s">
        <v>40</v>
      </c>
      <c r="D115">
        <v>1</v>
      </c>
      <c r="E115" t="s">
        <v>41</v>
      </c>
      <c r="F115" t="s">
        <v>15</v>
      </c>
      <c r="G115">
        <v>0.78625558345486202</v>
      </c>
      <c r="H115">
        <v>4.0745295592557601E-2</v>
      </c>
      <c r="I115" t="s">
        <v>14</v>
      </c>
      <c r="J115">
        <v>26.177162885665801</v>
      </c>
    </row>
    <row r="116" spans="1:10" x14ac:dyDescent="0.2">
      <c r="A116" t="s">
        <v>46</v>
      </c>
      <c r="B116" t="s">
        <v>40</v>
      </c>
      <c r="C116" t="s">
        <v>40</v>
      </c>
      <c r="D116">
        <v>2</v>
      </c>
      <c r="E116" t="s">
        <v>42</v>
      </c>
      <c r="F116" t="s">
        <v>13</v>
      </c>
      <c r="G116">
        <v>0.75029999999999997</v>
      </c>
      <c r="H116">
        <v>0</v>
      </c>
      <c r="I116" t="s">
        <v>14</v>
      </c>
      <c r="J116">
        <v>2.8405511379241899</v>
      </c>
    </row>
    <row r="117" spans="1:10" x14ac:dyDescent="0.2">
      <c r="A117" t="s">
        <v>46</v>
      </c>
      <c r="B117" t="s">
        <v>40</v>
      </c>
      <c r="C117" t="s">
        <v>40</v>
      </c>
      <c r="D117">
        <v>2</v>
      </c>
      <c r="E117" t="s">
        <v>42</v>
      </c>
      <c r="F117" t="s">
        <v>15</v>
      </c>
      <c r="G117">
        <v>0.76489105309278205</v>
      </c>
      <c r="H117">
        <v>3.1434848724783797E-2</v>
      </c>
      <c r="I117" t="s">
        <v>14</v>
      </c>
      <c r="J117">
        <v>35.354609966277998</v>
      </c>
    </row>
    <row r="118" spans="1:10" x14ac:dyDescent="0.2">
      <c r="A118" t="s">
        <v>46</v>
      </c>
      <c r="B118" t="s">
        <v>40</v>
      </c>
      <c r="C118" t="s">
        <v>40</v>
      </c>
      <c r="D118">
        <v>3</v>
      </c>
      <c r="E118" t="s">
        <v>43</v>
      </c>
      <c r="F118" t="s">
        <v>13</v>
      </c>
      <c r="G118">
        <v>0.75132746521969695</v>
      </c>
      <c r="H118">
        <v>0</v>
      </c>
      <c r="I118" t="s">
        <v>14</v>
      </c>
      <c r="J118">
        <v>2.5782580375671298</v>
      </c>
    </row>
    <row r="119" spans="1:10" x14ac:dyDescent="0.2">
      <c r="A119" t="s">
        <v>46</v>
      </c>
      <c r="B119" t="s">
        <v>40</v>
      </c>
      <c r="C119" t="s">
        <v>40</v>
      </c>
      <c r="D119">
        <v>3</v>
      </c>
      <c r="E119" t="s">
        <v>43</v>
      </c>
      <c r="F119" t="s">
        <v>15</v>
      </c>
      <c r="G119">
        <v>0.77726012690262702</v>
      </c>
      <c r="H119">
        <v>4.35547342899704E-2</v>
      </c>
      <c r="I119" t="s">
        <v>14</v>
      </c>
      <c r="J119">
        <v>41.807337045669499</v>
      </c>
    </row>
    <row r="120" spans="1:10" x14ac:dyDescent="0.2">
      <c r="A120" t="s">
        <v>46</v>
      </c>
      <c r="B120" t="s">
        <v>40</v>
      </c>
      <c r="C120" t="s">
        <v>40</v>
      </c>
      <c r="D120">
        <v>4</v>
      </c>
      <c r="E120" t="s">
        <v>44</v>
      </c>
      <c r="F120" t="s">
        <v>13</v>
      </c>
      <c r="G120">
        <v>0.74443626247749894</v>
      </c>
      <c r="H120">
        <v>0</v>
      </c>
      <c r="I120" t="s">
        <v>14</v>
      </c>
      <c r="J120">
        <v>3.7752182483672998</v>
      </c>
    </row>
    <row r="121" spans="1:10" x14ac:dyDescent="0.2">
      <c r="A121" t="s">
        <v>46</v>
      </c>
      <c r="B121" t="s">
        <v>40</v>
      </c>
      <c r="C121" t="s">
        <v>40</v>
      </c>
      <c r="D121">
        <v>4</v>
      </c>
      <c r="E121" t="s">
        <v>44</v>
      </c>
      <c r="F121" t="s">
        <v>15</v>
      </c>
      <c r="G121">
        <v>0.77867764503834003</v>
      </c>
      <c r="H121">
        <v>4.7122769682218603E-2</v>
      </c>
      <c r="I121" t="s">
        <v>14</v>
      </c>
      <c r="J121">
        <v>54.614656925201402</v>
      </c>
    </row>
    <row r="122" spans="1:10" x14ac:dyDescent="0.2">
      <c r="A122" t="s">
        <v>46</v>
      </c>
      <c r="B122" t="s">
        <v>45</v>
      </c>
      <c r="C122" t="s">
        <v>45</v>
      </c>
      <c r="D122">
        <v>1</v>
      </c>
      <c r="E122" t="s">
        <v>41</v>
      </c>
      <c r="F122" t="s">
        <v>13</v>
      </c>
      <c r="G122">
        <v>0.77421165790730995</v>
      </c>
      <c r="H122">
        <v>0</v>
      </c>
      <c r="I122" t="s">
        <v>14</v>
      </c>
      <c r="J122">
        <v>7.9099712371826101</v>
      </c>
    </row>
    <row r="123" spans="1:10" x14ac:dyDescent="0.2">
      <c r="A123" t="s">
        <v>46</v>
      </c>
      <c r="B123" t="s">
        <v>45</v>
      </c>
      <c r="C123" t="s">
        <v>45</v>
      </c>
      <c r="D123">
        <v>1</v>
      </c>
      <c r="E123" t="s">
        <v>41</v>
      </c>
      <c r="F123" t="s">
        <v>15</v>
      </c>
      <c r="G123">
        <v>0.79896662525489404</v>
      </c>
      <c r="H123">
        <v>2.8611833457309201E-2</v>
      </c>
      <c r="I123" t="s">
        <v>14</v>
      </c>
      <c r="J123">
        <v>117.73647999763401</v>
      </c>
    </row>
    <row r="124" spans="1:10" x14ac:dyDescent="0.2">
      <c r="A124" t="s">
        <v>46</v>
      </c>
      <c r="B124" t="s">
        <v>45</v>
      </c>
      <c r="C124" t="s">
        <v>45</v>
      </c>
      <c r="D124">
        <v>2</v>
      </c>
      <c r="E124" t="s">
        <v>42</v>
      </c>
      <c r="F124" t="s">
        <v>13</v>
      </c>
      <c r="G124">
        <v>0.78716269841269804</v>
      </c>
      <c r="H124">
        <v>0</v>
      </c>
      <c r="I124" t="s">
        <v>14</v>
      </c>
      <c r="J124">
        <v>10.56427693367</v>
      </c>
    </row>
    <row r="125" spans="1:10" x14ac:dyDescent="0.2">
      <c r="A125" t="s">
        <v>46</v>
      </c>
      <c r="B125" t="s">
        <v>45</v>
      </c>
      <c r="C125" t="s">
        <v>45</v>
      </c>
      <c r="D125">
        <v>2</v>
      </c>
      <c r="E125" t="s">
        <v>42</v>
      </c>
      <c r="F125" t="s">
        <v>15</v>
      </c>
      <c r="G125">
        <v>0.80759372646573202</v>
      </c>
      <c r="H125">
        <v>2.6563976947741E-2</v>
      </c>
      <c r="I125" t="s">
        <v>14</v>
      </c>
      <c r="J125">
        <v>156.51922893524099</v>
      </c>
    </row>
    <row r="126" spans="1:10" x14ac:dyDescent="0.2">
      <c r="A126" t="s">
        <v>46</v>
      </c>
      <c r="B126" t="s">
        <v>45</v>
      </c>
      <c r="C126" t="s">
        <v>45</v>
      </c>
      <c r="D126">
        <v>3</v>
      </c>
      <c r="E126" t="s">
        <v>43</v>
      </c>
      <c r="F126" t="s">
        <v>13</v>
      </c>
      <c r="G126">
        <v>0.80610414437972899</v>
      </c>
      <c r="H126">
        <v>0</v>
      </c>
      <c r="I126" t="s">
        <v>14</v>
      </c>
      <c r="J126">
        <v>10.716888904571499</v>
      </c>
    </row>
    <row r="127" spans="1:10" x14ac:dyDescent="0.2">
      <c r="A127" t="s">
        <v>46</v>
      </c>
      <c r="B127" t="s">
        <v>45</v>
      </c>
      <c r="C127" t="s">
        <v>45</v>
      </c>
      <c r="D127">
        <v>3</v>
      </c>
      <c r="E127" t="s">
        <v>43</v>
      </c>
      <c r="F127" t="s">
        <v>15</v>
      </c>
      <c r="G127">
        <v>0.80141393865090405</v>
      </c>
      <c r="H127">
        <v>2.38749571142657E-2</v>
      </c>
      <c r="I127" t="s">
        <v>14</v>
      </c>
      <c r="J127">
        <v>197.900776863098</v>
      </c>
    </row>
    <row r="128" spans="1:10" x14ac:dyDescent="0.2">
      <c r="A128" t="s">
        <v>46</v>
      </c>
      <c r="B128" t="s">
        <v>45</v>
      </c>
      <c r="C128" t="s">
        <v>45</v>
      </c>
      <c r="D128">
        <v>4</v>
      </c>
      <c r="E128" t="s">
        <v>44</v>
      </c>
      <c r="F128" t="s">
        <v>13</v>
      </c>
      <c r="G128">
        <v>0.76817093286696603</v>
      </c>
      <c r="H128">
        <v>0</v>
      </c>
      <c r="I128" t="s">
        <v>14</v>
      </c>
      <c r="J128">
        <v>13.9049479961395</v>
      </c>
    </row>
    <row r="129" spans="1:10" x14ac:dyDescent="0.2">
      <c r="A129" t="s">
        <v>46</v>
      </c>
      <c r="B129" t="s">
        <v>45</v>
      </c>
      <c r="C129" t="s">
        <v>45</v>
      </c>
      <c r="D129">
        <v>4</v>
      </c>
      <c r="E129" t="s">
        <v>44</v>
      </c>
      <c r="F129" t="s">
        <v>15</v>
      </c>
      <c r="G129">
        <v>0.81354737882525296</v>
      </c>
      <c r="H129">
        <v>2.0191341890352699E-2</v>
      </c>
      <c r="I129" t="s">
        <v>14</v>
      </c>
      <c r="J129">
        <v>260.16616821289</v>
      </c>
    </row>
    <row r="130" spans="1:10" x14ac:dyDescent="0.2">
      <c r="A130" t="s">
        <v>47</v>
      </c>
      <c r="B130" t="s">
        <v>11</v>
      </c>
      <c r="C130" t="s">
        <v>11</v>
      </c>
      <c r="D130">
        <v>1</v>
      </c>
      <c r="E130" t="s">
        <v>12</v>
      </c>
      <c r="F130" t="s">
        <v>13</v>
      </c>
      <c r="G130">
        <v>0.57743651897908599</v>
      </c>
      <c r="H130">
        <v>0</v>
      </c>
      <c r="I130" t="s">
        <v>14</v>
      </c>
      <c r="J130">
        <v>7.6554059982299805E-2</v>
      </c>
    </row>
    <row r="131" spans="1:10" x14ac:dyDescent="0.2">
      <c r="A131" t="s">
        <v>47</v>
      </c>
      <c r="B131" t="s">
        <v>11</v>
      </c>
      <c r="C131" t="s">
        <v>11</v>
      </c>
      <c r="D131">
        <v>1</v>
      </c>
      <c r="E131" t="s">
        <v>12</v>
      </c>
      <c r="F131" t="s">
        <v>15</v>
      </c>
      <c r="G131">
        <v>0.52606952421675102</v>
      </c>
      <c r="H131">
        <v>5.2268678124408698E-2</v>
      </c>
      <c r="I131" t="s">
        <v>14</v>
      </c>
      <c r="J131">
        <v>0.95922899246215798</v>
      </c>
    </row>
    <row r="132" spans="1:10" x14ac:dyDescent="0.2">
      <c r="A132" t="s">
        <v>47</v>
      </c>
      <c r="B132" t="s">
        <v>11</v>
      </c>
      <c r="C132" t="s">
        <v>11</v>
      </c>
      <c r="D132">
        <v>2</v>
      </c>
      <c r="E132" t="s">
        <v>16</v>
      </c>
      <c r="F132" t="s">
        <v>13</v>
      </c>
      <c r="G132">
        <v>0.58083139456847499</v>
      </c>
      <c r="H132">
        <v>0</v>
      </c>
      <c r="I132" t="s">
        <v>14</v>
      </c>
      <c r="J132">
        <v>0.13805198669433499</v>
      </c>
    </row>
    <row r="133" spans="1:10" x14ac:dyDescent="0.2">
      <c r="A133" t="s">
        <v>47</v>
      </c>
      <c r="B133" t="s">
        <v>11</v>
      </c>
      <c r="C133" t="s">
        <v>11</v>
      </c>
      <c r="D133">
        <v>2</v>
      </c>
      <c r="E133" t="s">
        <v>16</v>
      </c>
      <c r="F133" t="s">
        <v>15</v>
      </c>
      <c r="G133">
        <v>0.54156857873487696</v>
      </c>
      <c r="H133">
        <v>7.7118243702564898E-2</v>
      </c>
      <c r="I133" t="s">
        <v>14</v>
      </c>
      <c r="J133">
        <v>2.3074381351470898</v>
      </c>
    </row>
    <row r="134" spans="1:10" x14ac:dyDescent="0.2">
      <c r="A134" t="s">
        <v>47</v>
      </c>
      <c r="B134" t="s">
        <v>11</v>
      </c>
      <c r="C134" t="s">
        <v>11</v>
      </c>
      <c r="D134">
        <v>3</v>
      </c>
      <c r="E134" t="s">
        <v>17</v>
      </c>
      <c r="F134" t="s">
        <v>13</v>
      </c>
      <c r="G134">
        <v>0.55334492863853901</v>
      </c>
      <c r="H134">
        <v>0</v>
      </c>
      <c r="I134" t="s">
        <v>14</v>
      </c>
      <c r="J134">
        <v>0.19500780105590801</v>
      </c>
    </row>
    <row r="135" spans="1:10" x14ac:dyDescent="0.2">
      <c r="A135" t="s">
        <v>47</v>
      </c>
      <c r="B135" t="s">
        <v>11</v>
      </c>
      <c r="C135" t="s">
        <v>11</v>
      </c>
      <c r="D135">
        <v>3</v>
      </c>
      <c r="E135" t="s">
        <v>17</v>
      </c>
      <c r="F135" t="s">
        <v>15</v>
      </c>
      <c r="G135">
        <v>0.53110675116063299</v>
      </c>
      <c r="H135">
        <v>6.99200077807626E-2</v>
      </c>
      <c r="I135" t="s">
        <v>14</v>
      </c>
      <c r="J135">
        <v>2.70166611671447</v>
      </c>
    </row>
    <row r="136" spans="1:10" x14ac:dyDescent="0.2">
      <c r="A136" t="s">
        <v>47</v>
      </c>
      <c r="B136" t="s">
        <v>11</v>
      </c>
      <c r="C136" t="s">
        <v>11</v>
      </c>
      <c r="D136">
        <v>4</v>
      </c>
      <c r="E136" t="s">
        <v>18</v>
      </c>
      <c r="F136" t="s">
        <v>13</v>
      </c>
      <c r="G136">
        <v>0.69453275529865099</v>
      </c>
      <c r="H136">
        <v>0</v>
      </c>
      <c r="I136" t="s">
        <v>14</v>
      </c>
      <c r="J136">
        <v>0.10965013504028299</v>
      </c>
    </row>
    <row r="137" spans="1:10" x14ac:dyDescent="0.2">
      <c r="A137" t="s">
        <v>47</v>
      </c>
      <c r="B137" t="s">
        <v>11</v>
      </c>
      <c r="C137" t="s">
        <v>11</v>
      </c>
      <c r="D137">
        <v>4</v>
      </c>
      <c r="E137" t="s">
        <v>18</v>
      </c>
      <c r="F137" t="s">
        <v>15</v>
      </c>
      <c r="G137">
        <v>0.75910721015171001</v>
      </c>
      <c r="H137">
        <v>4.8597599286506102E-2</v>
      </c>
      <c r="I137" t="s">
        <v>14</v>
      </c>
      <c r="J137">
        <v>1.5245330333709699</v>
      </c>
    </row>
    <row r="138" spans="1:10" x14ac:dyDescent="0.2">
      <c r="A138" t="s">
        <v>47</v>
      </c>
      <c r="B138" t="s">
        <v>11</v>
      </c>
      <c r="C138" t="s">
        <v>11</v>
      </c>
      <c r="D138">
        <v>5</v>
      </c>
      <c r="E138" t="s">
        <v>19</v>
      </c>
      <c r="F138" t="s">
        <v>13</v>
      </c>
      <c r="G138">
        <v>0.75055109431585498</v>
      </c>
      <c r="H138">
        <v>0</v>
      </c>
      <c r="I138" t="s">
        <v>14</v>
      </c>
      <c r="J138">
        <v>0.19469022750854401</v>
      </c>
    </row>
    <row r="139" spans="1:10" x14ac:dyDescent="0.2">
      <c r="A139" t="s">
        <v>47</v>
      </c>
      <c r="B139" t="s">
        <v>11</v>
      </c>
      <c r="C139" t="s">
        <v>11</v>
      </c>
      <c r="D139">
        <v>5</v>
      </c>
      <c r="E139" t="s">
        <v>19</v>
      </c>
      <c r="F139" t="s">
        <v>15</v>
      </c>
      <c r="G139">
        <v>0.74917639409317804</v>
      </c>
      <c r="H139">
        <v>2.92085181676194E-2</v>
      </c>
      <c r="I139" t="s">
        <v>14</v>
      </c>
      <c r="J139">
        <v>2.7847700119018501</v>
      </c>
    </row>
    <row r="140" spans="1:10" x14ac:dyDescent="0.2">
      <c r="A140" t="s">
        <v>47</v>
      </c>
      <c r="B140" t="s">
        <v>11</v>
      </c>
      <c r="C140" t="s">
        <v>11</v>
      </c>
      <c r="D140">
        <v>6</v>
      </c>
      <c r="E140" t="s">
        <v>20</v>
      </c>
      <c r="F140" t="s">
        <v>13</v>
      </c>
      <c r="G140">
        <v>0.74420443349753695</v>
      </c>
      <c r="H140">
        <v>0</v>
      </c>
      <c r="I140" t="s">
        <v>14</v>
      </c>
      <c r="J140">
        <v>0.217926025390625</v>
      </c>
    </row>
    <row r="141" spans="1:10" x14ac:dyDescent="0.2">
      <c r="A141" t="s">
        <v>47</v>
      </c>
      <c r="B141" t="s">
        <v>11</v>
      </c>
      <c r="C141" t="s">
        <v>11</v>
      </c>
      <c r="D141">
        <v>6</v>
      </c>
      <c r="E141" t="s">
        <v>20</v>
      </c>
      <c r="F141" t="s">
        <v>15</v>
      </c>
      <c r="G141">
        <v>0.78891027350901199</v>
      </c>
      <c r="H141">
        <v>3.4554571270852097E-2</v>
      </c>
      <c r="I141" t="s">
        <v>14</v>
      </c>
      <c r="J141">
        <v>4.0365331172943097</v>
      </c>
    </row>
    <row r="142" spans="1:10" x14ac:dyDescent="0.2">
      <c r="A142" t="s">
        <v>47</v>
      </c>
      <c r="B142" t="s">
        <v>11</v>
      </c>
      <c r="C142" t="s">
        <v>11</v>
      </c>
      <c r="D142">
        <v>7</v>
      </c>
      <c r="E142" t="s">
        <v>21</v>
      </c>
      <c r="F142" t="s">
        <v>13</v>
      </c>
      <c r="G142">
        <v>0.75687300931933399</v>
      </c>
      <c r="H142">
        <v>0</v>
      </c>
      <c r="I142" t="s">
        <v>14</v>
      </c>
      <c r="J142">
        <v>4.9138069152831997E-2</v>
      </c>
    </row>
    <row r="143" spans="1:10" x14ac:dyDescent="0.2">
      <c r="A143" t="s">
        <v>47</v>
      </c>
      <c r="B143" t="s">
        <v>11</v>
      </c>
      <c r="C143" t="s">
        <v>11</v>
      </c>
      <c r="D143">
        <v>7</v>
      </c>
      <c r="E143" t="s">
        <v>21</v>
      </c>
      <c r="F143" t="s">
        <v>15</v>
      </c>
      <c r="G143">
        <v>0.74157070687322002</v>
      </c>
      <c r="H143">
        <v>3.7945683952048698E-2</v>
      </c>
      <c r="I143" t="s">
        <v>14</v>
      </c>
      <c r="J143">
        <v>0.50945425033569303</v>
      </c>
    </row>
    <row r="144" spans="1:10" x14ac:dyDescent="0.2">
      <c r="A144" t="s">
        <v>47</v>
      </c>
      <c r="B144" t="s">
        <v>11</v>
      </c>
      <c r="C144" t="s">
        <v>11</v>
      </c>
      <c r="D144">
        <v>8</v>
      </c>
      <c r="E144" t="s">
        <v>22</v>
      </c>
      <c r="F144" t="s">
        <v>13</v>
      </c>
      <c r="G144">
        <v>0.77563370364575102</v>
      </c>
      <c r="H144">
        <v>0</v>
      </c>
      <c r="I144" t="s">
        <v>14</v>
      </c>
      <c r="J144">
        <v>6.9032192230224595E-2</v>
      </c>
    </row>
    <row r="145" spans="1:10" x14ac:dyDescent="0.2">
      <c r="A145" t="s">
        <v>47</v>
      </c>
      <c r="B145" t="s">
        <v>11</v>
      </c>
      <c r="C145" t="s">
        <v>11</v>
      </c>
      <c r="D145">
        <v>8</v>
      </c>
      <c r="E145" t="s">
        <v>22</v>
      </c>
      <c r="F145" t="s">
        <v>15</v>
      </c>
      <c r="G145">
        <v>0.744128439523982</v>
      </c>
      <c r="H145">
        <v>3.5125425690338302E-2</v>
      </c>
      <c r="I145" t="s">
        <v>14</v>
      </c>
      <c r="J145">
        <v>0.80291104316711404</v>
      </c>
    </row>
    <row r="146" spans="1:10" x14ac:dyDescent="0.2">
      <c r="A146" t="s">
        <v>47</v>
      </c>
      <c r="B146" t="s">
        <v>11</v>
      </c>
      <c r="C146" t="s">
        <v>11</v>
      </c>
      <c r="D146">
        <v>9</v>
      </c>
      <c r="E146" t="s">
        <v>23</v>
      </c>
      <c r="F146" t="s">
        <v>13</v>
      </c>
      <c r="G146">
        <v>0.77570488721804498</v>
      </c>
      <c r="H146">
        <v>0</v>
      </c>
      <c r="I146" t="s">
        <v>14</v>
      </c>
      <c r="J146">
        <v>7.9433202743530204E-2</v>
      </c>
    </row>
    <row r="147" spans="1:10" x14ac:dyDescent="0.2">
      <c r="A147" t="s">
        <v>47</v>
      </c>
      <c r="B147" t="s">
        <v>11</v>
      </c>
      <c r="C147" t="s">
        <v>11</v>
      </c>
      <c r="D147">
        <v>9</v>
      </c>
      <c r="E147" t="s">
        <v>23</v>
      </c>
      <c r="F147" t="s">
        <v>15</v>
      </c>
      <c r="G147">
        <v>0.73794872176701798</v>
      </c>
      <c r="H147">
        <v>4.09514330246388E-2</v>
      </c>
      <c r="I147" t="s">
        <v>14</v>
      </c>
      <c r="J147">
        <v>1.0663599967956501</v>
      </c>
    </row>
    <row r="148" spans="1:10" x14ac:dyDescent="0.2">
      <c r="A148" t="s">
        <v>47</v>
      </c>
      <c r="B148" t="s">
        <v>11</v>
      </c>
      <c r="C148" t="s">
        <v>11</v>
      </c>
      <c r="D148">
        <v>10</v>
      </c>
      <c r="E148" t="s">
        <v>24</v>
      </c>
      <c r="F148" t="s">
        <v>13</v>
      </c>
      <c r="G148">
        <v>0.74960317460317405</v>
      </c>
      <c r="H148">
        <v>0</v>
      </c>
      <c r="I148" t="s">
        <v>14</v>
      </c>
      <c r="J148">
        <v>9.7275459766387904</v>
      </c>
    </row>
    <row r="149" spans="1:10" x14ac:dyDescent="0.2">
      <c r="A149" t="s">
        <v>47</v>
      </c>
      <c r="B149" t="s">
        <v>11</v>
      </c>
      <c r="C149" t="s">
        <v>11</v>
      </c>
      <c r="D149">
        <v>10</v>
      </c>
      <c r="E149" t="s">
        <v>24</v>
      </c>
      <c r="F149" t="s">
        <v>15</v>
      </c>
      <c r="G149">
        <v>0.79116317396046498</v>
      </c>
      <c r="H149">
        <v>3.22785729573579E-2</v>
      </c>
      <c r="I149" t="s">
        <v>14</v>
      </c>
      <c r="J149">
        <v>141.26222896575899</v>
      </c>
    </row>
    <row r="150" spans="1:10" x14ac:dyDescent="0.2">
      <c r="A150" t="s">
        <v>47</v>
      </c>
      <c r="B150" t="s">
        <v>11</v>
      </c>
      <c r="C150" t="s">
        <v>11</v>
      </c>
      <c r="D150">
        <v>11</v>
      </c>
      <c r="E150" t="s">
        <v>25</v>
      </c>
      <c r="F150" t="s">
        <v>13</v>
      </c>
      <c r="G150">
        <v>0.76051797464291404</v>
      </c>
      <c r="H150">
        <v>0</v>
      </c>
      <c r="I150" t="s">
        <v>14</v>
      </c>
      <c r="J150">
        <v>16.782362222671502</v>
      </c>
    </row>
    <row r="151" spans="1:10" x14ac:dyDescent="0.2">
      <c r="A151" t="s">
        <v>47</v>
      </c>
      <c r="B151" t="s">
        <v>11</v>
      </c>
      <c r="C151" t="s">
        <v>11</v>
      </c>
      <c r="D151">
        <v>11</v>
      </c>
      <c r="E151" t="s">
        <v>25</v>
      </c>
      <c r="F151" t="s">
        <v>15</v>
      </c>
      <c r="G151">
        <v>0.77708819529043605</v>
      </c>
      <c r="H151">
        <v>3.3370869252658898E-2</v>
      </c>
      <c r="I151" t="s">
        <v>14</v>
      </c>
      <c r="J151">
        <v>307.40409708022997</v>
      </c>
    </row>
    <row r="152" spans="1:10" x14ac:dyDescent="0.2">
      <c r="A152" t="s">
        <v>47</v>
      </c>
      <c r="B152" t="s">
        <v>11</v>
      </c>
      <c r="C152" t="s">
        <v>11</v>
      </c>
      <c r="D152">
        <v>12</v>
      </c>
      <c r="E152" t="s">
        <v>26</v>
      </c>
      <c r="F152" t="s">
        <v>13</v>
      </c>
      <c r="G152">
        <v>0.76113331202045997</v>
      </c>
      <c r="H152">
        <v>0</v>
      </c>
      <c r="I152" t="s">
        <v>14</v>
      </c>
      <c r="J152">
        <v>19.1141259670257</v>
      </c>
    </row>
    <row r="153" spans="1:10" x14ac:dyDescent="0.2">
      <c r="A153" t="s">
        <v>47</v>
      </c>
      <c r="B153" t="s">
        <v>11</v>
      </c>
      <c r="C153" t="s">
        <v>11</v>
      </c>
      <c r="D153">
        <v>12</v>
      </c>
      <c r="E153" t="s">
        <v>26</v>
      </c>
      <c r="F153" t="s">
        <v>15</v>
      </c>
      <c r="G153">
        <v>0.79139449853874599</v>
      </c>
      <c r="H153">
        <v>3.51136325977814E-2</v>
      </c>
      <c r="I153" t="s">
        <v>14</v>
      </c>
      <c r="J153">
        <v>450.590893030166</v>
      </c>
    </row>
    <row r="154" spans="1:10" x14ac:dyDescent="0.2">
      <c r="A154" t="s">
        <v>47</v>
      </c>
      <c r="B154" t="s">
        <v>27</v>
      </c>
      <c r="C154" t="s">
        <v>27</v>
      </c>
      <c r="D154">
        <v>1</v>
      </c>
      <c r="E154" t="s">
        <v>28</v>
      </c>
      <c r="F154" t="s">
        <v>13</v>
      </c>
      <c r="G154">
        <v>0.76324404761904696</v>
      </c>
      <c r="H154">
        <v>0</v>
      </c>
      <c r="I154" t="s">
        <v>14</v>
      </c>
      <c r="J154">
        <v>0.108271121978759</v>
      </c>
    </row>
    <row r="155" spans="1:10" x14ac:dyDescent="0.2">
      <c r="A155" t="s">
        <v>47</v>
      </c>
      <c r="B155" t="s">
        <v>27</v>
      </c>
      <c r="C155" t="s">
        <v>27</v>
      </c>
      <c r="D155">
        <v>1</v>
      </c>
      <c r="E155" t="s">
        <v>28</v>
      </c>
      <c r="F155" t="s">
        <v>15</v>
      </c>
      <c r="G155">
        <v>0.76913454978420803</v>
      </c>
      <c r="H155">
        <v>3.8309602140452502E-2</v>
      </c>
      <c r="I155" t="s">
        <v>14</v>
      </c>
      <c r="J155">
        <v>1.73383116722106</v>
      </c>
    </row>
    <row r="156" spans="1:10" x14ac:dyDescent="0.2">
      <c r="A156" t="s">
        <v>47</v>
      </c>
      <c r="B156" t="s">
        <v>27</v>
      </c>
      <c r="C156" t="s">
        <v>27</v>
      </c>
      <c r="D156">
        <v>2</v>
      </c>
      <c r="E156" t="s">
        <v>29</v>
      </c>
      <c r="F156" t="s">
        <v>13</v>
      </c>
      <c r="G156">
        <v>0.74456336455190197</v>
      </c>
      <c r="H156">
        <v>0</v>
      </c>
      <c r="I156" t="s">
        <v>14</v>
      </c>
      <c r="J156">
        <v>9.5191955566406194E-2</v>
      </c>
    </row>
    <row r="157" spans="1:10" x14ac:dyDescent="0.2">
      <c r="A157" t="s">
        <v>47</v>
      </c>
      <c r="B157" t="s">
        <v>27</v>
      </c>
      <c r="C157" t="s">
        <v>27</v>
      </c>
      <c r="D157">
        <v>2</v>
      </c>
      <c r="E157" t="s">
        <v>29</v>
      </c>
      <c r="F157" t="s">
        <v>15</v>
      </c>
      <c r="G157">
        <v>0.772022631075023</v>
      </c>
      <c r="H157">
        <v>3.4268029316892698E-2</v>
      </c>
      <c r="I157" t="s">
        <v>14</v>
      </c>
      <c r="J157">
        <v>1.7876119613647401</v>
      </c>
    </row>
    <row r="158" spans="1:10" x14ac:dyDescent="0.2">
      <c r="A158" t="s">
        <v>47</v>
      </c>
      <c r="B158" t="s">
        <v>27</v>
      </c>
      <c r="C158" t="s">
        <v>27</v>
      </c>
      <c r="D158">
        <v>3</v>
      </c>
      <c r="E158" t="s">
        <v>30</v>
      </c>
      <c r="F158" t="s">
        <v>13</v>
      </c>
      <c r="G158">
        <v>0.788165726817042</v>
      </c>
      <c r="H158">
        <v>0</v>
      </c>
      <c r="I158" t="s">
        <v>14</v>
      </c>
      <c r="J158">
        <v>0.10185194015502901</v>
      </c>
    </row>
    <row r="159" spans="1:10" x14ac:dyDescent="0.2">
      <c r="A159" t="s">
        <v>47</v>
      </c>
      <c r="B159" t="s">
        <v>27</v>
      </c>
      <c r="C159" t="s">
        <v>27</v>
      </c>
      <c r="D159">
        <v>3</v>
      </c>
      <c r="E159" t="s">
        <v>30</v>
      </c>
      <c r="F159" t="s">
        <v>15</v>
      </c>
      <c r="G159">
        <v>0.77700924814780203</v>
      </c>
      <c r="H159">
        <v>2.1643674660335802E-2</v>
      </c>
      <c r="I159" t="s">
        <v>14</v>
      </c>
      <c r="J159">
        <v>1.7459127902984599</v>
      </c>
    </row>
    <row r="160" spans="1:10" x14ac:dyDescent="0.2">
      <c r="A160" t="s">
        <v>47</v>
      </c>
      <c r="B160" t="s">
        <v>27</v>
      </c>
      <c r="C160" t="s">
        <v>27</v>
      </c>
      <c r="D160">
        <v>4</v>
      </c>
      <c r="E160" t="s">
        <v>31</v>
      </c>
      <c r="F160" t="s">
        <v>13</v>
      </c>
      <c r="G160">
        <v>0.77570588235294102</v>
      </c>
      <c r="H160">
        <v>0</v>
      </c>
      <c r="I160" t="s">
        <v>14</v>
      </c>
      <c r="J160">
        <v>9.4010829925537095E-2</v>
      </c>
    </row>
    <row r="161" spans="1:10" x14ac:dyDescent="0.2">
      <c r="A161" t="s">
        <v>47</v>
      </c>
      <c r="B161" t="s">
        <v>27</v>
      </c>
      <c r="C161" t="s">
        <v>27</v>
      </c>
      <c r="D161">
        <v>4</v>
      </c>
      <c r="E161" t="s">
        <v>31</v>
      </c>
      <c r="F161" t="s">
        <v>15</v>
      </c>
      <c r="G161">
        <v>0.77451460947697404</v>
      </c>
      <c r="H161">
        <v>3.86238754624336E-2</v>
      </c>
      <c r="I161" t="s">
        <v>14</v>
      </c>
      <c r="J161">
        <v>1.7136251926422099</v>
      </c>
    </row>
    <row r="162" spans="1:10" x14ac:dyDescent="0.2">
      <c r="A162" t="s">
        <v>47</v>
      </c>
      <c r="B162" t="s">
        <v>27</v>
      </c>
      <c r="C162" t="s">
        <v>27</v>
      </c>
      <c r="D162">
        <v>5</v>
      </c>
      <c r="E162" t="s">
        <v>32</v>
      </c>
      <c r="F162" t="s">
        <v>13</v>
      </c>
      <c r="G162">
        <v>0.78190922077413805</v>
      </c>
      <c r="H162">
        <v>0</v>
      </c>
      <c r="I162" t="s">
        <v>14</v>
      </c>
      <c r="J162">
        <v>0.112310886383056</v>
      </c>
    </row>
    <row r="163" spans="1:10" x14ac:dyDescent="0.2">
      <c r="A163" t="s">
        <v>47</v>
      </c>
      <c r="B163" t="s">
        <v>27</v>
      </c>
      <c r="C163" t="s">
        <v>27</v>
      </c>
      <c r="D163">
        <v>5</v>
      </c>
      <c r="E163" t="s">
        <v>32</v>
      </c>
      <c r="F163" t="s">
        <v>15</v>
      </c>
      <c r="G163">
        <v>0.78693680666035304</v>
      </c>
      <c r="H163">
        <v>3.6611683622544001E-2</v>
      </c>
      <c r="I163" t="s">
        <v>14</v>
      </c>
      <c r="J163">
        <v>1.87169408798217</v>
      </c>
    </row>
    <row r="164" spans="1:10" x14ac:dyDescent="0.2">
      <c r="A164" t="s">
        <v>47</v>
      </c>
      <c r="B164" t="s">
        <v>27</v>
      </c>
      <c r="C164" t="s">
        <v>27</v>
      </c>
      <c r="D164">
        <v>6</v>
      </c>
      <c r="E164" t="s">
        <v>33</v>
      </c>
      <c r="F164" t="s">
        <v>13</v>
      </c>
      <c r="G164">
        <v>0.78190922077413805</v>
      </c>
      <c r="H164">
        <v>0</v>
      </c>
      <c r="I164" t="s">
        <v>14</v>
      </c>
      <c r="J164">
        <v>0.10668683052062899</v>
      </c>
    </row>
    <row r="165" spans="1:10" x14ac:dyDescent="0.2">
      <c r="A165" t="s">
        <v>47</v>
      </c>
      <c r="B165" t="s">
        <v>27</v>
      </c>
      <c r="C165" t="s">
        <v>27</v>
      </c>
      <c r="D165">
        <v>6</v>
      </c>
      <c r="E165" t="s">
        <v>33</v>
      </c>
      <c r="F165" t="s">
        <v>15</v>
      </c>
      <c r="G165">
        <v>0.79414306466542595</v>
      </c>
      <c r="H165">
        <v>2.3247843196580398E-2</v>
      </c>
      <c r="I165" t="s">
        <v>14</v>
      </c>
      <c r="J165">
        <v>1.88168716430664</v>
      </c>
    </row>
    <row r="166" spans="1:10" x14ac:dyDescent="0.2">
      <c r="A166" t="s">
        <v>47</v>
      </c>
      <c r="B166" t="s">
        <v>27</v>
      </c>
      <c r="C166" t="s">
        <v>27</v>
      </c>
      <c r="D166">
        <v>7</v>
      </c>
      <c r="E166" t="s">
        <v>34</v>
      </c>
      <c r="F166" t="s">
        <v>13</v>
      </c>
      <c r="G166">
        <v>0.76324509803921503</v>
      </c>
      <c r="H166">
        <v>0</v>
      </c>
      <c r="I166" t="s">
        <v>14</v>
      </c>
      <c r="J166">
        <v>0.110249996185302</v>
      </c>
    </row>
    <row r="167" spans="1:10" x14ac:dyDescent="0.2">
      <c r="A167" t="s">
        <v>47</v>
      </c>
      <c r="B167" t="s">
        <v>27</v>
      </c>
      <c r="C167" t="s">
        <v>27</v>
      </c>
      <c r="D167">
        <v>7</v>
      </c>
      <c r="E167" t="s">
        <v>34</v>
      </c>
      <c r="F167" t="s">
        <v>15</v>
      </c>
      <c r="G167">
        <v>0.79179621655731203</v>
      </c>
      <c r="H167">
        <v>2.2160469924371401E-2</v>
      </c>
      <c r="I167" t="s">
        <v>14</v>
      </c>
      <c r="J167">
        <v>1.86865305900573</v>
      </c>
    </row>
    <row r="168" spans="1:10" x14ac:dyDescent="0.2">
      <c r="A168" t="s">
        <v>47</v>
      </c>
      <c r="B168" t="s">
        <v>27</v>
      </c>
      <c r="C168" t="s">
        <v>27</v>
      </c>
      <c r="D168">
        <v>8</v>
      </c>
      <c r="E168" t="s">
        <v>35</v>
      </c>
      <c r="F168" t="s">
        <v>13</v>
      </c>
      <c r="G168">
        <v>0.80062745098039201</v>
      </c>
      <c r="H168">
        <v>0</v>
      </c>
      <c r="I168" t="s">
        <v>14</v>
      </c>
      <c r="J168">
        <v>9.8361730575561496E-2</v>
      </c>
    </row>
    <row r="169" spans="1:10" x14ac:dyDescent="0.2">
      <c r="A169" t="s">
        <v>47</v>
      </c>
      <c r="B169" t="s">
        <v>27</v>
      </c>
      <c r="C169" t="s">
        <v>27</v>
      </c>
      <c r="D169">
        <v>8</v>
      </c>
      <c r="E169" t="s">
        <v>35</v>
      </c>
      <c r="F169" t="s">
        <v>15</v>
      </c>
      <c r="G169">
        <v>0.77694941229050896</v>
      </c>
      <c r="H169">
        <v>1.8299781150434801E-2</v>
      </c>
      <c r="I169" t="s">
        <v>14</v>
      </c>
      <c r="J169">
        <v>1.9092588424682599</v>
      </c>
    </row>
    <row r="170" spans="1:10" x14ac:dyDescent="0.2">
      <c r="A170" t="s">
        <v>47</v>
      </c>
      <c r="B170" t="s">
        <v>27</v>
      </c>
      <c r="C170" t="s">
        <v>27</v>
      </c>
      <c r="D170">
        <v>9</v>
      </c>
      <c r="E170" t="s">
        <v>36</v>
      </c>
      <c r="F170" t="s">
        <v>13</v>
      </c>
      <c r="G170">
        <v>0.77549598488426996</v>
      </c>
      <c r="H170">
        <v>0</v>
      </c>
      <c r="I170" t="s">
        <v>14</v>
      </c>
      <c r="J170">
        <v>9.9390983581542899E-2</v>
      </c>
    </row>
    <row r="171" spans="1:10" x14ac:dyDescent="0.2">
      <c r="A171" t="s">
        <v>47</v>
      </c>
      <c r="B171" t="s">
        <v>27</v>
      </c>
      <c r="C171" t="s">
        <v>27</v>
      </c>
      <c r="D171">
        <v>9</v>
      </c>
      <c r="E171" t="s">
        <v>36</v>
      </c>
      <c r="F171" t="s">
        <v>15</v>
      </c>
      <c r="G171">
        <v>0.78286193410845994</v>
      </c>
      <c r="H171">
        <v>2.7684690028985999E-2</v>
      </c>
      <c r="I171" t="s">
        <v>14</v>
      </c>
      <c r="J171">
        <v>1.9485898017883301</v>
      </c>
    </row>
    <row r="172" spans="1:10" x14ac:dyDescent="0.2">
      <c r="A172" t="s">
        <v>47</v>
      </c>
      <c r="B172" t="s">
        <v>27</v>
      </c>
      <c r="C172" t="s">
        <v>27</v>
      </c>
      <c r="D172">
        <v>10</v>
      </c>
      <c r="E172" t="s">
        <v>37</v>
      </c>
      <c r="F172" t="s">
        <v>13</v>
      </c>
      <c r="G172">
        <v>0.78816666666666602</v>
      </c>
      <c r="H172">
        <v>0</v>
      </c>
      <c r="I172" t="s">
        <v>14</v>
      </c>
      <c r="J172">
        <v>0.109827995300292</v>
      </c>
    </row>
    <row r="173" spans="1:10" x14ac:dyDescent="0.2">
      <c r="A173" t="s">
        <v>47</v>
      </c>
      <c r="B173" t="s">
        <v>27</v>
      </c>
      <c r="C173" t="s">
        <v>27</v>
      </c>
      <c r="D173">
        <v>10</v>
      </c>
      <c r="E173" t="s">
        <v>37</v>
      </c>
      <c r="F173" t="s">
        <v>15</v>
      </c>
      <c r="G173">
        <v>0.78567922269441803</v>
      </c>
      <c r="H173">
        <v>2.3766446961257199E-2</v>
      </c>
      <c r="I173" t="s">
        <v>14</v>
      </c>
      <c r="J173">
        <v>1.88085389137268</v>
      </c>
    </row>
    <row r="174" spans="1:10" x14ac:dyDescent="0.2">
      <c r="A174" t="s">
        <v>47</v>
      </c>
      <c r="B174" t="s">
        <v>27</v>
      </c>
      <c r="C174" t="s">
        <v>27</v>
      </c>
      <c r="D174">
        <v>11</v>
      </c>
      <c r="E174" t="s">
        <v>38</v>
      </c>
      <c r="F174" t="s">
        <v>13</v>
      </c>
      <c r="G174">
        <v>0.77570488721804498</v>
      </c>
      <c r="H174">
        <v>0</v>
      </c>
      <c r="I174" t="s">
        <v>14</v>
      </c>
      <c r="J174">
        <v>0.10517406463623</v>
      </c>
    </row>
    <row r="175" spans="1:10" x14ac:dyDescent="0.2">
      <c r="A175" t="s">
        <v>47</v>
      </c>
      <c r="B175" t="s">
        <v>27</v>
      </c>
      <c r="C175" t="s">
        <v>27</v>
      </c>
      <c r="D175">
        <v>11</v>
      </c>
      <c r="E175" t="s">
        <v>38</v>
      </c>
      <c r="F175" t="s">
        <v>15</v>
      </c>
      <c r="G175">
        <v>0.80164329501687104</v>
      </c>
      <c r="H175">
        <v>2.2943455451096401E-2</v>
      </c>
      <c r="I175" t="s">
        <v>14</v>
      </c>
      <c r="J175">
        <v>1.8713572025298999</v>
      </c>
    </row>
    <row r="176" spans="1:10" x14ac:dyDescent="0.2">
      <c r="A176" t="s">
        <v>47</v>
      </c>
      <c r="B176" t="s">
        <v>27</v>
      </c>
      <c r="C176" t="s">
        <v>27</v>
      </c>
      <c r="D176">
        <v>12</v>
      </c>
      <c r="E176" t="s">
        <v>39</v>
      </c>
      <c r="F176" t="s">
        <v>13</v>
      </c>
      <c r="G176">
        <v>0.79427419354838702</v>
      </c>
      <c r="H176">
        <v>0</v>
      </c>
      <c r="I176" t="s">
        <v>14</v>
      </c>
      <c r="J176">
        <v>0.10646009445190401</v>
      </c>
    </row>
    <row r="177" spans="1:10" x14ac:dyDescent="0.2">
      <c r="A177" t="s">
        <v>47</v>
      </c>
      <c r="B177" t="s">
        <v>27</v>
      </c>
      <c r="C177" t="s">
        <v>27</v>
      </c>
      <c r="D177">
        <v>12</v>
      </c>
      <c r="E177" t="s">
        <v>39</v>
      </c>
      <c r="F177" t="s">
        <v>15</v>
      </c>
      <c r="G177">
        <v>0.78542475185655503</v>
      </c>
      <c r="H177">
        <v>3.3676123740546203E-2</v>
      </c>
      <c r="I177" t="s">
        <v>14</v>
      </c>
      <c r="J177">
        <v>1.8435730934143</v>
      </c>
    </row>
    <row r="178" spans="1:10" x14ac:dyDescent="0.2">
      <c r="A178" t="s">
        <v>47</v>
      </c>
      <c r="B178" t="s">
        <v>40</v>
      </c>
      <c r="C178" t="s">
        <v>40</v>
      </c>
      <c r="D178">
        <v>1</v>
      </c>
      <c r="E178" t="s">
        <v>41</v>
      </c>
      <c r="F178" t="s">
        <v>13</v>
      </c>
      <c r="G178">
        <v>0.75101842461122303</v>
      </c>
      <c r="H178">
        <v>0</v>
      </c>
      <c r="I178" t="s">
        <v>14</v>
      </c>
      <c r="J178">
        <v>1.2422859668731601</v>
      </c>
    </row>
    <row r="179" spans="1:10" x14ac:dyDescent="0.2">
      <c r="A179" t="s">
        <v>47</v>
      </c>
      <c r="B179" t="s">
        <v>40</v>
      </c>
      <c r="C179" t="s">
        <v>40</v>
      </c>
      <c r="D179">
        <v>1</v>
      </c>
      <c r="E179" t="s">
        <v>41</v>
      </c>
      <c r="F179" t="s">
        <v>15</v>
      </c>
      <c r="G179">
        <v>0.77608081236406801</v>
      </c>
      <c r="H179">
        <v>3.3055640744546297E-2</v>
      </c>
      <c r="I179" t="s">
        <v>14</v>
      </c>
      <c r="J179">
        <v>26.286783933639501</v>
      </c>
    </row>
    <row r="180" spans="1:10" x14ac:dyDescent="0.2">
      <c r="A180" t="s">
        <v>47</v>
      </c>
      <c r="B180" t="s">
        <v>40</v>
      </c>
      <c r="C180" t="s">
        <v>40</v>
      </c>
      <c r="D180">
        <v>2</v>
      </c>
      <c r="E180" t="s">
        <v>42</v>
      </c>
      <c r="F180" t="s">
        <v>13</v>
      </c>
      <c r="G180">
        <v>0.73631556683587096</v>
      </c>
      <c r="H180">
        <v>0</v>
      </c>
      <c r="I180" t="s">
        <v>14</v>
      </c>
      <c r="J180">
        <v>1.2792720794677701</v>
      </c>
    </row>
    <row r="181" spans="1:10" x14ac:dyDescent="0.2">
      <c r="A181" t="s">
        <v>47</v>
      </c>
      <c r="B181" t="s">
        <v>40</v>
      </c>
      <c r="C181" t="s">
        <v>40</v>
      </c>
      <c r="D181">
        <v>2</v>
      </c>
      <c r="E181" t="s">
        <v>42</v>
      </c>
      <c r="F181" t="s">
        <v>15</v>
      </c>
      <c r="G181">
        <v>0.75409295051004699</v>
      </c>
      <c r="H181">
        <v>3.7742663721939899E-2</v>
      </c>
      <c r="I181" t="s">
        <v>14</v>
      </c>
      <c r="J181">
        <v>31.0788879394531</v>
      </c>
    </row>
    <row r="182" spans="1:10" x14ac:dyDescent="0.2">
      <c r="A182" t="s">
        <v>47</v>
      </c>
      <c r="B182" t="s">
        <v>40</v>
      </c>
      <c r="C182" t="s">
        <v>40</v>
      </c>
      <c r="D182">
        <v>3</v>
      </c>
      <c r="E182" t="s">
        <v>43</v>
      </c>
      <c r="F182" t="s">
        <v>13</v>
      </c>
      <c r="G182">
        <v>0.72345291155957203</v>
      </c>
      <c r="H182">
        <v>0</v>
      </c>
      <c r="I182" t="s">
        <v>14</v>
      </c>
      <c r="J182">
        <v>2.2937698364257799</v>
      </c>
    </row>
    <row r="183" spans="1:10" x14ac:dyDescent="0.2">
      <c r="A183" t="s">
        <v>47</v>
      </c>
      <c r="B183" t="s">
        <v>40</v>
      </c>
      <c r="C183" t="s">
        <v>40</v>
      </c>
      <c r="D183">
        <v>3</v>
      </c>
      <c r="E183" t="s">
        <v>43</v>
      </c>
      <c r="F183" t="s">
        <v>15</v>
      </c>
      <c r="G183">
        <v>0.75990297098498005</v>
      </c>
      <c r="H183">
        <v>2.7729856591745299E-2</v>
      </c>
      <c r="I183" t="s">
        <v>14</v>
      </c>
      <c r="J183">
        <v>38.586838006973203</v>
      </c>
    </row>
    <row r="184" spans="1:10" x14ac:dyDescent="0.2">
      <c r="A184" t="s">
        <v>47</v>
      </c>
      <c r="B184" t="s">
        <v>40</v>
      </c>
      <c r="C184" t="s">
        <v>40</v>
      </c>
      <c r="D184">
        <v>4</v>
      </c>
      <c r="E184" t="s">
        <v>44</v>
      </c>
      <c r="F184" t="s">
        <v>13</v>
      </c>
      <c r="G184">
        <v>0.73364741418955604</v>
      </c>
      <c r="H184">
        <v>0</v>
      </c>
      <c r="I184" t="s">
        <v>14</v>
      </c>
      <c r="J184">
        <v>2.78076815605163</v>
      </c>
    </row>
    <row r="185" spans="1:10" x14ac:dyDescent="0.2">
      <c r="A185" t="s">
        <v>47</v>
      </c>
      <c r="B185" t="s">
        <v>40</v>
      </c>
      <c r="C185" t="s">
        <v>40</v>
      </c>
      <c r="D185">
        <v>4</v>
      </c>
      <c r="E185" t="s">
        <v>44</v>
      </c>
      <c r="F185" t="s">
        <v>15</v>
      </c>
      <c r="G185">
        <v>0.77647964321914897</v>
      </c>
      <c r="H185">
        <v>3.3805489081699697E-2</v>
      </c>
      <c r="I185" t="s">
        <v>14</v>
      </c>
      <c r="J185">
        <v>48.718331098556497</v>
      </c>
    </row>
    <row r="186" spans="1:10" x14ac:dyDescent="0.2">
      <c r="A186" t="s">
        <v>47</v>
      </c>
      <c r="B186" t="s">
        <v>45</v>
      </c>
      <c r="C186" t="s">
        <v>45</v>
      </c>
      <c r="D186">
        <v>1</v>
      </c>
      <c r="E186" t="s">
        <v>41</v>
      </c>
      <c r="F186" t="s">
        <v>13</v>
      </c>
      <c r="G186">
        <v>0.76496763261496004</v>
      </c>
      <c r="H186">
        <v>0</v>
      </c>
      <c r="I186" t="s">
        <v>14</v>
      </c>
      <c r="J186">
        <v>6.4563300609588596</v>
      </c>
    </row>
    <row r="187" spans="1:10" x14ac:dyDescent="0.2">
      <c r="A187" t="s">
        <v>47</v>
      </c>
      <c r="B187" t="s">
        <v>45</v>
      </c>
      <c r="C187" t="s">
        <v>45</v>
      </c>
      <c r="D187">
        <v>1</v>
      </c>
      <c r="E187" t="s">
        <v>41</v>
      </c>
      <c r="F187" t="s">
        <v>15</v>
      </c>
      <c r="G187">
        <v>0.78122158771141104</v>
      </c>
      <c r="H187">
        <v>3.98471393574127E-2</v>
      </c>
      <c r="I187" t="s">
        <v>14</v>
      </c>
      <c r="J187">
        <v>112.384995937347</v>
      </c>
    </row>
    <row r="188" spans="1:10" x14ac:dyDescent="0.2">
      <c r="A188" t="s">
        <v>47</v>
      </c>
      <c r="B188" t="s">
        <v>45</v>
      </c>
      <c r="C188" t="s">
        <v>45</v>
      </c>
      <c r="D188">
        <v>2</v>
      </c>
      <c r="E188" t="s">
        <v>42</v>
      </c>
      <c r="F188" t="s">
        <v>13</v>
      </c>
      <c r="G188">
        <v>0.76113331202045997</v>
      </c>
      <c r="H188">
        <v>0</v>
      </c>
      <c r="I188" t="s">
        <v>14</v>
      </c>
      <c r="J188">
        <v>8.8221499919891304</v>
      </c>
    </row>
    <row r="189" spans="1:10" x14ac:dyDescent="0.2">
      <c r="A189" t="s">
        <v>47</v>
      </c>
      <c r="B189" t="s">
        <v>45</v>
      </c>
      <c r="C189" t="s">
        <v>45</v>
      </c>
      <c r="D189">
        <v>2</v>
      </c>
      <c r="E189" t="s">
        <v>42</v>
      </c>
      <c r="F189" t="s">
        <v>15</v>
      </c>
      <c r="G189">
        <v>0.78265738174296695</v>
      </c>
      <c r="H189">
        <v>2.49352919971659E-2</v>
      </c>
      <c r="I189" t="s">
        <v>14</v>
      </c>
      <c r="J189">
        <v>148.619025945663</v>
      </c>
    </row>
    <row r="190" spans="1:10" x14ac:dyDescent="0.2">
      <c r="A190" t="s">
        <v>47</v>
      </c>
      <c r="B190" t="s">
        <v>45</v>
      </c>
      <c r="C190" t="s">
        <v>45</v>
      </c>
      <c r="D190">
        <v>3</v>
      </c>
      <c r="E190" t="s">
        <v>43</v>
      </c>
      <c r="F190" t="s">
        <v>13</v>
      </c>
      <c r="G190">
        <v>0.74912406434145495</v>
      </c>
      <c r="H190">
        <v>0</v>
      </c>
      <c r="I190" t="s">
        <v>14</v>
      </c>
      <c r="J190">
        <v>10.450655937194799</v>
      </c>
    </row>
    <row r="191" spans="1:10" x14ac:dyDescent="0.2">
      <c r="A191" t="s">
        <v>47</v>
      </c>
      <c r="B191" t="s">
        <v>45</v>
      </c>
      <c r="C191" t="s">
        <v>45</v>
      </c>
      <c r="D191">
        <v>3</v>
      </c>
      <c r="E191" t="s">
        <v>43</v>
      </c>
      <c r="F191" t="s">
        <v>15</v>
      </c>
      <c r="G191">
        <v>0.79356442743357103</v>
      </c>
      <c r="H191">
        <v>3.8397305459352403E-2</v>
      </c>
      <c r="I191" t="s">
        <v>14</v>
      </c>
      <c r="J191">
        <v>183.548376083374</v>
      </c>
    </row>
    <row r="192" spans="1:10" x14ac:dyDescent="0.2">
      <c r="A192" t="s">
        <v>47</v>
      </c>
      <c r="B192" t="s">
        <v>45</v>
      </c>
      <c r="C192" t="s">
        <v>45</v>
      </c>
      <c r="D192">
        <v>4</v>
      </c>
      <c r="E192" t="s">
        <v>44</v>
      </c>
      <c r="F192" t="s">
        <v>13</v>
      </c>
      <c r="G192">
        <v>0.77490353266476797</v>
      </c>
      <c r="H192">
        <v>0</v>
      </c>
      <c r="I192" t="s">
        <v>14</v>
      </c>
      <c r="J192">
        <v>11.0551259517669</v>
      </c>
    </row>
    <row r="193" spans="1:10" x14ac:dyDescent="0.2">
      <c r="A193" t="s">
        <v>47</v>
      </c>
      <c r="B193" t="s">
        <v>45</v>
      </c>
      <c r="C193" t="s">
        <v>45</v>
      </c>
      <c r="D193">
        <v>4</v>
      </c>
      <c r="E193" t="s">
        <v>44</v>
      </c>
      <c r="F193" t="s">
        <v>15</v>
      </c>
      <c r="G193">
        <v>0.783848591723876</v>
      </c>
      <c r="H193">
        <v>2.9433248427328799E-2</v>
      </c>
      <c r="I193" t="s">
        <v>14</v>
      </c>
      <c r="J193">
        <v>235.973227024078</v>
      </c>
    </row>
    <row r="194" spans="1:10" x14ac:dyDescent="0.2">
      <c r="A194" t="s">
        <v>48</v>
      </c>
      <c r="B194" t="s">
        <v>11</v>
      </c>
      <c r="C194" t="s">
        <v>11</v>
      </c>
      <c r="D194">
        <v>1</v>
      </c>
      <c r="E194" t="s">
        <v>12</v>
      </c>
      <c r="F194" t="s">
        <v>13</v>
      </c>
      <c r="G194">
        <v>0.52719459890512499</v>
      </c>
      <c r="H194">
        <v>0</v>
      </c>
      <c r="I194" t="s">
        <v>14</v>
      </c>
      <c r="J194">
        <v>0.53688502311706499</v>
      </c>
    </row>
    <row r="195" spans="1:10" x14ac:dyDescent="0.2">
      <c r="A195" t="s">
        <v>48</v>
      </c>
      <c r="B195" t="s">
        <v>11</v>
      </c>
      <c r="C195" t="s">
        <v>11</v>
      </c>
      <c r="D195">
        <v>1</v>
      </c>
      <c r="E195" t="s">
        <v>12</v>
      </c>
      <c r="F195" t="s">
        <v>15</v>
      </c>
      <c r="G195">
        <v>0.51001071409765897</v>
      </c>
      <c r="H195">
        <v>4.6173426786343501E-2</v>
      </c>
      <c r="I195" t="s">
        <v>14</v>
      </c>
      <c r="J195">
        <v>6.3601567745208696</v>
      </c>
    </row>
    <row r="196" spans="1:10" x14ac:dyDescent="0.2">
      <c r="A196" t="s">
        <v>48</v>
      </c>
      <c r="B196" t="s">
        <v>11</v>
      </c>
      <c r="C196" t="s">
        <v>11</v>
      </c>
      <c r="D196">
        <v>2</v>
      </c>
      <c r="E196" t="s">
        <v>16</v>
      </c>
      <c r="F196" t="s">
        <v>13</v>
      </c>
      <c r="G196">
        <v>0.496948236879864</v>
      </c>
      <c r="H196">
        <v>0</v>
      </c>
      <c r="I196" t="s">
        <v>14</v>
      </c>
      <c r="J196">
        <v>1.12420606613159</v>
      </c>
    </row>
    <row r="197" spans="1:10" x14ac:dyDescent="0.2">
      <c r="A197" t="s">
        <v>48</v>
      </c>
      <c r="B197" t="s">
        <v>11</v>
      </c>
      <c r="C197" t="s">
        <v>11</v>
      </c>
      <c r="D197">
        <v>2</v>
      </c>
      <c r="E197" t="s">
        <v>16</v>
      </c>
      <c r="F197" t="s">
        <v>15</v>
      </c>
      <c r="G197">
        <v>0.52399558430134796</v>
      </c>
      <c r="H197">
        <v>4.4810435164102699E-2</v>
      </c>
      <c r="I197" t="s">
        <v>14</v>
      </c>
      <c r="J197">
        <v>13.3274228572845</v>
      </c>
    </row>
    <row r="198" spans="1:10" x14ac:dyDescent="0.2">
      <c r="A198" t="s">
        <v>48</v>
      </c>
      <c r="B198" t="s">
        <v>11</v>
      </c>
      <c r="C198" t="s">
        <v>11</v>
      </c>
      <c r="D198">
        <v>3</v>
      </c>
      <c r="E198" t="s">
        <v>17</v>
      </c>
      <c r="F198" t="s">
        <v>13</v>
      </c>
      <c r="G198">
        <v>0.48723921289710698</v>
      </c>
      <c r="H198">
        <v>0</v>
      </c>
      <c r="I198" t="s">
        <v>14</v>
      </c>
      <c r="J198">
        <v>1.60786509513854</v>
      </c>
    </row>
    <row r="199" spans="1:10" x14ac:dyDescent="0.2">
      <c r="A199" t="s">
        <v>48</v>
      </c>
      <c r="B199" t="s">
        <v>11</v>
      </c>
      <c r="C199" t="s">
        <v>11</v>
      </c>
      <c r="D199">
        <v>3</v>
      </c>
      <c r="E199" t="s">
        <v>17</v>
      </c>
      <c r="F199" t="s">
        <v>15</v>
      </c>
      <c r="G199">
        <v>0.48539737226332402</v>
      </c>
      <c r="H199">
        <v>5.94202287795405E-2</v>
      </c>
      <c r="I199" t="s">
        <v>14</v>
      </c>
      <c r="J199">
        <v>19.716748952865601</v>
      </c>
    </row>
    <row r="200" spans="1:10" x14ac:dyDescent="0.2">
      <c r="A200" t="s">
        <v>48</v>
      </c>
      <c r="B200" t="s">
        <v>11</v>
      </c>
      <c r="C200" t="s">
        <v>11</v>
      </c>
      <c r="D200">
        <v>4</v>
      </c>
      <c r="E200" t="s">
        <v>18</v>
      </c>
      <c r="F200" t="s">
        <v>13</v>
      </c>
      <c r="G200">
        <v>0.67591534971053002</v>
      </c>
      <c r="H200">
        <v>0</v>
      </c>
      <c r="I200" t="s">
        <v>14</v>
      </c>
      <c r="J200">
        <v>0.85153222084045399</v>
      </c>
    </row>
    <row r="201" spans="1:10" x14ac:dyDescent="0.2">
      <c r="A201" t="s">
        <v>48</v>
      </c>
      <c r="B201" t="s">
        <v>11</v>
      </c>
      <c r="C201" t="s">
        <v>11</v>
      </c>
      <c r="D201">
        <v>4</v>
      </c>
      <c r="E201" t="s">
        <v>18</v>
      </c>
      <c r="F201" t="s">
        <v>15</v>
      </c>
      <c r="G201">
        <v>0.70482333112010298</v>
      </c>
      <c r="H201">
        <v>4.0443169883545002E-2</v>
      </c>
      <c r="I201" t="s">
        <v>14</v>
      </c>
      <c r="J201">
        <v>14.203930854797299</v>
      </c>
    </row>
    <row r="202" spans="1:10" x14ac:dyDescent="0.2">
      <c r="A202" t="s">
        <v>48</v>
      </c>
      <c r="B202" t="s">
        <v>11</v>
      </c>
      <c r="C202" t="s">
        <v>11</v>
      </c>
      <c r="D202">
        <v>5</v>
      </c>
      <c r="E202" t="s">
        <v>19</v>
      </c>
      <c r="F202" t="s">
        <v>13</v>
      </c>
      <c r="G202">
        <v>0.72534380371933105</v>
      </c>
      <c r="H202">
        <v>0</v>
      </c>
      <c r="I202" t="s">
        <v>14</v>
      </c>
      <c r="J202">
        <v>1.38074398040771</v>
      </c>
    </row>
    <row r="203" spans="1:10" x14ac:dyDescent="0.2">
      <c r="A203" t="s">
        <v>48</v>
      </c>
      <c r="B203" t="s">
        <v>11</v>
      </c>
      <c r="C203" t="s">
        <v>11</v>
      </c>
      <c r="D203">
        <v>5</v>
      </c>
      <c r="E203" t="s">
        <v>19</v>
      </c>
      <c r="F203" t="s">
        <v>15</v>
      </c>
      <c r="G203">
        <v>0.72331347054918704</v>
      </c>
      <c r="H203">
        <v>5.4251514023037302E-2</v>
      </c>
      <c r="I203" t="s">
        <v>14</v>
      </c>
      <c r="J203">
        <v>27.998891115188599</v>
      </c>
    </row>
    <row r="204" spans="1:10" x14ac:dyDescent="0.2">
      <c r="A204" t="s">
        <v>48</v>
      </c>
      <c r="B204" t="s">
        <v>11</v>
      </c>
      <c r="C204" t="s">
        <v>11</v>
      </c>
      <c r="D204">
        <v>6</v>
      </c>
      <c r="E204" t="s">
        <v>20</v>
      </c>
      <c r="F204" t="s">
        <v>13</v>
      </c>
      <c r="G204">
        <v>0.71946885690692397</v>
      </c>
      <c r="H204">
        <v>0</v>
      </c>
      <c r="I204" t="s">
        <v>14</v>
      </c>
      <c r="J204">
        <v>2.1541607379913299</v>
      </c>
    </row>
    <row r="205" spans="1:10" x14ac:dyDescent="0.2">
      <c r="A205" t="s">
        <v>48</v>
      </c>
      <c r="B205" t="s">
        <v>11</v>
      </c>
      <c r="C205" t="s">
        <v>11</v>
      </c>
      <c r="D205">
        <v>6</v>
      </c>
      <c r="E205" t="s">
        <v>20</v>
      </c>
      <c r="F205" t="s">
        <v>15</v>
      </c>
      <c r="G205">
        <v>0.720950499930054</v>
      </c>
      <c r="H205">
        <v>5.0037801431834297E-2</v>
      </c>
      <c r="I205" t="s">
        <v>14</v>
      </c>
      <c r="J205">
        <v>41.585646152496302</v>
      </c>
    </row>
    <row r="206" spans="1:10" x14ac:dyDescent="0.2">
      <c r="A206" t="s">
        <v>48</v>
      </c>
      <c r="B206" t="s">
        <v>11</v>
      </c>
      <c r="C206" t="s">
        <v>11</v>
      </c>
      <c r="D206">
        <v>7</v>
      </c>
      <c r="E206" t="s">
        <v>21</v>
      </c>
      <c r="F206" t="s">
        <v>13</v>
      </c>
      <c r="G206">
        <v>0.74456336455190197</v>
      </c>
      <c r="H206">
        <v>0</v>
      </c>
      <c r="I206" t="s">
        <v>14</v>
      </c>
      <c r="J206">
        <v>9.8255157470703097E-2</v>
      </c>
    </row>
    <row r="207" spans="1:10" x14ac:dyDescent="0.2">
      <c r="A207" t="s">
        <v>48</v>
      </c>
      <c r="B207" t="s">
        <v>11</v>
      </c>
      <c r="C207" t="s">
        <v>11</v>
      </c>
      <c r="D207">
        <v>7</v>
      </c>
      <c r="E207" t="s">
        <v>21</v>
      </c>
      <c r="F207" t="s">
        <v>15</v>
      </c>
      <c r="G207">
        <v>0.73240313398974299</v>
      </c>
      <c r="H207">
        <v>2.11195408086308E-2</v>
      </c>
      <c r="I207" t="s">
        <v>14</v>
      </c>
      <c r="J207">
        <v>1.5671141147613501</v>
      </c>
    </row>
    <row r="208" spans="1:10" x14ac:dyDescent="0.2">
      <c r="A208" t="s">
        <v>48</v>
      </c>
      <c r="B208" t="s">
        <v>11</v>
      </c>
      <c r="C208" t="s">
        <v>11</v>
      </c>
      <c r="D208">
        <v>8</v>
      </c>
      <c r="E208" t="s">
        <v>22</v>
      </c>
      <c r="F208" t="s">
        <v>13</v>
      </c>
      <c r="G208">
        <v>0.73824245757385198</v>
      </c>
      <c r="H208">
        <v>0</v>
      </c>
      <c r="I208" t="s">
        <v>14</v>
      </c>
      <c r="J208">
        <v>0.15003085136413499</v>
      </c>
    </row>
    <row r="209" spans="1:10" x14ac:dyDescent="0.2">
      <c r="A209" t="s">
        <v>48</v>
      </c>
      <c r="B209" t="s">
        <v>11</v>
      </c>
      <c r="C209" t="s">
        <v>11</v>
      </c>
      <c r="D209">
        <v>8</v>
      </c>
      <c r="E209" t="s">
        <v>22</v>
      </c>
      <c r="F209" t="s">
        <v>15</v>
      </c>
      <c r="G209">
        <v>0.72980916081226099</v>
      </c>
      <c r="H209">
        <v>2.7374009398058698E-2</v>
      </c>
      <c r="I209" t="s">
        <v>14</v>
      </c>
      <c r="J209">
        <v>2.6184408664703298</v>
      </c>
    </row>
    <row r="210" spans="1:10" x14ac:dyDescent="0.2">
      <c r="A210" t="s">
        <v>48</v>
      </c>
      <c r="B210" t="s">
        <v>11</v>
      </c>
      <c r="C210" t="s">
        <v>11</v>
      </c>
      <c r="D210">
        <v>9</v>
      </c>
      <c r="E210" t="s">
        <v>23</v>
      </c>
      <c r="F210" t="s">
        <v>13</v>
      </c>
      <c r="G210">
        <v>0.732062188468935</v>
      </c>
      <c r="H210">
        <v>0</v>
      </c>
      <c r="I210" t="s">
        <v>14</v>
      </c>
      <c r="J210">
        <v>0.222342729568481</v>
      </c>
    </row>
    <row r="211" spans="1:10" x14ac:dyDescent="0.2">
      <c r="A211" t="s">
        <v>48</v>
      </c>
      <c r="B211" t="s">
        <v>11</v>
      </c>
      <c r="C211" t="s">
        <v>11</v>
      </c>
      <c r="D211">
        <v>9</v>
      </c>
      <c r="E211" t="s">
        <v>23</v>
      </c>
      <c r="F211" t="s">
        <v>15</v>
      </c>
      <c r="G211">
        <v>0.73580556121962903</v>
      </c>
      <c r="H211">
        <v>2.4400054502913101E-2</v>
      </c>
      <c r="I211" t="s">
        <v>14</v>
      </c>
      <c r="J211">
        <v>3.6548938751220699</v>
      </c>
    </row>
    <row r="212" spans="1:10" x14ac:dyDescent="0.2">
      <c r="A212" t="s">
        <v>48</v>
      </c>
      <c r="B212" t="s">
        <v>11</v>
      </c>
      <c r="C212" t="s">
        <v>11</v>
      </c>
      <c r="D212">
        <v>10</v>
      </c>
      <c r="E212" t="s">
        <v>24</v>
      </c>
      <c r="F212" t="s">
        <v>13</v>
      </c>
      <c r="G212">
        <v>0.77528409090909001</v>
      </c>
      <c r="H212">
        <v>0</v>
      </c>
      <c r="I212" t="s">
        <v>14</v>
      </c>
      <c r="J212">
        <v>11.657587289810101</v>
      </c>
    </row>
    <row r="213" spans="1:10" x14ac:dyDescent="0.2">
      <c r="A213" t="s">
        <v>48</v>
      </c>
      <c r="B213" t="s">
        <v>11</v>
      </c>
      <c r="C213" t="s">
        <v>11</v>
      </c>
      <c r="D213">
        <v>10</v>
      </c>
      <c r="E213" t="s">
        <v>24</v>
      </c>
      <c r="F213" t="s">
        <v>15</v>
      </c>
      <c r="G213">
        <v>0.79472996680736496</v>
      </c>
      <c r="H213">
        <v>3.7398666324605701E-2</v>
      </c>
      <c r="I213" t="s">
        <v>14</v>
      </c>
      <c r="J213">
        <v>176.961018085479</v>
      </c>
    </row>
    <row r="214" spans="1:10" x14ac:dyDescent="0.2">
      <c r="A214" t="s">
        <v>48</v>
      </c>
      <c r="B214" t="s">
        <v>11</v>
      </c>
      <c r="C214" t="s">
        <v>11</v>
      </c>
      <c r="D214">
        <v>11</v>
      </c>
      <c r="E214" t="s">
        <v>25</v>
      </c>
      <c r="F214" t="s">
        <v>13</v>
      </c>
      <c r="G214">
        <v>0.76166786112438201</v>
      </c>
      <c r="H214">
        <v>0</v>
      </c>
      <c r="I214" t="s">
        <v>14</v>
      </c>
      <c r="J214">
        <v>23.531684160232501</v>
      </c>
    </row>
    <row r="215" spans="1:10" x14ac:dyDescent="0.2">
      <c r="A215" t="s">
        <v>48</v>
      </c>
      <c r="B215" t="s">
        <v>11</v>
      </c>
      <c r="C215" t="s">
        <v>11</v>
      </c>
      <c r="D215">
        <v>11</v>
      </c>
      <c r="E215" t="s">
        <v>25</v>
      </c>
      <c r="F215" t="s">
        <v>15</v>
      </c>
      <c r="G215">
        <v>0.78184994519691398</v>
      </c>
      <c r="H215">
        <v>3.4537034572147199E-2</v>
      </c>
      <c r="I215" t="s">
        <v>14</v>
      </c>
      <c r="J215">
        <v>353.199065208435</v>
      </c>
    </row>
    <row r="216" spans="1:10" x14ac:dyDescent="0.2">
      <c r="A216" t="s">
        <v>48</v>
      </c>
      <c r="B216" t="s">
        <v>11</v>
      </c>
      <c r="C216" t="s">
        <v>11</v>
      </c>
      <c r="D216">
        <v>12</v>
      </c>
      <c r="E216" t="s">
        <v>26</v>
      </c>
      <c r="F216" t="s">
        <v>13</v>
      </c>
      <c r="G216">
        <v>0.76916009852216705</v>
      </c>
      <c r="H216">
        <v>0</v>
      </c>
      <c r="I216" t="s">
        <v>14</v>
      </c>
      <c r="J216">
        <v>32.7301251888275</v>
      </c>
    </row>
    <row r="217" spans="1:10" x14ac:dyDescent="0.2">
      <c r="A217" t="s">
        <v>48</v>
      </c>
      <c r="B217" t="s">
        <v>11</v>
      </c>
      <c r="C217" t="s">
        <v>11</v>
      </c>
      <c r="D217">
        <v>12</v>
      </c>
      <c r="E217" t="s">
        <v>26</v>
      </c>
      <c r="F217" t="s">
        <v>15</v>
      </c>
      <c r="G217">
        <v>0.78689711691745901</v>
      </c>
      <c r="H217">
        <v>2.33698591243982E-2</v>
      </c>
      <c r="I217" t="s">
        <v>14</v>
      </c>
      <c r="J217">
        <v>535.25929713249195</v>
      </c>
    </row>
    <row r="218" spans="1:10" x14ac:dyDescent="0.2">
      <c r="A218" t="s">
        <v>48</v>
      </c>
      <c r="B218" t="s">
        <v>27</v>
      </c>
      <c r="C218" t="s">
        <v>27</v>
      </c>
      <c r="D218">
        <v>1</v>
      </c>
      <c r="E218" t="s">
        <v>28</v>
      </c>
      <c r="F218" t="s">
        <v>13</v>
      </c>
      <c r="G218">
        <v>0.72577452667814102</v>
      </c>
      <c r="H218">
        <v>0</v>
      </c>
      <c r="I218" t="s">
        <v>14</v>
      </c>
      <c r="J218">
        <v>0.15859603881835899</v>
      </c>
    </row>
    <row r="219" spans="1:10" x14ac:dyDescent="0.2">
      <c r="A219" t="s">
        <v>48</v>
      </c>
      <c r="B219" t="s">
        <v>27</v>
      </c>
      <c r="C219" t="s">
        <v>27</v>
      </c>
      <c r="D219">
        <v>1</v>
      </c>
      <c r="E219" t="s">
        <v>28</v>
      </c>
      <c r="F219" t="s">
        <v>15</v>
      </c>
      <c r="G219">
        <v>0.738926047399175</v>
      </c>
      <c r="H219">
        <v>5.0172724120893603E-2</v>
      </c>
      <c r="I219" t="s">
        <v>14</v>
      </c>
      <c r="J219">
        <v>2.7861440181732098</v>
      </c>
    </row>
    <row r="220" spans="1:10" x14ac:dyDescent="0.2">
      <c r="A220" t="s">
        <v>48</v>
      </c>
      <c r="B220" t="s">
        <v>27</v>
      </c>
      <c r="C220" t="s">
        <v>27</v>
      </c>
      <c r="D220">
        <v>2</v>
      </c>
      <c r="E220" t="s">
        <v>29</v>
      </c>
      <c r="F220" t="s">
        <v>13</v>
      </c>
      <c r="G220">
        <v>0.75070411516194602</v>
      </c>
      <c r="H220">
        <v>0</v>
      </c>
      <c r="I220" t="s">
        <v>14</v>
      </c>
      <c r="J220">
        <v>0.165879011154174</v>
      </c>
    </row>
    <row r="221" spans="1:10" x14ac:dyDescent="0.2">
      <c r="A221" t="s">
        <v>48</v>
      </c>
      <c r="B221" t="s">
        <v>27</v>
      </c>
      <c r="C221" t="s">
        <v>27</v>
      </c>
      <c r="D221">
        <v>2</v>
      </c>
      <c r="E221" t="s">
        <v>29</v>
      </c>
      <c r="F221" t="s">
        <v>15</v>
      </c>
      <c r="G221">
        <v>0.74573637106444202</v>
      </c>
      <c r="H221">
        <v>5.7015995508069198E-2</v>
      </c>
      <c r="I221" t="s">
        <v>14</v>
      </c>
      <c r="J221">
        <v>2.7798078060150102</v>
      </c>
    </row>
    <row r="222" spans="1:10" x14ac:dyDescent="0.2">
      <c r="A222" t="s">
        <v>48</v>
      </c>
      <c r="B222" t="s">
        <v>27</v>
      </c>
      <c r="C222" t="s">
        <v>27</v>
      </c>
      <c r="D222">
        <v>3</v>
      </c>
      <c r="E222" t="s">
        <v>30</v>
      </c>
      <c r="F222" t="s">
        <v>13</v>
      </c>
      <c r="G222">
        <v>0.73205989980822594</v>
      </c>
      <c r="H222">
        <v>0</v>
      </c>
      <c r="I222" t="s">
        <v>14</v>
      </c>
      <c r="J222">
        <v>0.157841205596923</v>
      </c>
    </row>
    <row r="223" spans="1:10" x14ac:dyDescent="0.2">
      <c r="A223" t="s">
        <v>48</v>
      </c>
      <c r="B223" t="s">
        <v>27</v>
      </c>
      <c r="C223" t="s">
        <v>27</v>
      </c>
      <c r="D223">
        <v>3</v>
      </c>
      <c r="E223" t="s">
        <v>30</v>
      </c>
      <c r="F223" t="s">
        <v>15</v>
      </c>
      <c r="G223">
        <v>0.73702973749490797</v>
      </c>
      <c r="H223">
        <v>6.3104329893162198E-2</v>
      </c>
      <c r="I223" t="s">
        <v>14</v>
      </c>
      <c r="J223">
        <v>2.8409049510955802</v>
      </c>
    </row>
    <row r="224" spans="1:10" x14ac:dyDescent="0.2">
      <c r="A224" t="s">
        <v>48</v>
      </c>
      <c r="B224" t="s">
        <v>27</v>
      </c>
      <c r="C224" t="s">
        <v>27</v>
      </c>
      <c r="D224">
        <v>4</v>
      </c>
      <c r="E224" t="s">
        <v>31</v>
      </c>
      <c r="F224" t="s">
        <v>13</v>
      </c>
      <c r="G224">
        <v>0.72560193871169398</v>
      </c>
      <c r="H224">
        <v>0</v>
      </c>
      <c r="I224" t="s">
        <v>14</v>
      </c>
      <c r="J224">
        <v>0.15249371528625399</v>
      </c>
    </row>
    <row r="225" spans="1:10" x14ac:dyDescent="0.2">
      <c r="A225" t="s">
        <v>48</v>
      </c>
      <c r="B225" t="s">
        <v>27</v>
      </c>
      <c r="C225" t="s">
        <v>27</v>
      </c>
      <c r="D225">
        <v>4</v>
      </c>
      <c r="E225" t="s">
        <v>31</v>
      </c>
      <c r="F225" t="s">
        <v>15</v>
      </c>
      <c r="G225">
        <v>0.73792777734724202</v>
      </c>
      <c r="H225">
        <v>5.56692160115905E-2</v>
      </c>
      <c r="I225" t="s">
        <v>14</v>
      </c>
      <c r="J225">
        <v>2.83712410926818</v>
      </c>
    </row>
    <row r="226" spans="1:10" x14ac:dyDescent="0.2">
      <c r="A226" t="s">
        <v>48</v>
      </c>
      <c r="B226" t="s">
        <v>27</v>
      </c>
      <c r="C226" t="s">
        <v>27</v>
      </c>
      <c r="D226">
        <v>5</v>
      </c>
      <c r="E226" t="s">
        <v>32</v>
      </c>
      <c r="F226" t="s">
        <v>13</v>
      </c>
      <c r="G226">
        <v>0.73193304007820104</v>
      </c>
      <c r="H226">
        <v>0</v>
      </c>
      <c r="I226" t="s">
        <v>14</v>
      </c>
      <c r="J226">
        <v>0.203166007995605</v>
      </c>
    </row>
    <row r="227" spans="1:10" x14ac:dyDescent="0.2">
      <c r="A227" t="s">
        <v>48</v>
      </c>
      <c r="B227" t="s">
        <v>27</v>
      </c>
      <c r="C227" t="s">
        <v>27</v>
      </c>
      <c r="D227">
        <v>5</v>
      </c>
      <c r="E227" t="s">
        <v>32</v>
      </c>
      <c r="F227" t="s">
        <v>15</v>
      </c>
      <c r="G227">
        <v>0.73877357671532695</v>
      </c>
      <c r="H227">
        <v>3.8953795241109E-2</v>
      </c>
      <c r="I227" t="s">
        <v>14</v>
      </c>
      <c r="J227">
        <v>3.5022311210632302</v>
      </c>
    </row>
    <row r="228" spans="1:10" x14ac:dyDescent="0.2">
      <c r="A228" t="s">
        <v>48</v>
      </c>
      <c r="B228" t="s">
        <v>27</v>
      </c>
      <c r="C228" t="s">
        <v>27</v>
      </c>
      <c r="D228">
        <v>6</v>
      </c>
      <c r="E228" t="s">
        <v>33</v>
      </c>
      <c r="F228" t="s">
        <v>13</v>
      </c>
      <c r="G228">
        <v>0.70676653901762299</v>
      </c>
      <c r="H228">
        <v>0</v>
      </c>
      <c r="I228" t="s">
        <v>14</v>
      </c>
      <c r="J228">
        <v>0.19710421562194799</v>
      </c>
    </row>
    <row r="229" spans="1:10" x14ac:dyDescent="0.2">
      <c r="A229" t="s">
        <v>48</v>
      </c>
      <c r="B229" t="s">
        <v>27</v>
      </c>
      <c r="C229" t="s">
        <v>27</v>
      </c>
      <c r="D229">
        <v>6</v>
      </c>
      <c r="E229" t="s">
        <v>33</v>
      </c>
      <c r="F229" t="s">
        <v>15</v>
      </c>
      <c r="G229">
        <v>0.74043978012456202</v>
      </c>
      <c r="H229">
        <v>4.5678248618421902E-2</v>
      </c>
      <c r="I229" t="s">
        <v>14</v>
      </c>
      <c r="J229">
        <v>3.5683569908142001</v>
      </c>
    </row>
    <row r="230" spans="1:10" x14ac:dyDescent="0.2">
      <c r="A230" t="s">
        <v>48</v>
      </c>
      <c r="B230" t="s">
        <v>27</v>
      </c>
      <c r="C230" t="s">
        <v>27</v>
      </c>
      <c r="D230">
        <v>7</v>
      </c>
      <c r="E230" t="s">
        <v>34</v>
      </c>
      <c r="F230" t="s">
        <v>13</v>
      </c>
      <c r="G230">
        <v>0.73832236842105203</v>
      </c>
      <c r="H230">
        <v>0</v>
      </c>
      <c r="I230" t="s">
        <v>14</v>
      </c>
      <c r="J230">
        <v>0.19322586059570299</v>
      </c>
    </row>
    <row r="231" spans="1:10" x14ac:dyDescent="0.2">
      <c r="A231" t="s">
        <v>48</v>
      </c>
      <c r="B231" t="s">
        <v>27</v>
      </c>
      <c r="C231" t="s">
        <v>27</v>
      </c>
      <c r="D231">
        <v>7</v>
      </c>
      <c r="E231" t="s">
        <v>34</v>
      </c>
      <c r="F231" t="s">
        <v>15</v>
      </c>
      <c r="G231">
        <v>0.74475038919522496</v>
      </c>
      <c r="H231">
        <v>4.4929490342633903E-2</v>
      </c>
      <c r="I231" t="s">
        <v>14</v>
      </c>
      <c r="J231">
        <v>3.4787781238555899</v>
      </c>
    </row>
    <row r="232" spans="1:10" x14ac:dyDescent="0.2">
      <c r="A232" t="s">
        <v>48</v>
      </c>
      <c r="B232" t="s">
        <v>27</v>
      </c>
      <c r="C232" t="s">
        <v>27</v>
      </c>
      <c r="D232">
        <v>8</v>
      </c>
      <c r="E232" t="s">
        <v>35</v>
      </c>
      <c r="F232" t="s">
        <v>13</v>
      </c>
      <c r="G232">
        <v>0.71285943116111805</v>
      </c>
      <c r="H232">
        <v>0</v>
      </c>
      <c r="I232" t="s">
        <v>14</v>
      </c>
      <c r="J232">
        <v>0.18856310844421301</v>
      </c>
    </row>
    <row r="233" spans="1:10" x14ac:dyDescent="0.2">
      <c r="A233" t="s">
        <v>48</v>
      </c>
      <c r="B233" t="s">
        <v>27</v>
      </c>
      <c r="C233" t="s">
        <v>27</v>
      </c>
      <c r="D233">
        <v>8</v>
      </c>
      <c r="E233" t="s">
        <v>35</v>
      </c>
      <c r="F233" t="s">
        <v>15</v>
      </c>
      <c r="G233">
        <v>0.74188855390157304</v>
      </c>
      <c r="H233">
        <v>4.0962935025585998E-2</v>
      </c>
      <c r="I233" t="s">
        <v>14</v>
      </c>
      <c r="J233">
        <v>3.4837901592254599</v>
      </c>
    </row>
    <row r="234" spans="1:10" x14ac:dyDescent="0.2">
      <c r="A234" t="s">
        <v>48</v>
      </c>
      <c r="B234" t="s">
        <v>27</v>
      </c>
      <c r="C234" t="s">
        <v>27</v>
      </c>
      <c r="D234">
        <v>9</v>
      </c>
      <c r="E234" t="s">
        <v>36</v>
      </c>
      <c r="F234" t="s">
        <v>13</v>
      </c>
      <c r="G234">
        <v>0.75702368823229704</v>
      </c>
      <c r="H234">
        <v>0</v>
      </c>
      <c r="I234" t="s">
        <v>14</v>
      </c>
      <c r="J234">
        <v>0.21091198921203599</v>
      </c>
    </row>
    <row r="235" spans="1:10" x14ac:dyDescent="0.2">
      <c r="A235" t="s">
        <v>48</v>
      </c>
      <c r="B235" t="s">
        <v>27</v>
      </c>
      <c r="C235" t="s">
        <v>27</v>
      </c>
      <c r="D235">
        <v>9</v>
      </c>
      <c r="E235" t="s">
        <v>36</v>
      </c>
      <c r="F235" t="s">
        <v>15</v>
      </c>
      <c r="G235">
        <v>0.73720773937023298</v>
      </c>
      <c r="H235">
        <v>3.1345697063278499E-2</v>
      </c>
      <c r="I235" t="s">
        <v>14</v>
      </c>
      <c r="J235">
        <v>3.53841924667358</v>
      </c>
    </row>
    <row r="236" spans="1:10" x14ac:dyDescent="0.2">
      <c r="A236" t="s">
        <v>48</v>
      </c>
      <c r="B236" t="s">
        <v>27</v>
      </c>
      <c r="C236" t="s">
        <v>27</v>
      </c>
      <c r="D236">
        <v>10</v>
      </c>
      <c r="E236" t="s">
        <v>37</v>
      </c>
      <c r="F236" t="s">
        <v>13</v>
      </c>
      <c r="G236">
        <v>0.73172257825016596</v>
      </c>
      <c r="H236">
        <v>0</v>
      </c>
      <c r="I236" t="s">
        <v>14</v>
      </c>
      <c r="J236">
        <v>0.19483995437622001</v>
      </c>
    </row>
    <row r="237" spans="1:10" x14ac:dyDescent="0.2">
      <c r="A237" t="s">
        <v>48</v>
      </c>
      <c r="B237" t="s">
        <v>27</v>
      </c>
      <c r="C237" t="s">
        <v>27</v>
      </c>
      <c r="D237">
        <v>10</v>
      </c>
      <c r="E237" t="s">
        <v>37</v>
      </c>
      <c r="F237" t="s">
        <v>15</v>
      </c>
      <c r="G237">
        <v>0.72826620690442601</v>
      </c>
      <c r="H237">
        <v>5.3831864543514997E-2</v>
      </c>
      <c r="I237" t="s">
        <v>14</v>
      </c>
      <c r="J237">
        <v>3.5271608829498202</v>
      </c>
    </row>
    <row r="238" spans="1:10" x14ac:dyDescent="0.2">
      <c r="A238" t="s">
        <v>48</v>
      </c>
      <c r="B238" t="s">
        <v>27</v>
      </c>
      <c r="C238" t="s">
        <v>27</v>
      </c>
      <c r="D238">
        <v>11</v>
      </c>
      <c r="E238" t="s">
        <v>38</v>
      </c>
      <c r="F238" t="s">
        <v>13</v>
      </c>
      <c r="G238">
        <v>0.73832236842105203</v>
      </c>
      <c r="H238">
        <v>0</v>
      </c>
      <c r="I238" t="s">
        <v>14</v>
      </c>
      <c r="J238">
        <v>0.198795080184936</v>
      </c>
    </row>
    <row r="239" spans="1:10" x14ac:dyDescent="0.2">
      <c r="A239" t="s">
        <v>48</v>
      </c>
      <c r="B239" t="s">
        <v>27</v>
      </c>
      <c r="C239" t="s">
        <v>27</v>
      </c>
      <c r="D239">
        <v>11</v>
      </c>
      <c r="E239" t="s">
        <v>38</v>
      </c>
      <c r="F239" t="s">
        <v>15</v>
      </c>
      <c r="G239">
        <v>0.75797509974802002</v>
      </c>
      <c r="H239">
        <v>3.9457911640656901E-2</v>
      </c>
      <c r="I239" t="s">
        <v>14</v>
      </c>
      <c r="J239">
        <v>3.49532914161682</v>
      </c>
    </row>
    <row r="240" spans="1:10" x14ac:dyDescent="0.2">
      <c r="A240" t="s">
        <v>48</v>
      </c>
      <c r="B240" t="s">
        <v>27</v>
      </c>
      <c r="C240" t="s">
        <v>27</v>
      </c>
      <c r="D240">
        <v>12</v>
      </c>
      <c r="E240" t="s">
        <v>39</v>
      </c>
      <c r="F240" t="s">
        <v>13</v>
      </c>
      <c r="G240">
        <v>0.73205989980822594</v>
      </c>
      <c r="H240">
        <v>0</v>
      </c>
      <c r="I240" t="s">
        <v>14</v>
      </c>
      <c r="J240">
        <v>0.202855110168457</v>
      </c>
    </row>
    <row r="241" spans="1:10" x14ac:dyDescent="0.2">
      <c r="A241" t="s">
        <v>48</v>
      </c>
      <c r="B241" t="s">
        <v>27</v>
      </c>
      <c r="C241" t="s">
        <v>27</v>
      </c>
      <c r="D241">
        <v>12</v>
      </c>
      <c r="E241" t="s">
        <v>39</v>
      </c>
      <c r="F241" t="s">
        <v>15</v>
      </c>
      <c r="G241">
        <v>0.73689081577554605</v>
      </c>
      <c r="H241">
        <v>5.1599008094743402E-2</v>
      </c>
      <c r="I241" t="s">
        <v>14</v>
      </c>
      <c r="J241">
        <v>3.54711413383483</v>
      </c>
    </row>
    <row r="242" spans="1:10" x14ac:dyDescent="0.2">
      <c r="A242" t="s">
        <v>48</v>
      </c>
      <c r="B242" t="s">
        <v>40</v>
      </c>
      <c r="C242" t="s">
        <v>40</v>
      </c>
      <c r="D242">
        <v>1</v>
      </c>
      <c r="E242" t="s">
        <v>41</v>
      </c>
      <c r="F242" t="s">
        <v>13</v>
      </c>
      <c r="G242">
        <v>0.76051797464291404</v>
      </c>
      <c r="H242">
        <v>0</v>
      </c>
      <c r="I242" t="s">
        <v>14</v>
      </c>
      <c r="J242">
        <v>5.5978279113769496</v>
      </c>
    </row>
    <row r="243" spans="1:10" x14ac:dyDescent="0.2">
      <c r="A243" t="s">
        <v>48</v>
      </c>
      <c r="B243" t="s">
        <v>40</v>
      </c>
      <c r="C243" t="s">
        <v>40</v>
      </c>
      <c r="D243">
        <v>1</v>
      </c>
      <c r="E243" t="s">
        <v>41</v>
      </c>
      <c r="F243" t="s">
        <v>15</v>
      </c>
      <c r="G243">
        <v>0.77957843883594502</v>
      </c>
      <c r="H243">
        <v>2.3762206317954102E-2</v>
      </c>
      <c r="I243" t="s">
        <v>14</v>
      </c>
      <c r="J243">
        <v>42.099580049514699</v>
      </c>
    </row>
    <row r="244" spans="1:10" x14ac:dyDescent="0.2">
      <c r="A244" t="s">
        <v>48</v>
      </c>
      <c r="B244" t="s">
        <v>40</v>
      </c>
      <c r="C244" t="s">
        <v>40</v>
      </c>
      <c r="D244">
        <v>2</v>
      </c>
      <c r="E244" t="s">
        <v>42</v>
      </c>
      <c r="F244" t="s">
        <v>13</v>
      </c>
      <c r="G244">
        <v>0.71600207068473298</v>
      </c>
      <c r="H244">
        <v>0</v>
      </c>
      <c r="I244" t="s">
        <v>14</v>
      </c>
      <c r="J244">
        <v>6.86759281158447</v>
      </c>
    </row>
    <row r="245" spans="1:10" x14ac:dyDescent="0.2">
      <c r="A245" t="s">
        <v>48</v>
      </c>
      <c r="B245" t="s">
        <v>40</v>
      </c>
      <c r="C245" t="s">
        <v>40</v>
      </c>
      <c r="D245">
        <v>2</v>
      </c>
      <c r="E245" t="s">
        <v>42</v>
      </c>
      <c r="F245" t="s">
        <v>15</v>
      </c>
      <c r="G245">
        <v>0.77241727254839398</v>
      </c>
      <c r="H245">
        <v>3.9092870590532902E-2</v>
      </c>
      <c r="I245" t="s">
        <v>14</v>
      </c>
      <c r="J245">
        <v>59.624083995818999</v>
      </c>
    </row>
    <row r="246" spans="1:10" x14ac:dyDescent="0.2">
      <c r="A246" t="s">
        <v>48</v>
      </c>
      <c r="B246" t="s">
        <v>40</v>
      </c>
      <c r="C246" t="s">
        <v>40</v>
      </c>
      <c r="D246">
        <v>3</v>
      </c>
      <c r="E246" t="s">
        <v>43</v>
      </c>
      <c r="F246" t="s">
        <v>13</v>
      </c>
      <c r="G246">
        <v>0.71677927927927898</v>
      </c>
      <c r="H246">
        <v>0</v>
      </c>
      <c r="I246" t="s">
        <v>14</v>
      </c>
      <c r="J246">
        <v>7.1438028812408403</v>
      </c>
    </row>
    <row r="247" spans="1:10" x14ac:dyDescent="0.2">
      <c r="A247" t="s">
        <v>48</v>
      </c>
      <c r="B247" t="s">
        <v>40</v>
      </c>
      <c r="C247" t="s">
        <v>40</v>
      </c>
      <c r="D247">
        <v>3</v>
      </c>
      <c r="E247" t="s">
        <v>43</v>
      </c>
      <c r="F247" t="s">
        <v>15</v>
      </c>
      <c r="G247">
        <v>0.76008047966857695</v>
      </c>
      <c r="H247">
        <v>3.5703588567215498E-2</v>
      </c>
      <c r="I247" t="s">
        <v>14</v>
      </c>
      <c r="J247">
        <v>79.766031026840196</v>
      </c>
    </row>
    <row r="248" spans="1:10" x14ac:dyDescent="0.2">
      <c r="A248" t="s">
        <v>48</v>
      </c>
      <c r="B248" t="s">
        <v>40</v>
      </c>
      <c r="C248" t="s">
        <v>40</v>
      </c>
      <c r="D248">
        <v>4</v>
      </c>
      <c r="E248" t="s">
        <v>44</v>
      </c>
      <c r="F248" t="s">
        <v>13</v>
      </c>
      <c r="G248">
        <v>0.74791365751885697</v>
      </c>
      <c r="H248">
        <v>0</v>
      </c>
      <c r="I248" t="s">
        <v>14</v>
      </c>
      <c r="J248">
        <v>8.8421478271484304</v>
      </c>
    </row>
    <row r="249" spans="1:10" x14ac:dyDescent="0.2">
      <c r="A249" t="s">
        <v>48</v>
      </c>
      <c r="B249" t="s">
        <v>40</v>
      </c>
      <c r="C249" t="s">
        <v>40</v>
      </c>
      <c r="D249">
        <v>4</v>
      </c>
      <c r="E249" t="s">
        <v>44</v>
      </c>
      <c r="F249" t="s">
        <v>15</v>
      </c>
      <c r="G249">
        <v>0.77287486403315298</v>
      </c>
      <c r="H249">
        <v>2.9972037404807399E-2</v>
      </c>
      <c r="I249" t="s">
        <v>14</v>
      </c>
      <c r="J249">
        <v>124.470983028411</v>
      </c>
    </row>
    <row r="250" spans="1:10" x14ac:dyDescent="0.2">
      <c r="A250" t="s">
        <v>48</v>
      </c>
      <c r="B250" t="s">
        <v>45</v>
      </c>
      <c r="C250" t="s">
        <v>45</v>
      </c>
      <c r="D250">
        <v>1</v>
      </c>
      <c r="E250" t="s">
        <v>41</v>
      </c>
      <c r="F250" t="s">
        <v>13</v>
      </c>
      <c r="G250">
        <v>0.76857591425967697</v>
      </c>
      <c r="H250">
        <v>0</v>
      </c>
      <c r="I250" t="s">
        <v>14</v>
      </c>
      <c r="J250">
        <v>13.491574048995901</v>
      </c>
    </row>
    <row r="251" spans="1:10" x14ac:dyDescent="0.2">
      <c r="A251" t="s">
        <v>48</v>
      </c>
      <c r="B251" t="s">
        <v>45</v>
      </c>
      <c r="C251" t="s">
        <v>45</v>
      </c>
      <c r="D251">
        <v>1</v>
      </c>
      <c r="E251" t="s">
        <v>41</v>
      </c>
      <c r="F251" t="s">
        <v>15</v>
      </c>
      <c r="G251">
        <v>0.78923880673889502</v>
      </c>
      <c r="H251">
        <v>2.8984113855668799E-2</v>
      </c>
      <c r="I251" t="s">
        <v>14</v>
      </c>
      <c r="J251">
        <v>188.56224679946899</v>
      </c>
    </row>
    <row r="252" spans="1:10" x14ac:dyDescent="0.2">
      <c r="A252" t="s">
        <v>48</v>
      </c>
      <c r="B252" t="s">
        <v>45</v>
      </c>
      <c r="C252" t="s">
        <v>45</v>
      </c>
      <c r="D252">
        <v>2</v>
      </c>
      <c r="E252" t="s">
        <v>42</v>
      </c>
      <c r="F252" t="s">
        <v>13</v>
      </c>
      <c r="G252">
        <v>0.76302353960006297</v>
      </c>
      <c r="H252">
        <v>0</v>
      </c>
      <c r="I252" t="s">
        <v>14</v>
      </c>
      <c r="J252">
        <v>18.346954822540201</v>
      </c>
    </row>
    <row r="253" spans="1:10" x14ac:dyDescent="0.2">
      <c r="A253" t="s">
        <v>48</v>
      </c>
      <c r="B253" t="s">
        <v>45</v>
      </c>
      <c r="C253" t="s">
        <v>45</v>
      </c>
      <c r="D253">
        <v>2</v>
      </c>
      <c r="E253" t="s">
        <v>42</v>
      </c>
      <c r="F253" t="s">
        <v>15</v>
      </c>
      <c r="G253">
        <v>0.79663511329246195</v>
      </c>
      <c r="H253">
        <v>3.5227806855600202E-2</v>
      </c>
      <c r="I253" t="s">
        <v>14</v>
      </c>
      <c r="J253">
        <v>296.46869707107498</v>
      </c>
    </row>
    <row r="254" spans="1:10" x14ac:dyDescent="0.2">
      <c r="A254" t="s">
        <v>48</v>
      </c>
      <c r="B254" t="s">
        <v>45</v>
      </c>
      <c r="C254" t="s">
        <v>45</v>
      </c>
      <c r="D254">
        <v>3</v>
      </c>
      <c r="E254" t="s">
        <v>43</v>
      </c>
      <c r="F254" t="s">
        <v>13</v>
      </c>
      <c r="G254">
        <v>0.77500000000000002</v>
      </c>
      <c r="H254">
        <v>0</v>
      </c>
      <c r="I254" t="s">
        <v>14</v>
      </c>
      <c r="J254">
        <v>21.995641946792599</v>
      </c>
    </row>
    <row r="255" spans="1:10" x14ac:dyDescent="0.2">
      <c r="A255" t="s">
        <v>48</v>
      </c>
      <c r="B255" t="s">
        <v>45</v>
      </c>
      <c r="C255" t="s">
        <v>45</v>
      </c>
      <c r="D255">
        <v>3</v>
      </c>
      <c r="E255" t="s">
        <v>43</v>
      </c>
      <c r="F255" t="s">
        <v>15</v>
      </c>
      <c r="G255">
        <v>0.78833163851542198</v>
      </c>
      <c r="H255">
        <v>2.42769568774522E-2</v>
      </c>
      <c r="I255" t="s">
        <v>14</v>
      </c>
      <c r="J255">
        <v>391.93693494796702</v>
      </c>
    </row>
    <row r="256" spans="1:10" x14ac:dyDescent="0.2">
      <c r="A256" t="s">
        <v>48</v>
      </c>
      <c r="B256" t="s">
        <v>45</v>
      </c>
      <c r="C256" t="s">
        <v>45</v>
      </c>
      <c r="D256">
        <v>4</v>
      </c>
      <c r="E256" t="s">
        <v>44</v>
      </c>
      <c r="F256" t="s">
        <v>13</v>
      </c>
      <c r="G256">
        <v>0.74856138107416803</v>
      </c>
      <c r="H256">
        <v>0</v>
      </c>
      <c r="I256" t="s">
        <v>14</v>
      </c>
      <c r="J256">
        <v>36.731286048889103</v>
      </c>
    </row>
    <row r="257" spans="1:10" x14ac:dyDescent="0.2">
      <c r="A257" t="s">
        <v>48</v>
      </c>
      <c r="B257" t="s">
        <v>45</v>
      </c>
      <c r="C257" t="s">
        <v>45</v>
      </c>
      <c r="D257">
        <v>4</v>
      </c>
      <c r="E257" t="s">
        <v>44</v>
      </c>
      <c r="F257" t="s">
        <v>15</v>
      </c>
      <c r="G257">
        <v>0.784342572421036</v>
      </c>
      <c r="H257">
        <v>2.8674141946696801E-2</v>
      </c>
      <c r="I257" t="s">
        <v>14</v>
      </c>
      <c r="J257">
        <v>642.58542418479897</v>
      </c>
    </row>
    <row r="258" spans="1:10" x14ac:dyDescent="0.2">
      <c r="A258" t="s">
        <v>49</v>
      </c>
      <c r="B258" t="s">
        <v>11</v>
      </c>
      <c r="C258" t="s">
        <v>11</v>
      </c>
      <c r="D258">
        <v>1</v>
      </c>
      <c r="E258" t="s">
        <v>12</v>
      </c>
      <c r="F258" t="s">
        <v>13</v>
      </c>
      <c r="G258">
        <v>0.69562753036437197</v>
      </c>
      <c r="H258">
        <v>0</v>
      </c>
      <c r="I258" t="s">
        <v>14</v>
      </c>
      <c r="J258">
        <v>4.8348903656005797E-2</v>
      </c>
    </row>
    <row r="259" spans="1:10" x14ac:dyDescent="0.2">
      <c r="A259" t="s">
        <v>49</v>
      </c>
      <c r="B259" t="s">
        <v>11</v>
      </c>
      <c r="C259" t="s">
        <v>11</v>
      </c>
      <c r="D259">
        <v>1</v>
      </c>
      <c r="E259" t="s">
        <v>12</v>
      </c>
      <c r="F259" t="s">
        <v>15</v>
      </c>
      <c r="G259">
        <v>0.713413037237425</v>
      </c>
      <c r="H259">
        <v>5.2701146182724999E-2</v>
      </c>
      <c r="I259" t="s">
        <v>14</v>
      </c>
      <c r="J259">
        <v>0.726995229721069</v>
      </c>
    </row>
    <row r="260" spans="1:10" x14ac:dyDescent="0.2">
      <c r="A260" t="s">
        <v>49</v>
      </c>
      <c r="B260" t="s">
        <v>11</v>
      </c>
      <c r="C260" t="s">
        <v>11</v>
      </c>
      <c r="D260">
        <v>2</v>
      </c>
      <c r="E260" t="s">
        <v>16</v>
      </c>
      <c r="F260" t="s">
        <v>13</v>
      </c>
      <c r="G260">
        <v>0.72345291155957203</v>
      </c>
      <c r="H260">
        <v>0</v>
      </c>
      <c r="I260" t="s">
        <v>14</v>
      </c>
      <c r="J260">
        <v>0.107636928558349</v>
      </c>
    </row>
    <row r="261" spans="1:10" x14ac:dyDescent="0.2">
      <c r="A261" t="s">
        <v>49</v>
      </c>
      <c r="B261" t="s">
        <v>11</v>
      </c>
      <c r="C261" t="s">
        <v>11</v>
      </c>
      <c r="D261">
        <v>2</v>
      </c>
      <c r="E261" t="s">
        <v>16</v>
      </c>
      <c r="F261" t="s">
        <v>15</v>
      </c>
      <c r="G261">
        <v>0.72574075148147899</v>
      </c>
      <c r="H261">
        <v>6.5655023544376995E-2</v>
      </c>
      <c r="I261" t="s">
        <v>14</v>
      </c>
      <c r="J261">
        <v>1.43661904335021</v>
      </c>
    </row>
    <row r="262" spans="1:10" x14ac:dyDescent="0.2">
      <c r="A262" t="s">
        <v>49</v>
      </c>
      <c r="B262" t="s">
        <v>11</v>
      </c>
      <c r="C262" t="s">
        <v>11</v>
      </c>
      <c r="D262">
        <v>3</v>
      </c>
      <c r="E262" t="s">
        <v>17</v>
      </c>
      <c r="F262" t="s">
        <v>13</v>
      </c>
      <c r="G262">
        <v>0.72468974358974303</v>
      </c>
      <c r="H262">
        <v>0</v>
      </c>
      <c r="I262" t="s">
        <v>14</v>
      </c>
      <c r="J262">
        <v>0.118421077728271</v>
      </c>
    </row>
    <row r="263" spans="1:10" x14ac:dyDescent="0.2">
      <c r="A263" t="s">
        <v>49</v>
      </c>
      <c r="B263" t="s">
        <v>11</v>
      </c>
      <c r="C263" t="s">
        <v>11</v>
      </c>
      <c r="D263">
        <v>3</v>
      </c>
      <c r="E263" t="s">
        <v>17</v>
      </c>
      <c r="F263" t="s">
        <v>15</v>
      </c>
      <c r="G263">
        <v>0.71932178417923498</v>
      </c>
      <c r="H263">
        <v>5.0356134193862201E-2</v>
      </c>
      <c r="I263" t="s">
        <v>14</v>
      </c>
      <c r="J263">
        <v>2.3839919567108101</v>
      </c>
    </row>
    <row r="264" spans="1:10" x14ac:dyDescent="0.2">
      <c r="A264" t="s">
        <v>49</v>
      </c>
      <c r="B264" t="s">
        <v>11</v>
      </c>
      <c r="C264" t="s">
        <v>11</v>
      </c>
      <c r="D264">
        <v>4</v>
      </c>
      <c r="E264" t="s">
        <v>18</v>
      </c>
      <c r="F264" t="s">
        <v>13</v>
      </c>
      <c r="G264">
        <v>0.79230480480480403</v>
      </c>
      <c r="H264">
        <v>0</v>
      </c>
      <c r="I264" t="s">
        <v>14</v>
      </c>
      <c r="J264">
        <v>5.72779178619384E-2</v>
      </c>
    </row>
    <row r="265" spans="1:10" x14ac:dyDescent="0.2">
      <c r="A265" t="s">
        <v>49</v>
      </c>
      <c r="B265" t="s">
        <v>11</v>
      </c>
      <c r="C265" t="s">
        <v>11</v>
      </c>
      <c r="D265">
        <v>4</v>
      </c>
      <c r="E265" t="s">
        <v>18</v>
      </c>
      <c r="F265" t="s">
        <v>15</v>
      </c>
      <c r="G265">
        <v>0.74390288816923</v>
      </c>
      <c r="H265">
        <v>3.6078031361296801E-2</v>
      </c>
      <c r="I265" t="s">
        <v>14</v>
      </c>
      <c r="J265">
        <v>0.66415905952453602</v>
      </c>
    </row>
    <row r="266" spans="1:10" x14ac:dyDescent="0.2">
      <c r="A266" t="s">
        <v>49</v>
      </c>
      <c r="B266" t="s">
        <v>11</v>
      </c>
      <c r="C266" t="s">
        <v>11</v>
      </c>
      <c r="D266">
        <v>5</v>
      </c>
      <c r="E266" t="s">
        <v>19</v>
      </c>
      <c r="F266" t="s">
        <v>13</v>
      </c>
      <c r="G266">
        <v>0.75386846126010199</v>
      </c>
      <c r="H266">
        <v>0</v>
      </c>
      <c r="I266" t="s">
        <v>14</v>
      </c>
      <c r="J266">
        <v>7.9393863677978502E-2</v>
      </c>
    </row>
    <row r="267" spans="1:10" x14ac:dyDescent="0.2">
      <c r="A267" t="s">
        <v>49</v>
      </c>
      <c r="B267" t="s">
        <v>11</v>
      </c>
      <c r="C267" t="s">
        <v>11</v>
      </c>
      <c r="D267">
        <v>5</v>
      </c>
      <c r="E267" t="s">
        <v>19</v>
      </c>
      <c r="F267" t="s">
        <v>15</v>
      </c>
      <c r="G267">
        <v>0.73629965235394801</v>
      </c>
      <c r="H267">
        <v>4.3842259828461301E-2</v>
      </c>
      <c r="I267" t="s">
        <v>14</v>
      </c>
      <c r="J267">
        <v>1.10059213638305</v>
      </c>
    </row>
    <row r="268" spans="1:10" x14ac:dyDescent="0.2">
      <c r="A268" t="s">
        <v>49</v>
      </c>
      <c r="B268" t="s">
        <v>11</v>
      </c>
      <c r="C268" t="s">
        <v>11</v>
      </c>
      <c r="D268">
        <v>6</v>
      </c>
      <c r="E268" t="s">
        <v>20</v>
      </c>
      <c r="F268" t="s">
        <v>13</v>
      </c>
      <c r="G268">
        <v>0.77464285714285697</v>
      </c>
      <c r="H268">
        <v>0</v>
      </c>
      <c r="I268" t="s">
        <v>14</v>
      </c>
      <c r="J268">
        <v>0.10613894462585401</v>
      </c>
    </row>
    <row r="269" spans="1:10" x14ac:dyDescent="0.2">
      <c r="A269" t="s">
        <v>49</v>
      </c>
      <c r="B269" t="s">
        <v>11</v>
      </c>
      <c r="C269" t="s">
        <v>11</v>
      </c>
      <c r="D269">
        <v>6</v>
      </c>
      <c r="E269" t="s">
        <v>20</v>
      </c>
      <c r="F269" t="s">
        <v>15</v>
      </c>
      <c r="G269">
        <v>0.74495489798121495</v>
      </c>
      <c r="H269">
        <v>3.1430790866731201E-2</v>
      </c>
      <c r="I269" t="s">
        <v>14</v>
      </c>
      <c r="J269">
        <v>1.5956122875213601</v>
      </c>
    </row>
    <row r="270" spans="1:10" x14ac:dyDescent="0.2">
      <c r="A270" t="s">
        <v>49</v>
      </c>
      <c r="B270" t="s">
        <v>11</v>
      </c>
      <c r="C270" t="s">
        <v>11</v>
      </c>
      <c r="D270">
        <v>7</v>
      </c>
      <c r="E270" t="s">
        <v>21</v>
      </c>
      <c r="F270" t="s">
        <v>13</v>
      </c>
      <c r="G270">
        <v>0.73750000000000004</v>
      </c>
      <c r="H270">
        <v>0</v>
      </c>
      <c r="I270" t="s">
        <v>14</v>
      </c>
      <c r="J270">
        <v>4.8519849777221603E-2</v>
      </c>
    </row>
    <row r="271" spans="1:10" x14ac:dyDescent="0.2">
      <c r="A271" t="s">
        <v>49</v>
      </c>
      <c r="B271" t="s">
        <v>11</v>
      </c>
      <c r="C271" t="s">
        <v>11</v>
      </c>
      <c r="D271">
        <v>7</v>
      </c>
      <c r="E271" t="s">
        <v>21</v>
      </c>
      <c r="F271" t="s">
        <v>15</v>
      </c>
      <c r="G271">
        <v>0.73622217158271397</v>
      </c>
      <c r="H271">
        <v>3.4388580757828198E-2</v>
      </c>
      <c r="I271" t="s">
        <v>14</v>
      </c>
      <c r="J271">
        <v>0.52384877204894997</v>
      </c>
    </row>
    <row r="272" spans="1:10" x14ac:dyDescent="0.2">
      <c r="A272" t="s">
        <v>49</v>
      </c>
      <c r="B272" t="s">
        <v>11</v>
      </c>
      <c r="C272" t="s">
        <v>11</v>
      </c>
      <c r="D272">
        <v>8</v>
      </c>
      <c r="E272" t="s">
        <v>22</v>
      </c>
      <c r="F272" t="s">
        <v>13</v>
      </c>
      <c r="G272">
        <v>0.73708333333333298</v>
      </c>
      <c r="H272">
        <v>0</v>
      </c>
      <c r="I272" t="s">
        <v>14</v>
      </c>
      <c r="J272">
        <v>5.8273077011108398E-2</v>
      </c>
    </row>
    <row r="273" spans="1:10" x14ac:dyDescent="0.2">
      <c r="A273" t="s">
        <v>49</v>
      </c>
      <c r="B273" t="s">
        <v>11</v>
      </c>
      <c r="C273" t="s">
        <v>11</v>
      </c>
      <c r="D273">
        <v>8</v>
      </c>
      <c r="E273" t="s">
        <v>22</v>
      </c>
      <c r="F273" t="s">
        <v>15</v>
      </c>
      <c r="G273">
        <v>0.74604165536217804</v>
      </c>
      <c r="H273">
        <v>3.5235861064021198E-2</v>
      </c>
      <c r="I273" t="s">
        <v>14</v>
      </c>
      <c r="J273">
        <v>0.73079109191894498</v>
      </c>
    </row>
    <row r="274" spans="1:10" x14ac:dyDescent="0.2">
      <c r="A274" t="s">
        <v>49</v>
      </c>
      <c r="B274" t="s">
        <v>11</v>
      </c>
      <c r="C274" t="s">
        <v>11</v>
      </c>
      <c r="D274">
        <v>9</v>
      </c>
      <c r="E274" t="s">
        <v>23</v>
      </c>
      <c r="F274" t="s">
        <v>13</v>
      </c>
      <c r="G274">
        <v>0.75513192533205697</v>
      </c>
      <c r="H274">
        <v>0</v>
      </c>
      <c r="I274" t="s">
        <v>14</v>
      </c>
      <c r="J274">
        <v>7.0625066757202107E-2</v>
      </c>
    </row>
    <row r="275" spans="1:10" x14ac:dyDescent="0.2">
      <c r="A275" t="s">
        <v>49</v>
      </c>
      <c r="B275" t="s">
        <v>11</v>
      </c>
      <c r="C275" t="s">
        <v>11</v>
      </c>
      <c r="D275">
        <v>9</v>
      </c>
      <c r="E275" t="s">
        <v>23</v>
      </c>
      <c r="F275" t="s">
        <v>15</v>
      </c>
      <c r="G275">
        <v>0.74363375759336703</v>
      </c>
      <c r="H275">
        <v>3.8040704506792297E-2</v>
      </c>
      <c r="I275" t="s">
        <v>14</v>
      </c>
      <c r="J275">
        <v>0.96878385543823198</v>
      </c>
    </row>
    <row r="276" spans="1:10" x14ac:dyDescent="0.2">
      <c r="A276" t="s">
        <v>49</v>
      </c>
      <c r="B276" t="s">
        <v>11</v>
      </c>
      <c r="C276" t="s">
        <v>11</v>
      </c>
      <c r="D276">
        <v>10</v>
      </c>
      <c r="E276" t="s">
        <v>24</v>
      </c>
      <c r="F276" t="s">
        <v>13</v>
      </c>
      <c r="G276">
        <v>0.76212301587301501</v>
      </c>
      <c r="H276">
        <v>0</v>
      </c>
      <c r="I276" t="s">
        <v>14</v>
      </c>
      <c r="J276">
        <v>2.2602581977844198</v>
      </c>
    </row>
    <row r="277" spans="1:10" x14ac:dyDescent="0.2">
      <c r="A277" t="s">
        <v>49</v>
      </c>
      <c r="B277" t="s">
        <v>11</v>
      </c>
      <c r="C277" t="s">
        <v>11</v>
      </c>
      <c r="D277">
        <v>10</v>
      </c>
      <c r="E277" t="s">
        <v>24</v>
      </c>
      <c r="F277" t="s">
        <v>15</v>
      </c>
      <c r="G277">
        <v>0.79786107980446097</v>
      </c>
      <c r="H277">
        <v>2.9842691677212801E-2</v>
      </c>
      <c r="I277" t="s">
        <v>14</v>
      </c>
      <c r="J277">
        <v>36.354346990585299</v>
      </c>
    </row>
    <row r="278" spans="1:10" x14ac:dyDescent="0.2">
      <c r="A278" t="s">
        <v>49</v>
      </c>
      <c r="B278" t="s">
        <v>11</v>
      </c>
      <c r="C278" t="s">
        <v>11</v>
      </c>
      <c r="D278">
        <v>11</v>
      </c>
      <c r="E278" t="s">
        <v>25</v>
      </c>
      <c r="F278" t="s">
        <v>13</v>
      </c>
      <c r="G278">
        <v>0.77370524296675103</v>
      </c>
      <c r="H278">
        <v>0</v>
      </c>
      <c r="I278" t="s">
        <v>14</v>
      </c>
      <c r="J278">
        <v>3.8473742008209202</v>
      </c>
    </row>
    <row r="279" spans="1:10" x14ac:dyDescent="0.2">
      <c r="A279" t="s">
        <v>49</v>
      </c>
      <c r="B279" t="s">
        <v>11</v>
      </c>
      <c r="C279" t="s">
        <v>11</v>
      </c>
      <c r="D279">
        <v>11</v>
      </c>
      <c r="E279" t="s">
        <v>25</v>
      </c>
      <c r="F279" t="s">
        <v>15</v>
      </c>
      <c r="G279">
        <v>0.801294747932351</v>
      </c>
      <c r="H279">
        <v>3.1652088672602802E-2</v>
      </c>
      <c r="I279" t="s">
        <v>14</v>
      </c>
      <c r="J279">
        <v>72.447184085845905</v>
      </c>
    </row>
    <row r="280" spans="1:10" x14ac:dyDescent="0.2">
      <c r="A280" t="s">
        <v>49</v>
      </c>
      <c r="B280" t="s">
        <v>11</v>
      </c>
      <c r="C280" t="s">
        <v>11</v>
      </c>
      <c r="D280">
        <v>12</v>
      </c>
      <c r="E280" t="s">
        <v>26</v>
      </c>
      <c r="F280" t="s">
        <v>13</v>
      </c>
      <c r="G280">
        <v>0.76857591425967697</v>
      </c>
      <c r="H280">
        <v>0</v>
      </c>
      <c r="I280" t="s">
        <v>14</v>
      </c>
      <c r="J280">
        <v>5.8106110095977703</v>
      </c>
    </row>
    <row r="281" spans="1:10" x14ac:dyDescent="0.2">
      <c r="A281" t="s">
        <v>49</v>
      </c>
      <c r="B281" t="s">
        <v>11</v>
      </c>
      <c r="C281" t="s">
        <v>11</v>
      </c>
      <c r="D281">
        <v>12</v>
      </c>
      <c r="E281" t="s">
        <v>26</v>
      </c>
      <c r="F281" t="s">
        <v>15</v>
      </c>
      <c r="G281">
        <v>0.78739559841826301</v>
      </c>
      <c r="H281">
        <v>2.5938662982039298E-2</v>
      </c>
      <c r="I281" t="s">
        <v>14</v>
      </c>
      <c r="J281">
        <v>108.975172042846</v>
      </c>
    </row>
    <row r="282" spans="1:10" x14ac:dyDescent="0.2">
      <c r="A282" t="s">
        <v>49</v>
      </c>
      <c r="B282" t="s">
        <v>27</v>
      </c>
      <c r="C282" t="s">
        <v>27</v>
      </c>
      <c r="D282">
        <v>1</v>
      </c>
      <c r="E282" t="s">
        <v>28</v>
      </c>
      <c r="F282" t="s">
        <v>13</v>
      </c>
      <c r="G282">
        <v>0.76768926249451497</v>
      </c>
      <c r="H282">
        <v>0</v>
      </c>
      <c r="I282" t="s">
        <v>14</v>
      </c>
      <c r="J282">
        <v>9.7685098648071206E-2</v>
      </c>
    </row>
    <row r="283" spans="1:10" x14ac:dyDescent="0.2">
      <c r="A283" t="s">
        <v>49</v>
      </c>
      <c r="B283" t="s">
        <v>27</v>
      </c>
      <c r="C283" t="s">
        <v>27</v>
      </c>
      <c r="D283">
        <v>1</v>
      </c>
      <c r="E283" t="s">
        <v>28</v>
      </c>
      <c r="F283" t="s">
        <v>15</v>
      </c>
      <c r="G283">
        <v>0.75586142677864498</v>
      </c>
      <c r="H283">
        <v>3.8466984678273398E-2</v>
      </c>
      <c r="I283" t="s">
        <v>14</v>
      </c>
      <c r="J283">
        <v>1.6838517189025799</v>
      </c>
    </row>
    <row r="284" spans="1:10" x14ac:dyDescent="0.2">
      <c r="A284" t="s">
        <v>49</v>
      </c>
      <c r="B284" t="s">
        <v>27</v>
      </c>
      <c r="C284" t="s">
        <v>27</v>
      </c>
      <c r="D284">
        <v>2</v>
      </c>
      <c r="E284" t="s">
        <v>29</v>
      </c>
      <c r="F284" t="s">
        <v>13</v>
      </c>
      <c r="G284">
        <v>0.786755454690237</v>
      </c>
      <c r="H284">
        <v>0</v>
      </c>
      <c r="I284" t="s">
        <v>14</v>
      </c>
      <c r="J284">
        <v>9.4430923461913993E-2</v>
      </c>
    </row>
    <row r="285" spans="1:10" x14ac:dyDescent="0.2">
      <c r="A285" t="s">
        <v>49</v>
      </c>
      <c r="B285" t="s">
        <v>27</v>
      </c>
      <c r="C285" t="s">
        <v>27</v>
      </c>
      <c r="D285">
        <v>2</v>
      </c>
      <c r="E285" t="s">
        <v>29</v>
      </c>
      <c r="F285" t="s">
        <v>15</v>
      </c>
      <c r="G285">
        <v>0.76837481027715004</v>
      </c>
      <c r="H285">
        <v>3.6748148599956801E-2</v>
      </c>
      <c r="I285" t="s">
        <v>14</v>
      </c>
      <c r="J285">
        <v>1.6991779804229701</v>
      </c>
    </row>
    <row r="286" spans="1:10" x14ac:dyDescent="0.2">
      <c r="A286" t="s">
        <v>49</v>
      </c>
      <c r="B286" t="s">
        <v>27</v>
      </c>
      <c r="C286" t="s">
        <v>27</v>
      </c>
      <c r="D286">
        <v>3</v>
      </c>
      <c r="E286" t="s">
        <v>30</v>
      </c>
      <c r="F286" t="s">
        <v>13</v>
      </c>
      <c r="G286">
        <v>0.76166786112438201</v>
      </c>
      <c r="H286">
        <v>0</v>
      </c>
      <c r="I286" t="s">
        <v>14</v>
      </c>
      <c r="J286">
        <v>9.8085880279541002E-2</v>
      </c>
    </row>
    <row r="287" spans="1:10" x14ac:dyDescent="0.2">
      <c r="A287" t="s">
        <v>49</v>
      </c>
      <c r="B287" t="s">
        <v>27</v>
      </c>
      <c r="C287" t="s">
        <v>27</v>
      </c>
      <c r="D287">
        <v>3</v>
      </c>
      <c r="E287" t="s">
        <v>30</v>
      </c>
      <c r="F287" t="s">
        <v>15</v>
      </c>
      <c r="G287">
        <v>0.75358237389175198</v>
      </c>
      <c r="H287">
        <v>1.90095052755378E-2</v>
      </c>
      <c r="I287" t="s">
        <v>14</v>
      </c>
      <c r="J287">
        <v>1.7378518581390301</v>
      </c>
    </row>
    <row r="288" spans="1:10" x14ac:dyDescent="0.2">
      <c r="A288" t="s">
        <v>49</v>
      </c>
      <c r="B288" t="s">
        <v>27</v>
      </c>
      <c r="C288" t="s">
        <v>27</v>
      </c>
      <c r="D288">
        <v>4</v>
      </c>
      <c r="E288" t="s">
        <v>31</v>
      </c>
      <c r="F288" t="s">
        <v>13</v>
      </c>
      <c r="G288">
        <v>0.77370524296675103</v>
      </c>
      <c r="H288">
        <v>0</v>
      </c>
      <c r="I288" t="s">
        <v>14</v>
      </c>
      <c r="J288">
        <v>9.6842288970947196E-2</v>
      </c>
    </row>
    <row r="289" spans="1:10" x14ac:dyDescent="0.2">
      <c r="A289" t="s">
        <v>49</v>
      </c>
      <c r="B289" t="s">
        <v>27</v>
      </c>
      <c r="C289" t="s">
        <v>27</v>
      </c>
      <c r="D289">
        <v>4</v>
      </c>
      <c r="E289" t="s">
        <v>31</v>
      </c>
      <c r="F289" t="s">
        <v>15</v>
      </c>
      <c r="G289">
        <v>0.75562237729660198</v>
      </c>
      <c r="H289">
        <v>2.1537383777948602E-2</v>
      </c>
      <c r="I289" t="s">
        <v>14</v>
      </c>
      <c r="J289">
        <v>1.6858267784118599</v>
      </c>
    </row>
    <row r="290" spans="1:10" x14ac:dyDescent="0.2">
      <c r="A290" t="s">
        <v>49</v>
      </c>
      <c r="B290" t="s">
        <v>27</v>
      </c>
      <c r="C290" t="s">
        <v>27</v>
      </c>
      <c r="D290">
        <v>5</v>
      </c>
      <c r="E290" t="s">
        <v>32</v>
      </c>
      <c r="F290" t="s">
        <v>13</v>
      </c>
      <c r="G290">
        <v>0.805764835645295</v>
      </c>
      <c r="H290">
        <v>0</v>
      </c>
      <c r="I290" t="s">
        <v>14</v>
      </c>
      <c r="J290">
        <v>9.1496944427490207E-2</v>
      </c>
    </row>
    <row r="291" spans="1:10" x14ac:dyDescent="0.2">
      <c r="A291" t="s">
        <v>49</v>
      </c>
      <c r="B291" t="s">
        <v>27</v>
      </c>
      <c r="C291" t="s">
        <v>27</v>
      </c>
      <c r="D291">
        <v>5</v>
      </c>
      <c r="E291" t="s">
        <v>32</v>
      </c>
      <c r="F291" t="s">
        <v>15</v>
      </c>
      <c r="G291">
        <v>0.75809798131313599</v>
      </c>
      <c r="H291">
        <v>2.83899068535431E-2</v>
      </c>
      <c r="I291" t="s">
        <v>14</v>
      </c>
      <c r="J291">
        <v>1.69764375686645</v>
      </c>
    </row>
    <row r="292" spans="1:10" x14ac:dyDescent="0.2">
      <c r="A292" t="s">
        <v>49</v>
      </c>
      <c r="B292" t="s">
        <v>27</v>
      </c>
      <c r="C292" t="s">
        <v>27</v>
      </c>
      <c r="D292">
        <v>6</v>
      </c>
      <c r="E292" t="s">
        <v>33</v>
      </c>
      <c r="F292" t="s">
        <v>13</v>
      </c>
      <c r="G292">
        <v>0.79323353471918601</v>
      </c>
      <c r="H292">
        <v>0</v>
      </c>
      <c r="I292" t="s">
        <v>14</v>
      </c>
      <c r="J292">
        <v>9.6548795700073201E-2</v>
      </c>
    </row>
    <row r="293" spans="1:10" x14ac:dyDescent="0.2">
      <c r="A293" t="s">
        <v>49</v>
      </c>
      <c r="B293" t="s">
        <v>27</v>
      </c>
      <c r="C293" t="s">
        <v>27</v>
      </c>
      <c r="D293">
        <v>6</v>
      </c>
      <c r="E293" t="s">
        <v>33</v>
      </c>
      <c r="F293" t="s">
        <v>15</v>
      </c>
      <c r="G293">
        <v>0.75512867728379796</v>
      </c>
      <c r="H293">
        <v>2.2430724964912201E-2</v>
      </c>
      <c r="I293" t="s">
        <v>14</v>
      </c>
      <c r="J293">
        <v>1.7248630523681601</v>
      </c>
    </row>
    <row r="294" spans="1:10" x14ac:dyDescent="0.2">
      <c r="A294" t="s">
        <v>49</v>
      </c>
      <c r="B294" t="s">
        <v>27</v>
      </c>
      <c r="C294" t="s">
        <v>27</v>
      </c>
      <c r="D294">
        <v>7</v>
      </c>
      <c r="E294" t="s">
        <v>34</v>
      </c>
      <c r="F294" t="s">
        <v>13</v>
      </c>
      <c r="G294">
        <v>0.7353093403948</v>
      </c>
      <c r="H294">
        <v>0</v>
      </c>
      <c r="I294" t="s">
        <v>14</v>
      </c>
      <c r="J294">
        <v>9.3585968017578097E-2</v>
      </c>
    </row>
    <row r="295" spans="1:10" x14ac:dyDescent="0.2">
      <c r="A295" t="s">
        <v>49</v>
      </c>
      <c r="B295" t="s">
        <v>27</v>
      </c>
      <c r="C295" t="s">
        <v>27</v>
      </c>
      <c r="D295">
        <v>7</v>
      </c>
      <c r="E295" t="s">
        <v>34</v>
      </c>
      <c r="F295" t="s">
        <v>15</v>
      </c>
      <c r="G295">
        <v>0.765952654739538</v>
      </c>
      <c r="H295">
        <v>3.1551290832138798E-2</v>
      </c>
      <c r="I295" t="s">
        <v>14</v>
      </c>
      <c r="J295">
        <v>1.71377396583557</v>
      </c>
    </row>
    <row r="296" spans="1:10" x14ac:dyDescent="0.2">
      <c r="A296" t="s">
        <v>49</v>
      </c>
      <c r="B296" t="s">
        <v>27</v>
      </c>
      <c r="C296" t="s">
        <v>27</v>
      </c>
      <c r="D296">
        <v>8</v>
      </c>
      <c r="E296" t="s">
        <v>35</v>
      </c>
      <c r="F296" t="s">
        <v>13</v>
      </c>
      <c r="G296">
        <v>0.76768926249451497</v>
      </c>
      <c r="H296">
        <v>0</v>
      </c>
      <c r="I296" t="s">
        <v>14</v>
      </c>
      <c r="J296">
        <v>9.4913005828857394E-2</v>
      </c>
    </row>
    <row r="297" spans="1:10" x14ac:dyDescent="0.2">
      <c r="A297" t="s">
        <v>49</v>
      </c>
      <c r="B297" t="s">
        <v>27</v>
      </c>
      <c r="C297" t="s">
        <v>27</v>
      </c>
      <c r="D297">
        <v>8</v>
      </c>
      <c r="E297" t="s">
        <v>35</v>
      </c>
      <c r="F297" t="s">
        <v>15</v>
      </c>
      <c r="G297">
        <v>0.74624071651226898</v>
      </c>
      <c r="H297">
        <v>2.6367560562410599E-2</v>
      </c>
      <c r="I297" t="s">
        <v>14</v>
      </c>
      <c r="J297">
        <v>1.7219421863555899</v>
      </c>
    </row>
    <row r="298" spans="1:10" x14ac:dyDescent="0.2">
      <c r="A298" t="s">
        <v>49</v>
      </c>
      <c r="B298" t="s">
        <v>27</v>
      </c>
      <c r="C298" t="s">
        <v>27</v>
      </c>
      <c r="D298">
        <v>9</v>
      </c>
      <c r="E298" t="s">
        <v>36</v>
      </c>
      <c r="F298" t="s">
        <v>13</v>
      </c>
      <c r="G298">
        <v>0.77971721721721698</v>
      </c>
      <c r="H298">
        <v>0</v>
      </c>
      <c r="I298" t="s">
        <v>14</v>
      </c>
      <c r="J298">
        <v>9.5341920852661105E-2</v>
      </c>
    </row>
    <row r="299" spans="1:10" x14ac:dyDescent="0.2">
      <c r="A299" t="s">
        <v>49</v>
      </c>
      <c r="B299" t="s">
        <v>27</v>
      </c>
      <c r="C299" t="s">
        <v>27</v>
      </c>
      <c r="D299">
        <v>9</v>
      </c>
      <c r="E299" t="s">
        <v>36</v>
      </c>
      <c r="F299" t="s">
        <v>15</v>
      </c>
      <c r="G299">
        <v>0.747900111174296</v>
      </c>
      <c r="H299">
        <v>2.0728434151105399E-2</v>
      </c>
      <c r="I299" t="s">
        <v>14</v>
      </c>
      <c r="J299">
        <v>1.72134184837341</v>
      </c>
    </row>
    <row r="300" spans="1:10" x14ac:dyDescent="0.2">
      <c r="A300" t="s">
        <v>49</v>
      </c>
      <c r="B300" t="s">
        <v>27</v>
      </c>
      <c r="C300" t="s">
        <v>27</v>
      </c>
      <c r="D300">
        <v>10</v>
      </c>
      <c r="E300" t="s">
        <v>37</v>
      </c>
      <c r="F300" t="s">
        <v>13</v>
      </c>
      <c r="G300">
        <v>0.76857591425967697</v>
      </c>
      <c r="H300">
        <v>0</v>
      </c>
      <c r="I300" t="s">
        <v>14</v>
      </c>
      <c r="J300">
        <v>9.7032070159912095E-2</v>
      </c>
    </row>
    <row r="301" spans="1:10" x14ac:dyDescent="0.2">
      <c r="A301" t="s">
        <v>49</v>
      </c>
      <c r="B301" t="s">
        <v>27</v>
      </c>
      <c r="C301" t="s">
        <v>27</v>
      </c>
      <c r="D301">
        <v>10</v>
      </c>
      <c r="E301" t="s">
        <v>37</v>
      </c>
      <c r="F301" t="s">
        <v>15</v>
      </c>
      <c r="G301">
        <v>0.75680908521863799</v>
      </c>
      <c r="H301">
        <v>2.9673221155936999E-2</v>
      </c>
      <c r="I301" t="s">
        <v>14</v>
      </c>
      <c r="J301">
        <v>1.7542698383331199</v>
      </c>
    </row>
    <row r="302" spans="1:10" x14ac:dyDescent="0.2">
      <c r="A302" t="s">
        <v>49</v>
      </c>
      <c r="B302" t="s">
        <v>27</v>
      </c>
      <c r="C302" t="s">
        <v>27</v>
      </c>
      <c r="D302">
        <v>11</v>
      </c>
      <c r="E302" t="s">
        <v>38</v>
      </c>
      <c r="F302" t="s">
        <v>13</v>
      </c>
      <c r="G302">
        <v>0.76768926249451497</v>
      </c>
      <c r="H302">
        <v>0</v>
      </c>
      <c r="I302" t="s">
        <v>14</v>
      </c>
      <c r="J302">
        <v>9.4715118408203097E-2</v>
      </c>
    </row>
    <row r="303" spans="1:10" x14ac:dyDescent="0.2">
      <c r="A303" t="s">
        <v>49</v>
      </c>
      <c r="B303" t="s">
        <v>27</v>
      </c>
      <c r="C303" t="s">
        <v>27</v>
      </c>
      <c r="D303">
        <v>11</v>
      </c>
      <c r="E303" t="s">
        <v>38</v>
      </c>
      <c r="F303" t="s">
        <v>15</v>
      </c>
      <c r="G303">
        <v>0.75344630015695802</v>
      </c>
      <c r="H303">
        <v>3.5124072170549699E-2</v>
      </c>
      <c r="I303" t="s">
        <v>14</v>
      </c>
      <c r="J303">
        <v>1.6953310966491699</v>
      </c>
    </row>
    <row r="304" spans="1:10" x14ac:dyDescent="0.2">
      <c r="A304" t="s">
        <v>49</v>
      </c>
      <c r="B304" t="s">
        <v>27</v>
      </c>
      <c r="C304" t="s">
        <v>27</v>
      </c>
      <c r="D304">
        <v>12</v>
      </c>
      <c r="E304" t="s">
        <v>39</v>
      </c>
      <c r="F304" t="s">
        <v>13</v>
      </c>
      <c r="G304">
        <v>0.773122291766971</v>
      </c>
      <c r="H304">
        <v>0</v>
      </c>
      <c r="I304" t="s">
        <v>14</v>
      </c>
      <c r="J304">
        <v>9.42051410675048E-2</v>
      </c>
    </row>
    <row r="305" spans="1:10" x14ac:dyDescent="0.2">
      <c r="A305" t="s">
        <v>49</v>
      </c>
      <c r="B305" t="s">
        <v>27</v>
      </c>
      <c r="C305" t="s">
        <v>27</v>
      </c>
      <c r="D305">
        <v>12</v>
      </c>
      <c r="E305" t="s">
        <v>39</v>
      </c>
      <c r="F305" t="s">
        <v>15</v>
      </c>
      <c r="G305">
        <v>0.762801165762094</v>
      </c>
      <c r="H305">
        <v>2.42183701335336E-2</v>
      </c>
      <c r="I305" t="s">
        <v>14</v>
      </c>
      <c r="J305">
        <v>1.7159569263458201</v>
      </c>
    </row>
    <row r="306" spans="1:10" x14ac:dyDescent="0.2">
      <c r="A306" t="s">
        <v>49</v>
      </c>
      <c r="B306" t="s">
        <v>40</v>
      </c>
      <c r="C306" t="s">
        <v>40</v>
      </c>
      <c r="D306">
        <v>1</v>
      </c>
      <c r="E306" t="s">
        <v>41</v>
      </c>
      <c r="F306" t="s">
        <v>13</v>
      </c>
      <c r="G306">
        <v>0.75563963194085604</v>
      </c>
      <c r="H306">
        <v>0</v>
      </c>
      <c r="I306" t="s">
        <v>14</v>
      </c>
      <c r="J306">
        <v>0.33285212516784601</v>
      </c>
    </row>
    <row r="307" spans="1:10" x14ac:dyDescent="0.2">
      <c r="A307" t="s">
        <v>49</v>
      </c>
      <c r="B307" t="s">
        <v>40</v>
      </c>
      <c r="C307" t="s">
        <v>40</v>
      </c>
      <c r="D307">
        <v>1</v>
      </c>
      <c r="E307" t="s">
        <v>41</v>
      </c>
      <c r="F307" t="s">
        <v>15</v>
      </c>
      <c r="G307">
        <v>0.78948320346054601</v>
      </c>
      <c r="H307">
        <v>3.10888644597264E-2</v>
      </c>
      <c r="I307" t="s">
        <v>14</v>
      </c>
      <c r="J307">
        <v>6.5304689407348597</v>
      </c>
    </row>
    <row r="308" spans="1:10" x14ac:dyDescent="0.2">
      <c r="A308" t="s">
        <v>49</v>
      </c>
      <c r="B308" t="s">
        <v>40</v>
      </c>
      <c r="C308" t="s">
        <v>40</v>
      </c>
      <c r="D308">
        <v>2</v>
      </c>
      <c r="E308" t="s">
        <v>42</v>
      </c>
      <c r="F308" t="s">
        <v>13</v>
      </c>
      <c r="G308">
        <v>0.77246131528046402</v>
      </c>
      <c r="H308">
        <v>0</v>
      </c>
      <c r="I308" t="s">
        <v>14</v>
      </c>
      <c r="J308">
        <v>0.43401503562927202</v>
      </c>
    </row>
    <row r="309" spans="1:10" x14ac:dyDescent="0.2">
      <c r="A309" t="s">
        <v>49</v>
      </c>
      <c r="B309" t="s">
        <v>40</v>
      </c>
      <c r="C309" t="s">
        <v>40</v>
      </c>
      <c r="D309">
        <v>2</v>
      </c>
      <c r="E309" t="s">
        <v>42</v>
      </c>
      <c r="F309" t="s">
        <v>15</v>
      </c>
      <c r="G309">
        <v>0.78398564855861996</v>
      </c>
      <c r="H309">
        <v>3.7738438518111199E-2</v>
      </c>
      <c r="I309" t="s">
        <v>14</v>
      </c>
      <c r="J309">
        <v>8.6181013584136892</v>
      </c>
    </row>
    <row r="310" spans="1:10" x14ac:dyDescent="0.2">
      <c r="A310" t="s">
        <v>49</v>
      </c>
      <c r="B310" t="s">
        <v>40</v>
      </c>
      <c r="C310" t="s">
        <v>40</v>
      </c>
      <c r="D310">
        <v>3</v>
      </c>
      <c r="E310" t="s">
        <v>43</v>
      </c>
      <c r="F310" t="s">
        <v>13</v>
      </c>
      <c r="G310">
        <v>0.77911272164368095</v>
      </c>
      <c r="H310">
        <v>0</v>
      </c>
      <c r="I310" t="s">
        <v>14</v>
      </c>
      <c r="J310">
        <v>0.62972903251647905</v>
      </c>
    </row>
    <row r="311" spans="1:10" x14ac:dyDescent="0.2">
      <c r="A311" t="s">
        <v>49</v>
      </c>
      <c r="B311" t="s">
        <v>40</v>
      </c>
      <c r="C311" t="s">
        <v>40</v>
      </c>
      <c r="D311">
        <v>3</v>
      </c>
      <c r="E311" t="s">
        <v>43</v>
      </c>
      <c r="F311" t="s">
        <v>15</v>
      </c>
      <c r="G311">
        <v>0.79300987672484202</v>
      </c>
      <c r="H311">
        <v>3.31435724968175E-2</v>
      </c>
      <c r="I311" t="s">
        <v>14</v>
      </c>
      <c r="J311">
        <v>10.6062340736389</v>
      </c>
    </row>
    <row r="312" spans="1:10" x14ac:dyDescent="0.2">
      <c r="A312" t="s">
        <v>49</v>
      </c>
      <c r="B312" t="s">
        <v>40</v>
      </c>
      <c r="C312" t="s">
        <v>40</v>
      </c>
      <c r="D312">
        <v>4</v>
      </c>
      <c r="E312" t="s">
        <v>44</v>
      </c>
      <c r="F312" t="s">
        <v>13</v>
      </c>
      <c r="G312">
        <v>0.77911272164368095</v>
      </c>
      <c r="H312">
        <v>0</v>
      </c>
      <c r="I312" t="s">
        <v>14</v>
      </c>
      <c r="J312">
        <v>0.73909711837768499</v>
      </c>
    </row>
    <row r="313" spans="1:10" x14ac:dyDescent="0.2">
      <c r="A313" t="s">
        <v>49</v>
      </c>
      <c r="B313" t="s">
        <v>40</v>
      </c>
      <c r="C313" t="s">
        <v>40</v>
      </c>
      <c r="D313">
        <v>4</v>
      </c>
      <c r="E313" t="s">
        <v>44</v>
      </c>
      <c r="F313" t="s">
        <v>15</v>
      </c>
      <c r="G313">
        <v>0.790150510007539</v>
      </c>
      <c r="H313">
        <v>3.3591022792191602E-2</v>
      </c>
      <c r="I313" t="s">
        <v>14</v>
      </c>
      <c r="J313">
        <v>12.8188729286193</v>
      </c>
    </row>
    <row r="314" spans="1:10" x14ac:dyDescent="0.2">
      <c r="A314" t="s">
        <v>49</v>
      </c>
      <c r="B314" t="s">
        <v>45</v>
      </c>
      <c r="C314" t="s">
        <v>45</v>
      </c>
      <c r="D314">
        <v>1</v>
      </c>
      <c r="E314" t="s">
        <v>41</v>
      </c>
      <c r="F314" t="s">
        <v>13</v>
      </c>
      <c r="G314">
        <v>0.73001725100713899</v>
      </c>
      <c r="H314">
        <v>0</v>
      </c>
      <c r="I314" t="s">
        <v>14</v>
      </c>
      <c r="J314">
        <v>1.7817311286926201</v>
      </c>
    </row>
    <row r="315" spans="1:10" x14ac:dyDescent="0.2">
      <c r="A315" t="s">
        <v>49</v>
      </c>
      <c r="B315" t="s">
        <v>45</v>
      </c>
      <c r="C315" t="s">
        <v>45</v>
      </c>
      <c r="D315">
        <v>1</v>
      </c>
      <c r="E315" t="s">
        <v>41</v>
      </c>
      <c r="F315" t="s">
        <v>15</v>
      </c>
      <c r="G315">
        <v>0.79506975401421398</v>
      </c>
      <c r="H315">
        <v>4.0104249539057897E-2</v>
      </c>
      <c r="I315" t="s">
        <v>14</v>
      </c>
      <c r="J315">
        <v>30.572792053222599</v>
      </c>
    </row>
    <row r="316" spans="1:10" x14ac:dyDescent="0.2">
      <c r="A316" t="s">
        <v>49</v>
      </c>
      <c r="B316" t="s">
        <v>45</v>
      </c>
      <c r="C316" t="s">
        <v>45</v>
      </c>
      <c r="D316">
        <v>2</v>
      </c>
      <c r="E316" t="s">
        <v>42</v>
      </c>
      <c r="F316" t="s">
        <v>13</v>
      </c>
      <c r="G316">
        <v>0.76279987373737301</v>
      </c>
      <c r="H316">
        <v>0</v>
      </c>
      <c r="I316" t="s">
        <v>14</v>
      </c>
      <c r="J316">
        <v>2.4335880279540998</v>
      </c>
    </row>
    <row r="317" spans="1:10" x14ac:dyDescent="0.2">
      <c r="A317" t="s">
        <v>49</v>
      </c>
      <c r="B317" t="s">
        <v>45</v>
      </c>
      <c r="C317" t="s">
        <v>45</v>
      </c>
      <c r="D317">
        <v>2</v>
      </c>
      <c r="E317" t="s">
        <v>42</v>
      </c>
      <c r="F317" t="s">
        <v>15</v>
      </c>
      <c r="G317">
        <v>0.80026254101584404</v>
      </c>
      <c r="H317">
        <v>3.4316163167058003E-2</v>
      </c>
      <c r="I317" t="s">
        <v>14</v>
      </c>
      <c r="J317">
        <v>42.287877798080402</v>
      </c>
    </row>
    <row r="318" spans="1:10" x14ac:dyDescent="0.2">
      <c r="A318" t="s">
        <v>49</v>
      </c>
      <c r="B318" t="s">
        <v>45</v>
      </c>
      <c r="C318" t="s">
        <v>45</v>
      </c>
      <c r="D318">
        <v>3</v>
      </c>
      <c r="E318" t="s">
        <v>43</v>
      </c>
      <c r="F318" t="s">
        <v>13</v>
      </c>
      <c r="G318">
        <v>0.76166786112438201</v>
      </c>
      <c r="H318">
        <v>0</v>
      </c>
      <c r="I318" t="s">
        <v>14</v>
      </c>
      <c r="J318">
        <v>2.5487780570983798</v>
      </c>
    </row>
    <row r="319" spans="1:10" x14ac:dyDescent="0.2">
      <c r="A319" t="s">
        <v>49</v>
      </c>
      <c r="B319" t="s">
        <v>45</v>
      </c>
      <c r="C319" t="s">
        <v>45</v>
      </c>
      <c r="D319">
        <v>3</v>
      </c>
      <c r="E319" t="s">
        <v>43</v>
      </c>
      <c r="F319" t="s">
        <v>15</v>
      </c>
      <c r="G319">
        <v>0.79286541502427699</v>
      </c>
      <c r="H319">
        <v>3.4158060339424798E-2</v>
      </c>
      <c r="I319" t="s">
        <v>14</v>
      </c>
      <c r="J319">
        <v>52.673905849456702</v>
      </c>
    </row>
    <row r="320" spans="1:10" x14ac:dyDescent="0.2">
      <c r="A320" t="s">
        <v>49</v>
      </c>
      <c r="B320" t="s">
        <v>45</v>
      </c>
      <c r="C320" t="s">
        <v>45</v>
      </c>
      <c r="D320">
        <v>4</v>
      </c>
      <c r="E320" t="s">
        <v>44</v>
      </c>
      <c r="F320" t="s">
        <v>13</v>
      </c>
      <c r="G320">
        <v>0.76857591425967697</v>
      </c>
      <c r="H320">
        <v>0</v>
      </c>
      <c r="I320" t="s">
        <v>14</v>
      </c>
      <c r="J320">
        <v>3.55137991905212</v>
      </c>
    </row>
    <row r="321" spans="1:10" x14ac:dyDescent="0.2">
      <c r="A321" t="s">
        <v>49</v>
      </c>
      <c r="B321" t="s">
        <v>45</v>
      </c>
      <c r="C321" t="s">
        <v>45</v>
      </c>
      <c r="D321">
        <v>4</v>
      </c>
      <c r="E321" t="s">
        <v>44</v>
      </c>
      <c r="F321" t="s">
        <v>15</v>
      </c>
      <c r="G321">
        <v>0.79644845994395996</v>
      </c>
      <c r="H321">
        <v>3.5140349037070098E-2</v>
      </c>
      <c r="I321" t="s">
        <v>14</v>
      </c>
      <c r="J321">
        <v>64.368307828903198</v>
      </c>
    </row>
    <row r="322" spans="1:10" x14ac:dyDescent="0.2">
      <c r="A322" t="s">
        <v>50</v>
      </c>
      <c r="B322" t="s">
        <v>11</v>
      </c>
      <c r="C322" t="s">
        <v>11</v>
      </c>
      <c r="D322">
        <v>1</v>
      </c>
      <c r="E322" t="s">
        <v>12</v>
      </c>
      <c r="F322" t="s">
        <v>13</v>
      </c>
      <c r="G322">
        <v>0.67714316006300701</v>
      </c>
      <c r="H322">
        <v>0</v>
      </c>
      <c r="I322" t="s">
        <v>14</v>
      </c>
      <c r="J322">
        <v>4.5845985412597601E-2</v>
      </c>
    </row>
    <row r="323" spans="1:10" x14ac:dyDescent="0.2">
      <c r="A323" t="s">
        <v>50</v>
      </c>
      <c r="B323" t="s">
        <v>11</v>
      </c>
      <c r="C323" t="s">
        <v>11</v>
      </c>
      <c r="D323">
        <v>1</v>
      </c>
      <c r="E323" t="s">
        <v>12</v>
      </c>
      <c r="F323" t="s">
        <v>15</v>
      </c>
      <c r="G323">
        <v>0.69273854796524104</v>
      </c>
      <c r="H323">
        <v>3.7101606211600802E-2</v>
      </c>
      <c r="I323" t="s">
        <v>14</v>
      </c>
      <c r="J323">
        <v>0.68671607971191395</v>
      </c>
    </row>
    <row r="324" spans="1:10" x14ac:dyDescent="0.2">
      <c r="A324" t="s">
        <v>50</v>
      </c>
      <c r="B324" t="s">
        <v>11</v>
      </c>
      <c r="C324" t="s">
        <v>11</v>
      </c>
      <c r="D324">
        <v>2</v>
      </c>
      <c r="E324" t="s">
        <v>16</v>
      </c>
      <c r="F324" t="s">
        <v>13</v>
      </c>
      <c r="G324">
        <v>0.69075781030115302</v>
      </c>
      <c r="H324">
        <v>0</v>
      </c>
      <c r="I324" t="s">
        <v>14</v>
      </c>
      <c r="J324">
        <v>7.3474168777465806E-2</v>
      </c>
    </row>
    <row r="325" spans="1:10" x14ac:dyDescent="0.2">
      <c r="A325" t="s">
        <v>50</v>
      </c>
      <c r="B325" t="s">
        <v>11</v>
      </c>
      <c r="C325" t="s">
        <v>11</v>
      </c>
      <c r="D325">
        <v>2</v>
      </c>
      <c r="E325" t="s">
        <v>16</v>
      </c>
      <c r="F325" t="s">
        <v>15</v>
      </c>
      <c r="G325">
        <v>0.70306591146846098</v>
      </c>
      <c r="H325">
        <v>3.7345157008343302E-2</v>
      </c>
      <c r="I325" t="s">
        <v>14</v>
      </c>
      <c r="J325">
        <v>1.3436589241027801</v>
      </c>
    </row>
    <row r="326" spans="1:10" x14ac:dyDescent="0.2">
      <c r="A326" t="s">
        <v>50</v>
      </c>
      <c r="B326" t="s">
        <v>11</v>
      </c>
      <c r="C326" t="s">
        <v>11</v>
      </c>
      <c r="D326">
        <v>3</v>
      </c>
      <c r="E326" t="s">
        <v>17</v>
      </c>
      <c r="F326" t="s">
        <v>13</v>
      </c>
      <c r="G326">
        <v>0.67133301096067</v>
      </c>
      <c r="H326">
        <v>0</v>
      </c>
      <c r="I326" t="s">
        <v>14</v>
      </c>
      <c r="J326">
        <v>9.5994949340820299E-2</v>
      </c>
    </row>
    <row r="327" spans="1:10" x14ac:dyDescent="0.2">
      <c r="A327" t="s">
        <v>50</v>
      </c>
      <c r="B327" t="s">
        <v>11</v>
      </c>
      <c r="C327" t="s">
        <v>11</v>
      </c>
      <c r="D327">
        <v>3</v>
      </c>
      <c r="E327" t="s">
        <v>17</v>
      </c>
      <c r="F327" t="s">
        <v>15</v>
      </c>
      <c r="G327">
        <v>0.70297038163522396</v>
      </c>
      <c r="H327">
        <v>3.6943077833274302E-2</v>
      </c>
      <c r="I327" t="s">
        <v>14</v>
      </c>
      <c r="J327">
        <v>1.9624772071838299</v>
      </c>
    </row>
    <row r="328" spans="1:10" x14ac:dyDescent="0.2">
      <c r="A328" t="s">
        <v>50</v>
      </c>
      <c r="B328" t="s">
        <v>11</v>
      </c>
      <c r="C328" t="s">
        <v>11</v>
      </c>
      <c r="D328">
        <v>4</v>
      </c>
      <c r="E328" t="s">
        <v>18</v>
      </c>
      <c r="F328" t="s">
        <v>13</v>
      </c>
      <c r="G328">
        <v>0.72534722222222203</v>
      </c>
      <c r="H328">
        <v>0</v>
      </c>
      <c r="I328" t="s">
        <v>14</v>
      </c>
      <c r="J328">
        <v>5.8522939682006801E-2</v>
      </c>
    </row>
    <row r="329" spans="1:10" x14ac:dyDescent="0.2">
      <c r="A329" t="s">
        <v>50</v>
      </c>
      <c r="B329" t="s">
        <v>11</v>
      </c>
      <c r="C329" t="s">
        <v>11</v>
      </c>
      <c r="D329">
        <v>4</v>
      </c>
      <c r="E329" t="s">
        <v>18</v>
      </c>
      <c r="F329" t="s">
        <v>15</v>
      </c>
      <c r="G329">
        <v>0.72001169145312605</v>
      </c>
      <c r="H329">
        <v>3.8204984311582202E-2</v>
      </c>
      <c r="I329" t="s">
        <v>14</v>
      </c>
      <c r="J329">
        <v>0.73965001106262196</v>
      </c>
    </row>
    <row r="330" spans="1:10" x14ac:dyDescent="0.2">
      <c r="A330" t="s">
        <v>50</v>
      </c>
      <c r="B330" t="s">
        <v>11</v>
      </c>
      <c r="C330" t="s">
        <v>11</v>
      </c>
      <c r="D330">
        <v>5</v>
      </c>
      <c r="E330" t="s">
        <v>19</v>
      </c>
      <c r="F330" t="s">
        <v>13</v>
      </c>
      <c r="G330">
        <v>0.70419169169169105</v>
      </c>
      <c r="H330">
        <v>0</v>
      </c>
      <c r="I330" t="s">
        <v>14</v>
      </c>
      <c r="J330">
        <v>7.6872825622558594E-2</v>
      </c>
    </row>
    <row r="331" spans="1:10" x14ac:dyDescent="0.2">
      <c r="A331" t="s">
        <v>50</v>
      </c>
      <c r="B331" t="s">
        <v>11</v>
      </c>
      <c r="C331" t="s">
        <v>11</v>
      </c>
      <c r="D331">
        <v>5</v>
      </c>
      <c r="E331" t="s">
        <v>19</v>
      </c>
      <c r="F331" t="s">
        <v>15</v>
      </c>
      <c r="G331">
        <v>0.73315645102775695</v>
      </c>
      <c r="H331">
        <v>3.3401339122218897E-2</v>
      </c>
      <c r="I331" t="s">
        <v>14</v>
      </c>
      <c r="J331">
        <v>1.2511410713195801</v>
      </c>
    </row>
    <row r="332" spans="1:10" x14ac:dyDescent="0.2">
      <c r="A332" t="s">
        <v>50</v>
      </c>
      <c r="B332" t="s">
        <v>11</v>
      </c>
      <c r="C332" t="s">
        <v>11</v>
      </c>
      <c r="D332">
        <v>6</v>
      </c>
      <c r="E332" t="s">
        <v>20</v>
      </c>
      <c r="F332" t="s">
        <v>13</v>
      </c>
      <c r="G332">
        <v>0.72456349206349202</v>
      </c>
      <c r="H332">
        <v>0</v>
      </c>
      <c r="I332" t="s">
        <v>14</v>
      </c>
      <c r="J332">
        <v>0.11799812316894499</v>
      </c>
    </row>
    <row r="333" spans="1:10" x14ac:dyDescent="0.2">
      <c r="A333" t="s">
        <v>50</v>
      </c>
      <c r="B333" t="s">
        <v>11</v>
      </c>
      <c r="C333" t="s">
        <v>11</v>
      </c>
      <c r="D333">
        <v>6</v>
      </c>
      <c r="E333" t="s">
        <v>20</v>
      </c>
      <c r="F333" t="s">
        <v>15</v>
      </c>
      <c r="G333">
        <v>0.72894840316223097</v>
      </c>
      <c r="H333">
        <v>2.8730190545751599E-2</v>
      </c>
      <c r="I333" t="s">
        <v>14</v>
      </c>
      <c r="J333">
        <v>1.78529405593872</v>
      </c>
    </row>
    <row r="334" spans="1:10" x14ac:dyDescent="0.2">
      <c r="A334" t="s">
        <v>50</v>
      </c>
      <c r="B334" t="s">
        <v>11</v>
      </c>
      <c r="C334" t="s">
        <v>11</v>
      </c>
      <c r="D334">
        <v>7</v>
      </c>
      <c r="E334" t="s">
        <v>21</v>
      </c>
      <c r="F334" t="s">
        <v>13</v>
      </c>
      <c r="G334">
        <v>0.71340196078431295</v>
      </c>
      <c r="H334">
        <v>0</v>
      </c>
      <c r="I334" t="s">
        <v>14</v>
      </c>
      <c r="J334">
        <v>4.5762062072753899E-2</v>
      </c>
    </row>
    <row r="335" spans="1:10" x14ac:dyDescent="0.2">
      <c r="A335" t="s">
        <v>50</v>
      </c>
      <c r="B335" t="s">
        <v>11</v>
      </c>
      <c r="C335" t="s">
        <v>11</v>
      </c>
      <c r="D335">
        <v>7</v>
      </c>
      <c r="E335" t="s">
        <v>21</v>
      </c>
      <c r="F335" t="s">
        <v>15</v>
      </c>
      <c r="G335">
        <v>0.68219068257264104</v>
      </c>
      <c r="H335">
        <v>5.3001790797601797E-2</v>
      </c>
      <c r="I335" t="s">
        <v>14</v>
      </c>
      <c r="J335">
        <v>0.47783684730529702</v>
      </c>
    </row>
    <row r="336" spans="1:10" x14ac:dyDescent="0.2">
      <c r="A336" t="s">
        <v>50</v>
      </c>
      <c r="B336" t="s">
        <v>11</v>
      </c>
      <c r="C336" t="s">
        <v>11</v>
      </c>
      <c r="D336">
        <v>8</v>
      </c>
      <c r="E336" t="s">
        <v>22</v>
      </c>
      <c r="F336" t="s">
        <v>13</v>
      </c>
      <c r="G336">
        <v>0.68221057884231495</v>
      </c>
      <c r="H336">
        <v>0</v>
      </c>
      <c r="I336" t="s">
        <v>14</v>
      </c>
      <c r="J336">
        <v>4.5146942138671799E-2</v>
      </c>
    </row>
    <row r="337" spans="1:10" x14ac:dyDescent="0.2">
      <c r="A337" t="s">
        <v>50</v>
      </c>
      <c r="B337" t="s">
        <v>11</v>
      </c>
      <c r="C337" t="s">
        <v>11</v>
      </c>
      <c r="D337">
        <v>8</v>
      </c>
      <c r="E337" t="s">
        <v>22</v>
      </c>
      <c r="F337" t="s">
        <v>15</v>
      </c>
      <c r="G337">
        <v>0.67969990783226297</v>
      </c>
      <c r="H337">
        <v>4.0580053977542101E-2</v>
      </c>
      <c r="I337" t="s">
        <v>14</v>
      </c>
      <c r="J337">
        <v>0.769264936447143</v>
      </c>
    </row>
    <row r="338" spans="1:10" x14ac:dyDescent="0.2">
      <c r="A338" t="s">
        <v>50</v>
      </c>
      <c r="B338" t="s">
        <v>11</v>
      </c>
      <c r="C338" t="s">
        <v>11</v>
      </c>
      <c r="D338">
        <v>9</v>
      </c>
      <c r="E338" t="s">
        <v>23</v>
      </c>
      <c r="F338" t="s">
        <v>13</v>
      </c>
      <c r="G338">
        <v>0.707135239325271</v>
      </c>
      <c r="H338">
        <v>0</v>
      </c>
      <c r="I338" t="s">
        <v>14</v>
      </c>
      <c r="J338">
        <v>6.8638086318969699E-2</v>
      </c>
    </row>
    <row r="339" spans="1:10" x14ac:dyDescent="0.2">
      <c r="A339" t="s">
        <v>50</v>
      </c>
      <c r="B339" t="s">
        <v>11</v>
      </c>
      <c r="C339" t="s">
        <v>11</v>
      </c>
      <c r="D339">
        <v>9</v>
      </c>
      <c r="E339" t="s">
        <v>23</v>
      </c>
      <c r="F339" t="s">
        <v>15</v>
      </c>
      <c r="G339">
        <v>0.67733573777059997</v>
      </c>
      <c r="H339">
        <v>4.7439149415659097E-2</v>
      </c>
      <c r="I339" t="s">
        <v>14</v>
      </c>
      <c r="J339">
        <v>1.05660700798034</v>
      </c>
    </row>
    <row r="340" spans="1:10" x14ac:dyDescent="0.2">
      <c r="A340" t="s">
        <v>50</v>
      </c>
      <c r="B340" t="s">
        <v>11</v>
      </c>
      <c r="C340" t="s">
        <v>11</v>
      </c>
      <c r="D340">
        <v>10</v>
      </c>
      <c r="E340" t="s">
        <v>24</v>
      </c>
      <c r="F340" t="s">
        <v>13</v>
      </c>
      <c r="G340">
        <v>0.75606650421966004</v>
      </c>
      <c r="H340">
        <v>0</v>
      </c>
      <c r="I340" t="s">
        <v>14</v>
      </c>
      <c r="J340">
        <v>2.25770807266235</v>
      </c>
    </row>
    <row r="341" spans="1:10" x14ac:dyDescent="0.2">
      <c r="A341" t="s">
        <v>50</v>
      </c>
      <c r="B341" t="s">
        <v>11</v>
      </c>
      <c r="C341" t="s">
        <v>11</v>
      </c>
      <c r="D341">
        <v>10</v>
      </c>
      <c r="E341" t="s">
        <v>24</v>
      </c>
      <c r="F341" t="s">
        <v>15</v>
      </c>
      <c r="G341">
        <v>0.76840394890589403</v>
      </c>
      <c r="H341">
        <v>4.2168334015888403E-2</v>
      </c>
      <c r="I341" t="s">
        <v>14</v>
      </c>
      <c r="J341">
        <v>35.786258935928302</v>
      </c>
    </row>
    <row r="342" spans="1:10" x14ac:dyDescent="0.2">
      <c r="A342" t="s">
        <v>50</v>
      </c>
      <c r="B342" t="s">
        <v>11</v>
      </c>
      <c r="C342" t="s">
        <v>11</v>
      </c>
      <c r="D342">
        <v>11</v>
      </c>
      <c r="E342" t="s">
        <v>25</v>
      </c>
      <c r="F342" t="s">
        <v>13</v>
      </c>
      <c r="G342">
        <v>0.75606650421966004</v>
      </c>
      <c r="H342">
        <v>0</v>
      </c>
      <c r="I342" t="s">
        <v>14</v>
      </c>
      <c r="J342">
        <v>3.9808700084686199</v>
      </c>
    </row>
    <row r="343" spans="1:10" x14ac:dyDescent="0.2">
      <c r="A343" t="s">
        <v>50</v>
      </c>
      <c r="B343" t="s">
        <v>11</v>
      </c>
      <c r="C343" t="s">
        <v>11</v>
      </c>
      <c r="D343">
        <v>11</v>
      </c>
      <c r="E343" t="s">
        <v>25</v>
      </c>
      <c r="F343" t="s">
        <v>15</v>
      </c>
      <c r="G343">
        <v>0.77988808618856897</v>
      </c>
      <c r="H343">
        <v>3.5076507882314499E-2</v>
      </c>
      <c r="I343" t="s">
        <v>14</v>
      </c>
      <c r="J343">
        <v>70.551172018051105</v>
      </c>
    </row>
    <row r="344" spans="1:10" x14ac:dyDescent="0.2">
      <c r="A344" t="s">
        <v>50</v>
      </c>
      <c r="B344" t="s">
        <v>11</v>
      </c>
      <c r="C344" t="s">
        <v>11</v>
      </c>
      <c r="D344">
        <v>12</v>
      </c>
      <c r="E344" t="s">
        <v>26</v>
      </c>
      <c r="F344" t="s">
        <v>13</v>
      </c>
      <c r="G344">
        <v>0.773122291766971</v>
      </c>
      <c r="H344">
        <v>0</v>
      </c>
      <c r="I344" t="s">
        <v>14</v>
      </c>
      <c r="J344">
        <v>5.4660210609436</v>
      </c>
    </row>
    <row r="345" spans="1:10" x14ac:dyDescent="0.2">
      <c r="A345" t="s">
        <v>50</v>
      </c>
      <c r="B345" t="s">
        <v>11</v>
      </c>
      <c r="C345" t="s">
        <v>11</v>
      </c>
      <c r="D345">
        <v>12</v>
      </c>
      <c r="E345" t="s">
        <v>26</v>
      </c>
      <c r="F345" t="s">
        <v>15</v>
      </c>
      <c r="G345">
        <v>0.78608695980957699</v>
      </c>
      <c r="H345">
        <v>3.2709001123597703E-2</v>
      </c>
      <c r="I345" t="s">
        <v>14</v>
      </c>
      <c r="J345">
        <v>104.48890280723499</v>
      </c>
    </row>
    <row r="346" spans="1:10" x14ac:dyDescent="0.2">
      <c r="A346" t="s">
        <v>50</v>
      </c>
      <c r="B346" t="s">
        <v>27</v>
      </c>
      <c r="C346" t="s">
        <v>27</v>
      </c>
      <c r="D346">
        <v>1</v>
      </c>
      <c r="E346" t="s">
        <v>28</v>
      </c>
      <c r="F346" t="s">
        <v>13</v>
      </c>
      <c r="G346">
        <v>0.75078320802005005</v>
      </c>
      <c r="H346">
        <v>0</v>
      </c>
      <c r="I346" t="s">
        <v>14</v>
      </c>
      <c r="J346">
        <v>9.9167823791503906E-2</v>
      </c>
    </row>
    <row r="347" spans="1:10" x14ac:dyDescent="0.2">
      <c r="A347" t="s">
        <v>50</v>
      </c>
      <c r="B347" t="s">
        <v>27</v>
      </c>
      <c r="C347" t="s">
        <v>27</v>
      </c>
      <c r="D347">
        <v>1</v>
      </c>
      <c r="E347" t="s">
        <v>28</v>
      </c>
      <c r="F347" t="s">
        <v>15</v>
      </c>
      <c r="G347">
        <v>0.73921935511725201</v>
      </c>
      <c r="H347">
        <v>4.10908874628651E-2</v>
      </c>
      <c r="I347" t="s">
        <v>14</v>
      </c>
      <c r="J347">
        <v>1.6693298816680899</v>
      </c>
    </row>
    <row r="348" spans="1:10" x14ac:dyDescent="0.2">
      <c r="A348" t="s">
        <v>50</v>
      </c>
      <c r="B348" t="s">
        <v>27</v>
      </c>
      <c r="C348" t="s">
        <v>27</v>
      </c>
      <c r="D348">
        <v>2</v>
      </c>
      <c r="E348" t="s">
        <v>29</v>
      </c>
      <c r="F348" t="s">
        <v>13</v>
      </c>
      <c r="G348">
        <v>0.756682266009852</v>
      </c>
      <c r="H348">
        <v>0</v>
      </c>
      <c r="I348" t="s">
        <v>14</v>
      </c>
      <c r="J348">
        <v>9.0580940246582003E-2</v>
      </c>
    </row>
    <row r="349" spans="1:10" x14ac:dyDescent="0.2">
      <c r="A349" t="s">
        <v>50</v>
      </c>
      <c r="B349" t="s">
        <v>27</v>
      </c>
      <c r="C349" t="s">
        <v>27</v>
      </c>
      <c r="D349">
        <v>2</v>
      </c>
      <c r="E349" t="s">
        <v>29</v>
      </c>
      <c r="F349" t="s">
        <v>15</v>
      </c>
      <c r="G349">
        <v>0.73385119179871094</v>
      </c>
      <c r="H349">
        <v>2.1745388501052999E-2</v>
      </c>
      <c r="I349" t="s">
        <v>14</v>
      </c>
      <c r="J349">
        <v>1.64963722229003</v>
      </c>
    </row>
    <row r="350" spans="1:10" x14ac:dyDescent="0.2">
      <c r="A350" t="s">
        <v>50</v>
      </c>
      <c r="B350" t="s">
        <v>27</v>
      </c>
      <c r="C350" t="s">
        <v>27</v>
      </c>
      <c r="D350">
        <v>3</v>
      </c>
      <c r="E350" t="s">
        <v>30</v>
      </c>
      <c r="F350" t="s">
        <v>13</v>
      </c>
      <c r="G350">
        <v>0.69453275529865099</v>
      </c>
      <c r="H350">
        <v>0</v>
      </c>
      <c r="I350" t="s">
        <v>14</v>
      </c>
      <c r="J350">
        <v>9.3343973159789997E-2</v>
      </c>
    </row>
    <row r="351" spans="1:10" x14ac:dyDescent="0.2">
      <c r="A351" t="s">
        <v>50</v>
      </c>
      <c r="B351" t="s">
        <v>27</v>
      </c>
      <c r="C351" t="s">
        <v>27</v>
      </c>
      <c r="D351">
        <v>3</v>
      </c>
      <c r="E351" t="s">
        <v>30</v>
      </c>
      <c r="F351" t="s">
        <v>15</v>
      </c>
      <c r="G351">
        <v>0.75426609575387105</v>
      </c>
      <c r="H351">
        <v>2.2890545624428799E-2</v>
      </c>
      <c r="I351" t="s">
        <v>14</v>
      </c>
      <c r="J351">
        <v>1.69460678100585</v>
      </c>
    </row>
    <row r="352" spans="1:10" x14ac:dyDescent="0.2">
      <c r="A352" t="s">
        <v>50</v>
      </c>
      <c r="B352" t="s">
        <v>27</v>
      </c>
      <c r="C352" t="s">
        <v>27</v>
      </c>
      <c r="D352">
        <v>4</v>
      </c>
      <c r="E352" t="s">
        <v>31</v>
      </c>
      <c r="F352" t="s">
        <v>13</v>
      </c>
      <c r="G352">
        <v>0.73205989980822594</v>
      </c>
      <c r="H352">
        <v>0</v>
      </c>
      <c r="I352" t="s">
        <v>14</v>
      </c>
      <c r="J352">
        <v>9.0337991714477497E-2</v>
      </c>
    </row>
    <row r="353" spans="1:10" x14ac:dyDescent="0.2">
      <c r="A353" t="s">
        <v>50</v>
      </c>
      <c r="B353" t="s">
        <v>27</v>
      </c>
      <c r="C353" t="s">
        <v>27</v>
      </c>
      <c r="D353">
        <v>4</v>
      </c>
      <c r="E353" t="s">
        <v>31</v>
      </c>
      <c r="F353" t="s">
        <v>15</v>
      </c>
      <c r="G353">
        <v>0.73417599795338895</v>
      </c>
      <c r="H353">
        <v>3.9720856810610598E-2</v>
      </c>
      <c r="I353" t="s">
        <v>14</v>
      </c>
      <c r="J353">
        <v>1.6654701232910101</v>
      </c>
    </row>
    <row r="354" spans="1:10" x14ac:dyDescent="0.2">
      <c r="A354" t="s">
        <v>50</v>
      </c>
      <c r="B354" t="s">
        <v>27</v>
      </c>
      <c r="C354" t="s">
        <v>27</v>
      </c>
      <c r="D354">
        <v>5</v>
      </c>
      <c r="E354" t="s">
        <v>32</v>
      </c>
      <c r="F354" t="s">
        <v>13</v>
      </c>
      <c r="G354">
        <v>0.71340196078431295</v>
      </c>
      <c r="H354">
        <v>0</v>
      </c>
      <c r="I354" t="s">
        <v>14</v>
      </c>
      <c r="J354">
        <v>0.10542416572570799</v>
      </c>
    </row>
    <row r="355" spans="1:10" x14ac:dyDescent="0.2">
      <c r="A355" t="s">
        <v>50</v>
      </c>
      <c r="B355" t="s">
        <v>27</v>
      </c>
      <c r="C355" t="s">
        <v>27</v>
      </c>
      <c r="D355">
        <v>5</v>
      </c>
      <c r="E355" t="s">
        <v>32</v>
      </c>
      <c r="F355" t="s">
        <v>15</v>
      </c>
      <c r="G355">
        <v>0.73881722961762697</v>
      </c>
      <c r="H355">
        <v>4.3799145801750199E-2</v>
      </c>
      <c r="I355" t="s">
        <v>14</v>
      </c>
      <c r="J355">
        <v>1.6877129077911299</v>
      </c>
    </row>
    <row r="356" spans="1:10" x14ac:dyDescent="0.2">
      <c r="A356" t="s">
        <v>50</v>
      </c>
      <c r="B356" t="s">
        <v>27</v>
      </c>
      <c r="C356" t="s">
        <v>27</v>
      </c>
      <c r="D356">
        <v>6</v>
      </c>
      <c r="E356" t="s">
        <v>33</v>
      </c>
      <c r="F356" t="s">
        <v>13</v>
      </c>
      <c r="G356">
        <v>0.72586274509803905</v>
      </c>
      <c r="H356">
        <v>0</v>
      </c>
      <c r="I356" t="s">
        <v>14</v>
      </c>
      <c r="J356">
        <v>0.10135388374328599</v>
      </c>
    </row>
    <row r="357" spans="1:10" x14ac:dyDescent="0.2">
      <c r="A357" t="s">
        <v>50</v>
      </c>
      <c r="B357" t="s">
        <v>27</v>
      </c>
      <c r="C357" t="s">
        <v>27</v>
      </c>
      <c r="D357">
        <v>6</v>
      </c>
      <c r="E357" t="s">
        <v>33</v>
      </c>
      <c r="F357" t="s">
        <v>15</v>
      </c>
      <c r="G357">
        <v>0.74611168187060695</v>
      </c>
      <c r="H357">
        <v>4.12682623569866E-2</v>
      </c>
      <c r="I357" t="s">
        <v>14</v>
      </c>
      <c r="J357">
        <v>1.7001709938049301</v>
      </c>
    </row>
    <row r="358" spans="1:10" x14ac:dyDescent="0.2">
      <c r="A358" t="s">
        <v>50</v>
      </c>
      <c r="B358" t="s">
        <v>27</v>
      </c>
      <c r="C358" t="s">
        <v>27</v>
      </c>
      <c r="D358">
        <v>7</v>
      </c>
      <c r="E358" t="s">
        <v>34</v>
      </c>
      <c r="F358" t="s">
        <v>13</v>
      </c>
      <c r="G358">
        <v>0.71313375846323401</v>
      </c>
      <c r="H358">
        <v>0</v>
      </c>
      <c r="I358" t="s">
        <v>14</v>
      </c>
      <c r="J358">
        <v>9.6768856048583901E-2</v>
      </c>
    </row>
    <row r="359" spans="1:10" x14ac:dyDescent="0.2">
      <c r="A359" t="s">
        <v>50</v>
      </c>
      <c r="B359" t="s">
        <v>27</v>
      </c>
      <c r="C359" t="s">
        <v>27</v>
      </c>
      <c r="D359">
        <v>7</v>
      </c>
      <c r="E359" t="s">
        <v>34</v>
      </c>
      <c r="F359" t="s">
        <v>15</v>
      </c>
      <c r="G359">
        <v>0.76179767105306395</v>
      </c>
      <c r="H359">
        <v>2.44102236290356E-2</v>
      </c>
      <c r="I359" t="s">
        <v>14</v>
      </c>
      <c r="J359">
        <v>1.7375638484954801</v>
      </c>
    </row>
    <row r="360" spans="1:10" x14ac:dyDescent="0.2">
      <c r="A360" t="s">
        <v>50</v>
      </c>
      <c r="B360" t="s">
        <v>27</v>
      </c>
      <c r="C360" t="s">
        <v>27</v>
      </c>
      <c r="D360">
        <v>8</v>
      </c>
      <c r="E360" t="s">
        <v>35</v>
      </c>
      <c r="F360" t="s">
        <v>13</v>
      </c>
      <c r="G360">
        <v>0.75698663605322003</v>
      </c>
      <c r="H360">
        <v>0</v>
      </c>
      <c r="I360" t="s">
        <v>14</v>
      </c>
      <c r="J360">
        <v>9.1043949127197196E-2</v>
      </c>
    </row>
    <row r="361" spans="1:10" x14ac:dyDescent="0.2">
      <c r="A361" t="s">
        <v>50</v>
      </c>
      <c r="B361" t="s">
        <v>27</v>
      </c>
      <c r="C361" t="s">
        <v>27</v>
      </c>
      <c r="D361">
        <v>8</v>
      </c>
      <c r="E361" t="s">
        <v>35</v>
      </c>
      <c r="F361" t="s">
        <v>15</v>
      </c>
      <c r="G361">
        <v>0.73061342638972304</v>
      </c>
      <c r="H361">
        <v>2.62915165499755E-2</v>
      </c>
      <c r="I361" t="s">
        <v>14</v>
      </c>
      <c r="J361">
        <v>1.70269179344177</v>
      </c>
    </row>
    <row r="362" spans="1:10" x14ac:dyDescent="0.2">
      <c r="A362" t="s">
        <v>50</v>
      </c>
      <c r="B362" t="s">
        <v>27</v>
      </c>
      <c r="C362" t="s">
        <v>27</v>
      </c>
      <c r="D362">
        <v>9</v>
      </c>
      <c r="E362" t="s">
        <v>36</v>
      </c>
      <c r="F362" t="s">
        <v>13</v>
      </c>
      <c r="G362">
        <v>0.75606650421966004</v>
      </c>
      <c r="H362">
        <v>0</v>
      </c>
      <c r="I362" t="s">
        <v>14</v>
      </c>
      <c r="J362">
        <v>9.2808961868286105E-2</v>
      </c>
    </row>
    <row r="363" spans="1:10" x14ac:dyDescent="0.2">
      <c r="A363" t="s">
        <v>50</v>
      </c>
      <c r="B363" t="s">
        <v>27</v>
      </c>
      <c r="C363" t="s">
        <v>27</v>
      </c>
      <c r="D363">
        <v>9</v>
      </c>
      <c r="E363" t="s">
        <v>36</v>
      </c>
      <c r="F363" t="s">
        <v>15</v>
      </c>
      <c r="G363">
        <v>0.74239775709673095</v>
      </c>
      <c r="H363">
        <v>3.61072173000552E-2</v>
      </c>
      <c r="I363" t="s">
        <v>14</v>
      </c>
      <c r="J363">
        <v>1.7016739845275799</v>
      </c>
    </row>
    <row r="364" spans="1:10" x14ac:dyDescent="0.2">
      <c r="A364" t="s">
        <v>50</v>
      </c>
      <c r="B364" t="s">
        <v>27</v>
      </c>
      <c r="C364" t="s">
        <v>27</v>
      </c>
      <c r="D364">
        <v>10</v>
      </c>
      <c r="E364" t="s">
        <v>37</v>
      </c>
      <c r="F364" t="s">
        <v>13</v>
      </c>
      <c r="G364">
        <v>0.75031565656565602</v>
      </c>
      <c r="H364">
        <v>0</v>
      </c>
      <c r="I364" t="s">
        <v>14</v>
      </c>
      <c r="J364">
        <v>9.3857049942016602E-2</v>
      </c>
    </row>
    <row r="365" spans="1:10" x14ac:dyDescent="0.2">
      <c r="A365" t="s">
        <v>50</v>
      </c>
      <c r="B365" t="s">
        <v>27</v>
      </c>
      <c r="C365" t="s">
        <v>27</v>
      </c>
      <c r="D365">
        <v>10</v>
      </c>
      <c r="E365" t="s">
        <v>37</v>
      </c>
      <c r="F365" t="s">
        <v>15</v>
      </c>
      <c r="G365">
        <v>0.742324998639599</v>
      </c>
      <c r="H365">
        <v>2.2291295962846298E-2</v>
      </c>
      <c r="I365" t="s">
        <v>14</v>
      </c>
      <c r="J365">
        <v>1.7151350975036599</v>
      </c>
    </row>
    <row r="366" spans="1:10" x14ac:dyDescent="0.2">
      <c r="A366" t="s">
        <v>50</v>
      </c>
      <c r="B366" t="s">
        <v>27</v>
      </c>
      <c r="C366" t="s">
        <v>27</v>
      </c>
      <c r="D366">
        <v>11</v>
      </c>
      <c r="E366" t="s">
        <v>38</v>
      </c>
      <c r="F366" t="s">
        <v>13</v>
      </c>
      <c r="G366">
        <v>0.74392210896448197</v>
      </c>
      <c r="H366">
        <v>0</v>
      </c>
      <c r="I366" t="s">
        <v>14</v>
      </c>
      <c r="J366">
        <v>0.106208086013793</v>
      </c>
    </row>
    <row r="367" spans="1:10" x14ac:dyDescent="0.2">
      <c r="A367" t="s">
        <v>50</v>
      </c>
      <c r="B367" t="s">
        <v>27</v>
      </c>
      <c r="C367" t="s">
        <v>27</v>
      </c>
      <c r="D367">
        <v>11</v>
      </c>
      <c r="E367" t="s">
        <v>38</v>
      </c>
      <c r="F367" t="s">
        <v>15</v>
      </c>
      <c r="G367">
        <v>0.73283359756788202</v>
      </c>
      <c r="H367">
        <v>2.4088206942364701E-2</v>
      </c>
      <c r="I367" t="s">
        <v>14</v>
      </c>
      <c r="J367">
        <v>1.68401670455932</v>
      </c>
    </row>
    <row r="368" spans="1:10" x14ac:dyDescent="0.2">
      <c r="A368" t="s">
        <v>50</v>
      </c>
      <c r="B368" t="s">
        <v>27</v>
      </c>
      <c r="C368" t="s">
        <v>27</v>
      </c>
      <c r="D368">
        <v>12</v>
      </c>
      <c r="E368" t="s">
        <v>39</v>
      </c>
      <c r="F368" t="s">
        <v>13</v>
      </c>
      <c r="G368">
        <v>0.72586274509803905</v>
      </c>
      <c r="H368">
        <v>0</v>
      </c>
      <c r="I368" t="s">
        <v>14</v>
      </c>
      <c r="J368">
        <v>9.1409921646118095E-2</v>
      </c>
    </row>
    <row r="369" spans="1:10" x14ac:dyDescent="0.2">
      <c r="A369" t="s">
        <v>50</v>
      </c>
      <c r="B369" t="s">
        <v>27</v>
      </c>
      <c r="C369" t="s">
        <v>27</v>
      </c>
      <c r="D369">
        <v>12</v>
      </c>
      <c r="E369" t="s">
        <v>39</v>
      </c>
      <c r="F369" t="s">
        <v>15</v>
      </c>
      <c r="G369">
        <v>0.75087053055582997</v>
      </c>
      <c r="H369">
        <v>2.7274137268986601E-2</v>
      </c>
      <c r="I369" t="s">
        <v>14</v>
      </c>
      <c r="J369">
        <v>1.6765949726104701</v>
      </c>
    </row>
    <row r="370" spans="1:10" x14ac:dyDescent="0.2">
      <c r="A370" t="s">
        <v>50</v>
      </c>
      <c r="B370" t="s">
        <v>40</v>
      </c>
      <c r="C370" t="s">
        <v>40</v>
      </c>
      <c r="D370">
        <v>1</v>
      </c>
      <c r="E370" t="s">
        <v>41</v>
      </c>
      <c r="F370" t="s">
        <v>13</v>
      </c>
      <c r="G370">
        <v>0.76166786112438201</v>
      </c>
      <c r="H370">
        <v>0</v>
      </c>
      <c r="I370" t="s">
        <v>14</v>
      </c>
      <c r="J370">
        <v>0.25856590270995999</v>
      </c>
    </row>
    <row r="371" spans="1:10" x14ac:dyDescent="0.2">
      <c r="A371" t="s">
        <v>50</v>
      </c>
      <c r="B371" t="s">
        <v>40</v>
      </c>
      <c r="C371" t="s">
        <v>40</v>
      </c>
      <c r="D371">
        <v>1</v>
      </c>
      <c r="E371" t="s">
        <v>41</v>
      </c>
      <c r="F371" t="s">
        <v>15</v>
      </c>
      <c r="G371">
        <v>0.77030009101132302</v>
      </c>
      <c r="H371">
        <v>2.2703600984248999E-2</v>
      </c>
      <c r="I371" t="s">
        <v>14</v>
      </c>
      <c r="J371">
        <v>6.33147692680358</v>
      </c>
    </row>
    <row r="372" spans="1:10" x14ac:dyDescent="0.2">
      <c r="A372" t="s">
        <v>50</v>
      </c>
      <c r="B372" t="s">
        <v>40</v>
      </c>
      <c r="C372" t="s">
        <v>40</v>
      </c>
      <c r="D372">
        <v>2</v>
      </c>
      <c r="E372" t="s">
        <v>42</v>
      </c>
      <c r="F372" t="s">
        <v>13</v>
      </c>
      <c r="G372">
        <v>0.74195445445445396</v>
      </c>
      <c r="H372">
        <v>0</v>
      </c>
      <c r="I372" t="s">
        <v>14</v>
      </c>
      <c r="J372">
        <v>0.39177918434143</v>
      </c>
    </row>
    <row r="373" spans="1:10" x14ac:dyDescent="0.2">
      <c r="A373" t="s">
        <v>50</v>
      </c>
      <c r="B373" t="s">
        <v>40</v>
      </c>
      <c r="C373" t="s">
        <v>40</v>
      </c>
      <c r="D373">
        <v>2</v>
      </c>
      <c r="E373" t="s">
        <v>42</v>
      </c>
      <c r="F373" t="s">
        <v>15</v>
      </c>
      <c r="G373">
        <v>0.76317778771183598</v>
      </c>
      <c r="H373">
        <v>4.0469595668455399E-2</v>
      </c>
      <c r="I373" t="s">
        <v>14</v>
      </c>
      <c r="J373">
        <v>8.3019108772277797</v>
      </c>
    </row>
    <row r="374" spans="1:10" x14ac:dyDescent="0.2">
      <c r="A374" t="s">
        <v>50</v>
      </c>
      <c r="B374" t="s">
        <v>40</v>
      </c>
      <c r="C374" t="s">
        <v>40</v>
      </c>
      <c r="D374">
        <v>3</v>
      </c>
      <c r="E374" t="s">
        <v>43</v>
      </c>
      <c r="F374" t="s">
        <v>13</v>
      </c>
      <c r="G374">
        <v>0.75386846126010199</v>
      </c>
      <c r="H374">
        <v>0</v>
      </c>
      <c r="I374" t="s">
        <v>14</v>
      </c>
      <c r="J374">
        <v>0.47295570373535101</v>
      </c>
    </row>
    <row r="375" spans="1:10" x14ac:dyDescent="0.2">
      <c r="A375" t="s">
        <v>50</v>
      </c>
      <c r="B375" t="s">
        <v>40</v>
      </c>
      <c r="C375" t="s">
        <v>40</v>
      </c>
      <c r="D375">
        <v>3</v>
      </c>
      <c r="E375" t="s">
        <v>43</v>
      </c>
      <c r="F375" t="s">
        <v>15</v>
      </c>
      <c r="G375">
        <v>0.75980587501346597</v>
      </c>
      <c r="H375">
        <v>2.72059185164387E-2</v>
      </c>
      <c r="I375" t="s">
        <v>14</v>
      </c>
      <c r="J375">
        <v>10.2170121669769</v>
      </c>
    </row>
    <row r="376" spans="1:10" x14ac:dyDescent="0.2">
      <c r="A376" t="s">
        <v>50</v>
      </c>
      <c r="B376" t="s">
        <v>40</v>
      </c>
      <c r="C376" t="s">
        <v>40</v>
      </c>
      <c r="D376">
        <v>4</v>
      </c>
      <c r="E376" t="s">
        <v>44</v>
      </c>
      <c r="F376" t="s">
        <v>13</v>
      </c>
      <c r="G376">
        <v>0.73453820116054103</v>
      </c>
      <c r="H376">
        <v>0</v>
      </c>
      <c r="I376" t="s">
        <v>14</v>
      </c>
      <c r="J376">
        <v>0.64534306526184004</v>
      </c>
    </row>
    <row r="377" spans="1:10" x14ac:dyDescent="0.2">
      <c r="A377" t="s">
        <v>50</v>
      </c>
      <c r="B377" t="s">
        <v>40</v>
      </c>
      <c r="C377" t="s">
        <v>40</v>
      </c>
      <c r="D377">
        <v>4</v>
      </c>
      <c r="E377" t="s">
        <v>44</v>
      </c>
      <c r="F377" t="s">
        <v>15</v>
      </c>
      <c r="G377">
        <v>0.76690741172452104</v>
      </c>
      <c r="H377">
        <v>2.7242161139649699E-2</v>
      </c>
      <c r="I377" t="s">
        <v>14</v>
      </c>
      <c r="J377">
        <v>12.5131022930145</v>
      </c>
    </row>
    <row r="378" spans="1:10" x14ac:dyDescent="0.2">
      <c r="A378" t="s">
        <v>50</v>
      </c>
      <c r="B378" t="s">
        <v>45</v>
      </c>
      <c r="C378" t="s">
        <v>45</v>
      </c>
      <c r="D378">
        <v>1</v>
      </c>
      <c r="E378" t="s">
        <v>41</v>
      </c>
      <c r="F378" t="s">
        <v>13</v>
      </c>
      <c r="G378">
        <v>0.73658026755852801</v>
      </c>
      <c r="H378">
        <v>0</v>
      </c>
      <c r="I378" t="s">
        <v>14</v>
      </c>
      <c r="J378">
        <v>1.4599418640136701</v>
      </c>
    </row>
    <row r="379" spans="1:10" x14ac:dyDescent="0.2">
      <c r="A379" t="s">
        <v>50</v>
      </c>
      <c r="B379" t="s">
        <v>45</v>
      </c>
      <c r="C379" t="s">
        <v>45</v>
      </c>
      <c r="D379">
        <v>1</v>
      </c>
      <c r="E379" t="s">
        <v>41</v>
      </c>
      <c r="F379" t="s">
        <v>15</v>
      </c>
      <c r="G379">
        <v>0.769031644647999</v>
      </c>
      <c r="H379">
        <v>3.34027258296552E-2</v>
      </c>
      <c r="I379" t="s">
        <v>14</v>
      </c>
      <c r="J379">
        <v>29.053304195403999</v>
      </c>
    </row>
    <row r="380" spans="1:10" x14ac:dyDescent="0.2">
      <c r="A380" t="s">
        <v>50</v>
      </c>
      <c r="B380" t="s">
        <v>45</v>
      </c>
      <c r="C380" t="s">
        <v>45</v>
      </c>
      <c r="D380">
        <v>2</v>
      </c>
      <c r="E380" t="s">
        <v>42</v>
      </c>
      <c r="F380" t="s">
        <v>13</v>
      </c>
      <c r="G380">
        <v>0.73104768413962495</v>
      </c>
      <c r="H380">
        <v>0</v>
      </c>
      <c r="I380" t="s">
        <v>14</v>
      </c>
      <c r="J380">
        <v>2.0539069175720202</v>
      </c>
    </row>
    <row r="381" spans="1:10" x14ac:dyDescent="0.2">
      <c r="A381" t="s">
        <v>50</v>
      </c>
      <c r="B381" t="s">
        <v>45</v>
      </c>
      <c r="C381" t="s">
        <v>45</v>
      </c>
      <c r="D381">
        <v>2</v>
      </c>
      <c r="E381" t="s">
        <v>42</v>
      </c>
      <c r="F381" t="s">
        <v>15</v>
      </c>
      <c r="G381">
        <v>0.76608636720213397</v>
      </c>
      <c r="H381">
        <v>3.4920743367868802E-2</v>
      </c>
      <c r="I381" t="s">
        <v>14</v>
      </c>
      <c r="J381">
        <v>39.580062866210902</v>
      </c>
    </row>
    <row r="382" spans="1:10" x14ac:dyDescent="0.2">
      <c r="A382" t="s">
        <v>50</v>
      </c>
      <c r="B382" t="s">
        <v>45</v>
      </c>
      <c r="C382" t="s">
        <v>45</v>
      </c>
      <c r="D382">
        <v>3</v>
      </c>
      <c r="E382" t="s">
        <v>43</v>
      </c>
      <c r="F382" t="s">
        <v>13</v>
      </c>
      <c r="G382">
        <v>0.73750000000000004</v>
      </c>
      <c r="H382">
        <v>0</v>
      </c>
      <c r="I382" t="s">
        <v>14</v>
      </c>
      <c r="J382">
        <v>2.7046761512756299</v>
      </c>
    </row>
    <row r="383" spans="1:10" x14ac:dyDescent="0.2">
      <c r="A383" t="s">
        <v>50</v>
      </c>
      <c r="B383" t="s">
        <v>45</v>
      </c>
      <c r="C383" t="s">
        <v>45</v>
      </c>
      <c r="D383">
        <v>3</v>
      </c>
      <c r="E383" t="s">
        <v>43</v>
      </c>
      <c r="F383" t="s">
        <v>15</v>
      </c>
      <c r="G383">
        <v>0.758858126348259</v>
      </c>
      <c r="H383">
        <v>3.3487821575507899E-2</v>
      </c>
      <c r="I383" t="s">
        <v>14</v>
      </c>
      <c r="J383">
        <v>50.4809119701385</v>
      </c>
    </row>
    <row r="384" spans="1:10" x14ac:dyDescent="0.2">
      <c r="A384" t="s">
        <v>50</v>
      </c>
      <c r="B384" t="s">
        <v>45</v>
      </c>
      <c r="C384" t="s">
        <v>45</v>
      </c>
      <c r="D384">
        <v>4</v>
      </c>
      <c r="E384" t="s">
        <v>44</v>
      </c>
      <c r="F384" t="s">
        <v>13</v>
      </c>
      <c r="G384">
        <v>0.73807864903164799</v>
      </c>
      <c r="H384">
        <v>0</v>
      </c>
      <c r="I384" t="s">
        <v>14</v>
      </c>
      <c r="J384">
        <v>3.24545001983642</v>
      </c>
    </row>
    <row r="385" spans="1:10" x14ac:dyDescent="0.2">
      <c r="A385" t="s">
        <v>50</v>
      </c>
      <c r="B385" t="s">
        <v>45</v>
      </c>
      <c r="C385" t="s">
        <v>45</v>
      </c>
      <c r="D385">
        <v>4</v>
      </c>
      <c r="E385" t="s">
        <v>44</v>
      </c>
      <c r="F385" t="s">
        <v>15</v>
      </c>
      <c r="G385">
        <v>0.76407800986956798</v>
      </c>
      <c r="H385">
        <v>2.9642558828760299E-2</v>
      </c>
      <c r="I385" t="s">
        <v>14</v>
      </c>
      <c r="J385">
        <v>65.056900262832599</v>
      </c>
    </row>
    <row r="386" spans="1:10" x14ac:dyDescent="0.2">
      <c r="A386" t="s">
        <v>51</v>
      </c>
      <c r="B386" t="s">
        <v>11</v>
      </c>
      <c r="C386" t="s">
        <v>11</v>
      </c>
      <c r="D386">
        <v>1</v>
      </c>
      <c r="E386" t="s">
        <v>12</v>
      </c>
      <c r="F386" t="s">
        <v>13</v>
      </c>
      <c r="G386">
        <v>0.54645833333333305</v>
      </c>
      <c r="H386">
        <v>0</v>
      </c>
      <c r="I386" t="s">
        <v>14</v>
      </c>
      <c r="J386">
        <v>8.1060171127319294E-2</v>
      </c>
    </row>
    <row r="387" spans="1:10" x14ac:dyDescent="0.2">
      <c r="A387" t="s">
        <v>51</v>
      </c>
      <c r="B387" t="s">
        <v>11</v>
      </c>
      <c r="C387" t="s">
        <v>11</v>
      </c>
      <c r="D387">
        <v>1</v>
      </c>
      <c r="E387" t="s">
        <v>12</v>
      </c>
      <c r="F387" t="s">
        <v>15</v>
      </c>
      <c r="G387">
        <v>0.52944848279650303</v>
      </c>
      <c r="H387">
        <v>4.9086584980585303E-2</v>
      </c>
      <c r="I387" t="s">
        <v>14</v>
      </c>
      <c r="J387">
        <v>1.4864320755004801</v>
      </c>
    </row>
    <row r="388" spans="1:10" x14ac:dyDescent="0.2">
      <c r="A388" t="s">
        <v>51</v>
      </c>
      <c r="B388" t="s">
        <v>11</v>
      </c>
      <c r="C388" t="s">
        <v>11</v>
      </c>
      <c r="D388">
        <v>2</v>
      </c>
      <c r="E388" t="s">
        <v>16</v>
      </c>
      <c r="F388" t="s">
        <v>13</v>
      </c>
      <c r="G388">
        <v>0.56229685065891899</v>
      </c>
      <c r="H388">
        <v>0</v>
      </c>
      <c r="I388" t="s">
        <v>14</v>
      </c>
      <c r="J388">
        <v>0.16223788261413499</v>
      </c>
    </row>
    <row r="389" spans="1:10" x14ac:dyDescent="0.2">
      <c r="A389" t="s">
        <v>51</v>
      </c>
      <c r="B389" t="s">
        <v>11</v>
      </c>
      <c r="C389" t="s">
        <v>11</v>
      </c>
      <c r="D389">
        <v>2</v>
      </c>
      <c r="E389" t="s">
        <v>16</v>
      </c>
      <c r="F389" t="s">
        <v>15</v>
      </c>
      <c r="G389">
        <v>0.53185905791920096</v>
      </c>
      <c r="H389">
        <v>4.5686273480560202E-2</v>
      </c>
      <c r="I389" t="s">
        <v>14</v>
      </c>
      <c r="J389">
        <v>2.8911323547363201</v>
      </c>
    </row>
    <row r="390" spans="1:10" x14ac:dyDescent="0.2">
      <c r="A390" t="s">
        <v>51</v>
      </c>
      <c r="B390" t="s">
        <v>11</v>
      </c>
      <c r="C390" t="s">
        <v>11</v>
      </c>
      <c r="D390">
        <v>3</v>
      </c>
      <c r="E390" t="s">
        <v>17</v>
      </c>
      <c r="F390" t="s">
        <v>13</v>
      </c>
      <c r="G390">
        <v>0.54051306090779705</v>
      </c>
      <c r="H390">
        <v>0</v>
      </c>
      <c r="I390" t="s">
        <v>14</v>
      </c>
      <c r="J390">
        <v>0.18971490859985299</v>
      </c>
    </row>
    <row r="391" spans="1:10" x14ac:dyDescent="0.2">
      <c r="A391" t="s">
        <v>51</v>
      </c>
      <c r="B391" t="s">
        <v>11</v>
      </c>
      <c r="C391" t="s">
        <v>11</v>
      </c>
      <c r="D391">
        <v>3</v>
      </c>
      <c r="E391" t="s">
        <v>17</v>
      </c>
      <c r="F391" t="s">
        <v>15</v>
      </c>
      <c r="G391">
        <v>0.52033217192120695</v>
      </c>
      <c r="H391">
        <v>6.7551258722757496E-2</v>
      </c>
      <c r="I391" t="s">
        <v>14</v>
      </c>
      <c r="J391">
        <v>4.0464820861816397</v>
      </c>
    </row>
    <row r="392" spans="1:10" x14ac:dyDescent="0.2">
      <c r="A392" t="s">
        <v>51</v>
      </c>
      <c r="B392" t="s">
        <v>11</v>
      </c>
      <c r="C392" t="s">
        <v>11</v>
      </c>
      <c r="D392">
        <v>4</v>
      </c>
      <c r="E392" t="s">
        <v>18</v>
      </c>
      <c r="F392" t="s">
        <v>13</v>
      </c>
      <c r="G392">
        <v>0.73658026755852801</v>
      </c>
      <c r="H392">
        <v>0</v>
      </c>
      <c r="I392" t="s">
        <v>14</v>
      </c>
      <c r="J392">
        <v>0.10400199890136699</v>
      </c>
    </row>
    <row r="393" spans="1:10" x14ac:dyDescent="0.2">
      <c r="A393" t="s">
        <v>51</v>
      </c>
      <c r="B393" t="s">
        <v>11</v>
      </c>
      <c r="C393" t="s">
        <v>11</v>
      </c>
      <c r="D393">
        <v>4</v>
      </c>
      <c r="E393" t="s">
        <v>18</v>
      </c>
      <c r="F393" t="s">
        <v>15</v>
      </c>
      <c r="G393">
        <v>0.71493793196286604</v>
      </c>
      <c r="H393">
        <v>5.6243694210666502E-2</v>
      </c>
      <c r="I393" t="s">
        <v>14</v>
      </c>
      <c r="J393">
        <v>1.4950928688049301</v>
      </c>
    </row>
    <row r="394" spans="1:10" x14ac:dyDescent="0.2">
      <c r="A394" t="s">
        <v>51</v>
      </c>
      <c r="B394" t="s">
        <v>11</v>
      </c>
      <c r="C394" t="s">
        <v>11</v>
      </c>
      <c r="D394">
        <v>5</v>
      </c>
      <c r="E394" t="s">
        <v>19</v>
      </c>
      <c r="F394" t="s">
        <v>13</v>
      </c>
      <c r="G394">
        <v>0.76249999999999996</v>
      </c>
      <c r="H394">
        <v>0</v>
      </c>
      <c r="I394" t="s">
        <v>14</v>
      </c>
      <c r="J394">
        <v>0.19029617309570299</v>
      </c>
    </row>
    <row r="395" spans="1:10" x14ac:dyDescent="0.2">
      <c r="A395" t="s">
        <v>51</v>
      </c>
      <c r="B395" t="s">
        <v>11</v>
      </c>
      <c r="C395" t="s">
        <v>11</v>
      </c>
      <c r="D395">
        <v>5</v>
      </c>
      <c r="E395" t="s">
        <v>19</v>
      </c>
      <c r="F395" t="s">
        <v>15</v>
      </c>
      <c r="G395">
        <v>0.73667690553419196</v>
      </c>
      <c r="H395">
        <v>3.3875716798716503E-2</v>
      </c>
      <c r="I395" t="s">
        <v>14</v>
      </c>
      <c r="J395">
        <v>2.8033871650695801</v>
      </c>
    </row>
    <row r="396" spans="1:10" x14ac:dyDescent="0.2">
      <c r="A396" t="s">
        <v>51</v>
      </c>
      <c r="B396" t="s">
        <v>11</v>
      </c>
      <c r="C396" t="s">
        <v>11</v>
      </c>
      <c r="D396">
        <v>6</v>
      </c>
      <c r="E396" t="s">
        <v>20</v>
      </c>
      <c r="F396" t="s">
        <v>13</v>
      </c>
      <c r="G396">
        <v>0.73057703008863595</v>
      </c>
      <c r="H396">
        <v>0</v>
      </c>
      <c r="I396" t="s">
        <v>14</v>
      </c>
      <c r="J396">
        <v>0.26782989501953097</v>
      </c>
    </row>
    <row r="397" spans="1:10" x14ac:dyDescent="0.2">
      <c r="A397" t="s">
        <v>51</v>
      </c>
      <c r="B397" t="s">
        <v>11</v>
      </c>
      <c r="C397" t="s">
        <v>11</v>
      </c>
      <c r="D397">
        <v>6</v>
      </c>
      <c r="E397" t="s">
        <v>20</v>
      </c>
      <c r="F397" t="s">
        <v>15</v>
      </c>
      <c r="G397">
        <v>0.73262278457644203</v>
      </c>
      <c r="H397">
        <v>3.47797931621096E-2</v>
      </c>
      <c r="I397" t="s">
        <v>14</v>
      </c>
      <c r="J397">
        <v>4.0573101043701101</v>
      </c>
    </row>
    <row r="398" spans="1:10" x14ac:dyDescent="0.2">
      <c r="A398" t="s">
        <v>51</v>
      </c>
      <c r="B398" t="s">
        <v>11</v>
      </c>
      <c r="C398" t="s">
        <v>11</v>
      </c>
      <c r="D398">
        <v>7</v>
      </c>
      <c r="E398" t="s">
        <v>21</v>
      </c>
      <c r="F398" t="s">
        <v>13</v>
      </c>
      <c r="G398">
        <v>0.74420443349753695</v>
      </c>
      <c r="H398">
        <v>0</v>
      </c>
      <c r="I398" t="s">
        <v>14</v>
      </c>
      <c r="J398">
        <v>4.39679622650146E-2</v>
      </c>
    </row>
    <row r="399" spans="1:10" x14ac:dyDescent="0.2">
      <c r="A399" t="s">
        <v>51</v>
      </c>
      <c r="B399" t="s">
        <v>11</v>
      </c>
      <c r="C399" t="s">
        <v>11</v>
      </c>
      <c r="D399">
        <v>7</v>
      </c>
      <c r="E399" t="s">
        <v>21</v>
      </c>
      <c r="F399" t="s">
        <v>15</v>
      </c>
      <c r="G399">
        <v>0.71140759732139103</v>
      </c>
      <c r="H399">
        <v>2.3514187956500399E-2</v>
      </c>
      <c r="I399" t="s">
        <v>14</v>
      </c>
      <c r="J399">
        <v>0.47619032859802202</v>
      </c>
    </row>
    <row r="400" spans="1:10" x14ac:dyDescent="0.2">
      <c r="A400" t="s">
        <v>51</v>
      </c>
      <c r="B400" t="s">
        <v>11</v>
      </c>
      <c r="C400" t="s">
        <v>11</v>
      </c>
      <c r="D400">
        <v>8</v>
      </c>
      <c r="E400" t="s">
        <v>22</v>
      </c>
      <c r="F400" t="s">
        <v>13</v>
      </c>
      <c r="G400">
        <v>0.72499999999999998</v>
      </c>
      <c r="H400">
        <v>0</v>
      </c>
      <c r="I400" t="s">
        <v>14</v>
      </c>
      <c r="J400">
        <v>4.6605110168456997E-2</v>
      </c>
    </row>
    <row r="401" spans="1:10" x14ac:dyDescent="0.2">
      <c r="A401" t="s">
        <v>51</v>
      </c>
      <c r="B401" t="s">
        <v>11</v>
      </c>
      <c r="C401" t="s">
        <v>11</v>
      </c>
      <c r="D401">
        <v>8</v>
      </c>
      <c r="E401" t="s">
        <v>22</v>
      </c>
      <c r="F401" t="s">
        <v>15</v>
      </c>
      <c r="G401">
        <v>0.71260316764329101</v>
      </c>
      <c r="H401">
        <v>2.71440074868248E-2</v>
      </c>
      <c r="I401" t="s">
        <v>14</v>
      </c>
      <c r="J401">
        <v>0.76919221878051702</v>
      </c>
    </row>
    <row r="402" spans="1:10" x14ac:dyDescent="0.2">
      <c r="A402" t="s">
        <v>51</v>
      </c>
      <c r="B402" t="s">
        <v>11</v>
      </c>
      <c r="C402" t="s">
        <v>11</v>
      </c>
      <c r="D402">
        <v>9</v>
      </c>
      <c r="E402" t="s">
        <v>23</v>
      </c>
      <c r="F402" t="s">
        <v>13</v>
      </c>
      <c r="G402">
        <v>0.73783143939393903</v>
      </c>
      <c r="H402">
        <v>0</v>
      </c>
      <c r="I402" t="s">
        <v>14</v>
      </c>
      <c r="J402">
        <v>5.9029102325439398E-2</v>
      </c>
    </row>
    <row r="403" spans="1:10" x14ac:dyDescent="0.2">
      <c r="A403" t="s">
        <v>51</v>
      </c>
      <c r="B403" t="s">
        <v>11</v>
      </c>
      <c r="C403" t="s">
        <v>11</v>
      </c>
      <c r="D403">
        <v>9</v>
      </c>
      <c r="E403" t="s">
        <v>23</v>
      </c>
      <c r="F403" t="s">
        <v>15</v>
      </c>
      <c r="G403">
        <v>0.71643654625102204</v>
      </c>
      <c r="H403">
        <v>2.5339032660623501E-2</v>
      </c>
      <c r="I403" t="s">
        <v>14</v>
      </c>
      <c r="J403">
        <v>1.0843210220336901</v>
      </c>
    </row>
    <row r="404" spans="1:10" x14ac:dyDescent="0.2">
      <c r="A404" t="s">
        <v>51</v>
      </c>
      <c r="B404" t="s">
        <v>11</v>
      </c>
      <c r="C404" t="s">
        <v>11</v>
      </c>
      <c r="D404">
        <v>10</v>
      </c>
      <c r="E404" t="s">
        <v>24</v>
      </c>
      <c r="F404" t="s">
        <v>13</v>
      </c>
      <c r="G404">
        <v>0.76166786112438201</v>
      </c>
      <c r="H404">
        <v>0</v>
      </c>
      <c r="I404" t="s">
        <v>14</v>
      </c>
      <c r="J404">
        <v>6.5184209346771196</v>
      </c>
    </row>
    <row r="405" spans="1:10" x14ac:dyDescent="0.2">
      <c r="A405" t="s">
        <v>51</v>
      </c>
      <c r="B405" t="s">
        <v>11</v>
      </c>
      <c r="C405" t="s">
        <v>11</v>
      </c>
      <c r="D405">
        <v>10</v>
      </c>
      <c r="E405" t="s">
        <v>24</v>
      </c>
      <c r="F405" t="s">
        <v>15</v>
      </c>
      <c r="G405">
        <v>0.76970856634165696</v>
      </c>
      <c r="H405">
        <v>4.29499556667274E-2</v>
      </c>
      <c r="I405" t="s">
        <v>14</v>
      </c>
      <c r="J405">
        <v>120.77451181411701</v>
      </c>
    </row>
    <row r="406" spans="1:10" x14ac:dyDescent="0.2">
      <c r="A406" t="s">
        <v>51</v>
      </c>
      <c r="B406" t="s">
        <v>11</v>
      </c>
      <c r="C406" t="s">
        <v>11</v>
      </c>
      <c r="D406">
        <v>11</v>
      </c>
      <c r="E406" t="s">
        <v>25</v>
      </c>
      <c r="F406" t="s">
        <v>13</v>
      </c>
      <c r="G406">
        <v>0.77500000000000002</v>
      </c>
      <c r="H406">
        <v>0</v>
      </c>
      <c r="I406" t="s">
        <v>14</v>
      </c>
      <c r="J406">
        <v>14.3913509845733</v>
      </c>
    </row>
    <row r="407" spans="1:10" x14ac:dyDescent="0.2">
      <c r="A407" t="s">
        <v>51</v>
      </c>
      <c r="B407" t="s">
        <v>11</v>
      </c>
      <c r="C407" t="s">
        <v>11</v>
      </c>
      <c r="D407">
        <v>11</v>
      </c>
      <c r="E407" t="s">
        <v>25</v>
      </c>
      <c r="F407" t="s">
        <v>15</v>
      </c>
      <c r="G407">
        <v>0.76599300842192197</v>
      </c>
      <c r="H407">
        <v>3.0155956318879799E-2</v>
      </c>
      <c r="I407" t="s">
        <v>14</v>
      </c>
      <c r="J407">
        <v>257.69304108619599</v>
      </c>
    </row>
    <row r="408" spans="1:10" x14ac:dyDescent="0.2">
      <c r="A408" t="s">
        <v>51</v>
      </c>
      <c r="B408" t="s">
        <v>11</v>
      </c>
      <c r="C408" t="s">
        <v>11</v>
      </c>
      <c r="D408">
        <v>12</v>
      </c>
      <c r="E408" t="s">
        <v>26</v>
      </c>
      <c r="F408" t="s">
        <v>13</v>
      </c>
      <c r="G408">
        <v>0.76212301587301501</v>
      </c>
      <c r="H408">
        <v>0</v>
      </c>
      <c r="I408" t="s">
        <v>14</v>
      </c>
      <c r="J408">
        <v>19.048495054244899</v>
      </c>
    </row>
    <row r="409" spans="1:10" x14ac:dyDescent="0.2">
      <c r="A409" t="s">
        <v>51</v>
      </c>
      <c r="B409" t="s">
        <v>11</v>
      </c>
      <c r="C409" t="s">
        <v>11</v>
      </c>
      <c r="D409">
        <v>12</v>
      </c>
      <c r="E409" t="s">
        <v>26</v>
      </c>
      <c r="F409" t="s">
        <v>15</v>
      </c>
      <c r="G409">
        <v>0.76359271738385703</v>
      </c>
      <c r="H409">
        <v>4.5872997774083102E-2</v>
      </c>
      <c r="I409" t="s">
        <v>14</v>
      </c>
      <c r="J409">
        <v>365.68959832191399</v>
      </c>
    </row>
    <row r="410" spans="1:10" x14ac:dyDescent="0.2">
      <c r="A410" t="s">
        <v>51</v>
      </c>
      <c r="B410" t="s">
        <v>27</v>
      </c>
      <c r="C410" t="s">
        <v>27</v>
      </c>
      <c r="D410">
        <v>1</v>
      </c>
      <c r="E410" t="s">
        <v>28</v>
      </c>
      <c r="F410" t="s">
        <v>13</v>
      </c>
      <c r="G410">
        <v>0.74456336455190197</v>
      </c>
      <c r="H410">
        <v>0</v>
      </c>
      <c r="I410" t="s">
        <v>14</v>
      </c>
      <c r="J410">
        <v>9.7726106643676702E-2</v>
      </c>
    </row>
    <row r="411" spans="1:10" x14ac:dyDescent="0.2">
      <c r="A411" t="s">
        <v>51</v>
      </c>
      <c r="B411" t="s">
        <v>27</v>
      </c>
      <c r="C411" t="s">
        <v>27</v>
      </c>
      <c r="D411">
        <v>1</v>
      </c>
      <c r="E411" t="s">
        <v>28</v>
      </c>
      <c r="F411" t="s">
        <v>15</v>
      </c>
      <c r="G411">
        <v>0.72005991780096601</v>
      </c>
      <c r="H411">
        <v>3.9199011059878199E-2</v>
      </c>
      <c r="I411" t="s">
        <v>14</v>
      </c>
      <c r="J411">
        <v>1.7618281841278001</v>
      </c>
    </row>
    <row r="412" spans="1:10" x14ac:dyDescent="0.2">
      <c r="A412" t="s">
        <v>51</v>
      </c>
      <c r="B412" t="s">
        <v>27</v>
      </c>
      <c r="C412" t="s">
        <v>27</v>
      </c>
      <c r="D412">
        <v>2</v>
      </c>
      <c r="E412" t="s">
        <v>29</v>
      </c>
      <c r="F412" t="s">
        <v>13</v>
      </c>
      <c r="G412">
        <v>0.76324404761904696</v>
      </c>
      <c r="H412">
        <v>0</v>
      </c>
      <c r="I412" t="s">
        <v>14</v>
      </c>
      <c r="J412">
        <v>0.105831861495971</v>
      </c>
    </row>
    <row r="413" spans="1:10" x14ac:dyDescent="0.2">
      <c r="A413" t="s">
        <v>51</v>
      </c>
      <c r="B413" t="s">
        <v>27</v>
      </c>
      <c r="C413" t="s">
        <v>27</v>
      </c>
      <c r="D413">
        <v>2</v>
      </c>
      <c r="E413" t="s">
        <v>29</v>
      </c>
      <c r="F413" t="s">
        <v>15</v>
      </c>
      <c r="G413">
        <v>0.73663012475276402</v>
      </c>
      <c r="H413">
        <v>3.3361677543321901E-2</v>
      </c>
      <c r="I413" t="s">
        <v>14</v>
      </c>
      <c r="J413">
        <v>1.7417511940002399</v>
      </c>
    </row>
    <row r="414" spans="1:10" x14ac:dyDescent="0.2">
      <c r="A414" t="s">
        <v>51</v>
      </c>
      <c r="B414" t="s">
        <v>27</v>
      </c>
      <c r="C414" t="s">
        <v>27</v>
      </c>
      <c r="D414">
        <v>3</v>
      </c>
      <c r="E414" t="s">
        <v>30</v>
      </c>
      <c r="F414" t="s">
        <v>13</v>
      </c>
      <c r="G414">
        <v>0.73823932092004296</v>
      </c>
      <c r="H414">
        <v>0</v>
      </c>
      <c r="I414" t="s">
        <v>14</v>
      </c>
      <c r="J414">
        <v>9.8229169845580999E-2</v>
      </c>
    </row>
    <row r="415" spans="1:10" x14ac:dyDescent="0.2">
      <c r="A415" t="s">
        <v>51</v>
      </c>
      <c r="B415" t="s">
        <v>27</v>
      </c>
      <c r="C415" t="s">
        <v>27</v>
      </c>
      <c r="D415">
        <v>3</v>
      </c>
      <c r="E415" t="s">
        <v>30</v>
      </c>
      <c r="F415" t="s">
        <v>15</v>
      </c>
      <c r="G415">
        <v>0.73511650341492296</v>
      </c>
      <c r="H415">
        <v>4.6794988452001599E-2</v>
      </c>
      <c r="I415" t="s">
        <v>14</v>
      </c>
      <c r="J415">
        <v>1.73481392860412</v>
      </c>
    </row>
    <row r="416" spans="1:10" x14ac:dyDescent="0.2">
      <c r="A416" t="s">
        <v>51</v>
      </c>
      <c r="B416" t="s">
        <v>27</v>
      </c>
      <c r="C416" t="s">
        <v>27</v>
      </c>
      <c r="D416">
        <v>4</v>
      </c>
      <c r="E416" t="s">
        <v>31</v>
      </c>
      <c r="F416" t="s">
        <v>13</v>
      </c>
      <c r="G416">
        <v>0.73172257825016596</v>
      </c>
      <c r="H416">
        <v>0</v>
      </c>
      <c r="I416" t="s">
        <v>14</v>
      </c>
      <c r="J416">
        <v>0.11432981491088801</v>
      </c>
    </row>
    <row r="417" spans="1:10" x14ac:dyDescent="0.2">
      <c r="A417" t="s">
        <v>51</v>
      </c>
      <c r="B417" t="s">
        <v>27</v>
      </c>
      <c r="C417" t="s">
        <v>27</v>
      </c>
      <c r="D417">
        <v>4</v>
      </c>
      <c r="E417" t="s">
        <v>31</v>
      </c>
      <c r="F417" t="s">
        <v>15</v>
      </c>
      <c r="G417">
        <v>0.719339878454333</v>
      </c>
      <c r="H417">
        <v>3.3876748438486003E-2</v>
      </c>
      <c r="I417" t="s">
        <v>14</v>
      </c>
      <c r="J417">
        <v>1.81929111480712</v>
      </c>
    </row>
    <row r="418" spans="1:10" x14ac:dyDescent="0.2">
      <c r="A418" t="s">
        <v>51</v>
      </c>
      <c r="B418" t="s">
        <v>27</v>
      </c>
      <c r="C418" t="s">
        <v>27</v>
      </c>
      <c r="D418">
        <v>5</v>
      </c>
      <c r="E418" t="s">
        <v>32</v>
      </c>
      <c r="F418" t="s">
        <v>13</v>
      </c>
      <c r="G418">
        <v>0.78816666666666602</v>
      </c>
      <c r="H418">
        <v>0</v>
      </c>
      <c r="I418" t="s">
        <v>14</v>
      </c>
      <c r="J418">
        <v>0.100737810134887</v>
      </c>
    </row>
    <row r="419" spans="1:10" x14ac:dyDescent="0.2">
      <c r="A419" t="s">
        <v>51</v>
      </c>
      <c r="B419" t="s">
        <v>27</v>
      </c>
      <c r="C419" t="s">
        <v>27</v>
      </c>
      <c r="D419">
        <v>5</v>
      </c>
      <c r="E419" t="s">
        <v>32</v>
      </c>
      <c r="F419" t="s">
        <v>15</v>
      </c>
      <c r="G419">
        <v>0.75666819747266401</v>
      </c>
      <c r="H419">
        <v>2.17050186503269E-2</v>
      </c>
      <c r="I419" t="s">
        <v>14</v>
      </c>
      <c r="J419">
        <v>1.91003489494323</v>
      </c>
    </row>
    <row r="420" spans="1:10" x14ac:dyDescent="0.2">
      <c r="A420" t="s">
        <v>51</v>
      </c>
      <c r="B420" t="s">
        <v>27</v>
      </c>
      <c r="C420" t="s">
        <v>27</v>
      </c>
      <c r="D420">
        <v>6</v>
      </c>
      <c r="E420" t="s">
        <v>33</v>
      </c>
      <c r="F420" t="s">
        <v>13</v>
      </c>
      <c r="G420">
        <v>0.77570588235294102</v>
      </c>
      <c r="H420">
        <v>0</v>
      </c>
      <c r="I420" t="s">
        <v>14</v>
      </c>
      <c r="J420">
        <v>0.118785142898559</v>
      </c>
    </row>
    <row r="421" spans="1:10" x14ac:dyDescent="0.2">
      <c r="A421" t="s">
        <v>51</v>
      </c>
      <c r="B421" t="s">
        <v>27</v>
      </c>
      <c r="C421" t="s">
        <v>27</v>
      </c>
      <c r="D421">
        <v>6</v>
      </c>
      <c r="E421" t="s">
        <v>33</v>
      </c>
      <c r="F421" t="s">
        <v>15</v>
      </c>
      <c r="G421">
        <v>0.74285015049986303</v>
      </c>
      <c r="H421">
        <v>4.3427785748401899E-2</v>
      </c>
      <c r="I421" t="s">
        <v>14</v>
      </c>
      <c r="J421">
        <v>1.8991107940673799</v>
      </c>
    </row>
    <row r="422" spans="1:10" x14ac:dyDescent="0.2">
      <c r="A422" t="s">
        <v>51</v>
      </c>
      <c r="B422" t="s">
        <v>27</v>
      </c>
      <c r="C422" t="s">
        <v>27</v>
      </c>
      <c r="D422">
        <v>7</v>
      </c>
      <c r="E422" t="s">
        <v>34</v>
      </c>
      <c r="F422" t="s">
        <v>13</v>
      </c>
      <c r="G422">
        <v>0.78190922077413805</v>
      </c>
      <c r="H422">
        <v>0</v>
      </c>
      <c r="I422" t="s">
        <v>14</v>
      </c>
      <c r="J422">
        <v>0.107247114181518</v>
      </c>
    </row>
    <row r="423" spans="1:10" x14ac:dyDescent="0.2">
      <c r="A423" t="s">
        <v>51</v>
      </c>
      <c r="B423" t="s">
        <v>27</v>
      </c>
      <c r="C423" t="s">
        <v>27</v>
      </c>
      <c r="D423">
        <v>7</v>
      </c>
      <c r="E423" t="s">
        <v>34</v>
      </c>
      <c r="F423" t="s">
        <v>15</v>
      </c>
      <c r="G423">
        <v>0.74164202447463701</v>
      </c>
      <c r="H423">
        <v>3.24024082196398E-2</v>
      </c>
      <c r="I423" t="s">
        <v>14</v>
      </c>
      <c r="J423">
        <v>1.87561702728271</v>
      </c>
    </row>
    <row r="424" spans="1:10" x14ac:dyDescent="0.2">
      <c r="A424" t="s">
        <v>51</v>
      </c>
      <c r="B424" t="s">
        <v>27</v>
      </c>
      <c r="C424" t="s">
        <v>27</v>
      </c>
      <c r="D424">
        <v>8</v>
      </c>
      <c r="E424" t="s">
        <v>35</v>
      </c>
      <c r="F424" t="s">
        <v>13</v>
      </c>
      <c r="G424">
        <v>0.76324404761904696</v>
      </c>
      <c r="H424">
        <v>0</v>
      </c>
      <c r="I424" t="s">
        <v>14</v>
      </c>
      <c r="J424">
        <v>0.114342212677001</v>
      </c>
    </row>
    <row r="425" spans="1:10" x14ac:dyDescent="0.2">
      <c r="A425" t="s">
        <v>51</v>
      </c>
      <c r="B425" t="s">
        <v>27</v>
      </c>
      <c r="C425" t="s">
        <v>27</v>
      </c>
      <c r="D425">
        <v>8</v>
      </c>
      <c r="E425" t="s">
        <v>35</v>
      </c>
      <c r="F425" t="s">
        <v>15</v>
      </c>
      <c r="G425">
        <v>0.73426979904800804</v>
      </c>
      <c r="H425">
        <v>3.8335203676577799E-2</v>
      </c>
      <c r="I425" t="s">
        <v>14</v>
      </c>
      <c r="J425">
        <v>1.9172658920287999</v>
      </c>
    </row>
    <row r="426" spans="1:10" x14ac:dyDescent="0.2">
      <c r="A426" t="s">
        <v>51</v>
      </c>
      <c r="B426" t="s">
        <v>27</v>
      </c>
      <c r="C426" t="s">
        <v>27</v>
      </c>
      <c r="D426">
        <v>9</v>
      </c>
      <c r="E426" t="s">
        <v>36</v>
      </c>
      <c r="F426" t="s">
        <v>13</v>
      </c>
      <c r="G426">
        <v>0.77570588235294102</v>
      </c>
      <c r="H426">
        <v>0</v>
      </c>
      <c r="I426" t="s">
        <v>14</v>
      </c>
      <c r="J426">
        <v>0.11176872253417899</v>
      </c>
    </row>
    <row r="427" spans="1:10" x14ac:dyDescent="0.2">
      <c r="A427" t="s">
        <v>51</v>
      </c>
      <c r="B427" t="s">
        <v>27</v>
      </c>
      <c r="C427" t="s">
        <v>27</v>
      </c>
      <c r="D427">
        <v>9</v>
      </c>
      <c r="E427" t="s">
        <v>36</v>
      </c>
      <c r="F427" t="s">
        <v>15</v>
      </c>
      <c r="G427">
        <v>0.74045680987078899</v>
      </c>
      <c r="H427">
        <v>3.7377514552142999E-2</v>
      </c>
      <c r="I427" t="s">
        <v>14</v>
      </c>
      <c r="J427">
        <v>1.89076471328735</v>
      </c>
    </row>
    <row r="428" spans="1:10" x14ac:dyDescent="0.2">
      <c r="A428" t="s">
        <v>51</v>
      </c>
      <c r="B428" t="s">
        <v>27</v>
      </c>
      <c r="C428" t="s">
        <v>27</v>
      </c>
      <c r="D428">
        <v>10</v>
      </c>
      <c r="E428" t="s">
        <v>37</v>
      </c>
      <c r="F428" t="s">
        <v>13</v>
      </c>
      <c r="G428">
        <v>0.769484011912692</v>
      </c>
      <c r="H428">
        <v>0</v>
      </c>
      <c r="I428" t="s">
        <v>14</v>
      </c>
      <c r="J428">
        <v>0.10382413864135701</v>
      </c>
    </row>
    <row r="429" spans="1:10" x14ac:dyDescent="0.2">
      <c r="A429" t="s">
        <v>51</v>
      </c>
      <c r="B429" t="s">
        <v>27</v>
      </c>
      <c r="C429" t="s">
        <v>27</v>
      </c>
      <c r="D429">
        <v>10</v>
      </c>
      <c r="E429" t="s">
        <v>37</v>
      </c>
      <c r="F429" t="s">
        <v>15</v>
      </c>
      <c r="G429">
        <v>0.74902171751818103</v>
      </c>
      <c r="H429">
        <v>2.9126206230212701E-2</v>
      </c>
      <c r="I429" t="s">
        <v>14</v>
      </c>
      <c r="J429">
        <v>1.87324094772338</v>
      </c>
    </row>
    <row r="430" spans="1:10" x14ac:dyDescent="0.2">
      <c r="A430" t="s">
        <v>51</v>
      </c>
      <c r="B430" t="s">
        <v>27</v>
      </c>
      <c r="C430" t="s">
        <v>27</v>
      </c>
      <c r="D430">
        <v>11</v>
      </c>
      <c r="E430" t="s">
        <v>38</v>
      </c>
      <c r="F430" t="s">
        <v>13</v>
      </c>
      <c r="G430">
        <v>0.74456336455190197</v>
      </c>
      <c r="H430">
        <v>0</v>
      </c>
      <c r="I430" t="s">
        <v>14</v>
      </c>
      <c r="J430">
        <v>0.110067844390869</v>
      </c>
    </row>
    <row r="431" spans="1:10" x14ac:dyDescent="0.2">
      <c r="A431" t="s">
        <v>51</v>
      </c>
      <c r="B431" t="s">
        <v>27</v>
      </c>
      <c r="C431" t="s">
        <v>27</v>
      </c>
      <c r="D431">
        <v>11</v>
      </c>
      <c r="E431" t="s">
        <v>38</v>
      </c>
      <c r="F431" t="s">
        <v>15</v>
      </c>
      <c r="G431">
        <v>0.75150352118022501</v>
      </c>
      <c r="H431">
        <v>3.66019098060099E-2</v>
      </c>
      <c r="I431" t="s">
        <v>14</v>
      </c>
      <c r="J431">
        <v>1.91639971733093</v>
      </c>
    </row>
    <row r="432" spans="1:10" x14ac:dyDescent="0.2">
      <c r="A432" t="s">
        <v>51</v>
      </c>
      <c r="B432" t="s">
        <v>27</v>
      </c>
      <c r="C432" t="s">
        <v>27</v>
      </c>
      <c r="D432">
        <v>12</v>
      </c>
      <c r="E432" t="s">
        <v>39</v>
      </c>
      <c r="F432" t="s">
        <v>13</v>
      </c>
      <c r="G432">
        <v>0.78190922077413805</v>
      </c>
      <c r="H432">
        <v>0</v>
      </c>
      <c r="I432" t="s">
        <v>14</v>
      </c>
      <c r="J432">
        <v>0.107958078384399</v>
      </c>
    </row>
    <row r="433" spans="1:10" x14ac:dyDescent="0.2">
      <c r="A433" t="s">
        <v>51</v>
      </c>
      <c r="B433" t="s">
        <v>27</v>
      </c>
      <c r="C433" t="s">
        <v>27</v>
      </c>
      <c r="D433">
        <v>12</v>
      </c>
      <c r="E433" t="s">
        <v>39</v>
      </c>
      <c r="F433" t="s">
        <v>15</v>
      </c>
      <c r="G433">
        <v>0.76399744874714604</v>
      </c>
      <c r="H433">
        <v>4.4116143673811697E-2</v>
      </c>
      <c r="I433" t="s">
        <v>14</v>
      </c>
      <c r="J433">
        <v>1.8800020217895499</v>
      </c>
    </row>
    <row r="434" spans="1:10" x14ac:dyDescent="0.2">
      <c r="A434" t="s">
        <v>51</v>
      </c>
      <c r="B434" t="s">
        <v>40</v>
      </c>
      <c r="C434" t="s">
        <v>40</v>
      </c>
      <c r="D434">
        <v>1</v>
      </c>
      <c r="E434" t="s">
        <v>41</v>
      </c>
      <c r="F434" t="s">
        <v>13</v>
      </c>
      <c r="G434">
        <v>0.777672084906043</v>
      </c>
      <c r="H434">
        <v>0</v>
      </c>
      <c r="I434" t="s">
        <v>14</v>
      </c>
      <c r="J434">
        <v>0.96350121498107899</v>
      </c>
    </row>
    <row r="435" spans="1:10" x14ac:dyDescent="0.2">
      <c r="A435" t="s">
        <v>51</v>
      </c>
      <c r="B435" t="s">
        <v>40</v>
      </c>
      <c r="C435" t="s">
        <v>40</v>
      </c>
      <c r="D435">
        <v>1</v>
      </c>
      <c r="E435" t="s">
        <v>41</v>
      </c>
      <c r="F435" t="s">
        <v>15</v>
      </c>
      <c r="G435">
        <v>0.769094352214439</v>
      </c>
      <c r="H435">
        <v>4.4305992880422002E-2</v>
      </c>
      <c r="I435" t="s">
        <v>14</v>
      </c>
      <c r="J435">
        <v>20.7664041519165</v>
      </c>
    </row>
    <row r="436" spans="1:10" x14ac:dyDescent="0.2">
      <c r="A436" t="s">
        <v>51</v>
      </c>
      <c r="B436" t="s">
        <v>40</v>
      </c>
      <c r="C436" t="s">
        <v>40</v>
      </c>
      <c r="D436">
        <v>2</v>
      </c>
      <c r="E436" t="s">
        <v>42</v>
      </c>
      <c r="F436" t="s">
        <v>13</v>
      </c>
      <c r="G436">
        <v>0.73050115207373201</v>
      </c>
      <c r="H436">
        <v>0</v>
      </c>
      <c r="I436" t="s">
        <v>14</v>
      </c>
      <c r="J436">
        <v>1.2203161716461099</v>
      </c>
    </row>
    <row r="437" spans="1:10" x14ac:dyDescent="0.2">
      <c r="A437" t="s">
        <v>51</v>
      </c>
      <c r="B437" t="s">
        <v>40</v>
      </c>
      <c r="C437" t="s">
        <v>40</v>
      </c>
      <c r="D437">
        <v>2</v>
      </c>
      <c r="E437" t="s">
        <v>42</v>
      </c>
      <c r="F437" t="s">
        <v>15</v>
      </c>
      <c r="G437">
        <v>0.74352478059661298</v>
      </c>
      <c r="H437">
        <v>3.5787550679175502E-2</v>
      </c>
      <c r="I437" t="s">
        <v>14</v>
      </c>
      <c r="J437">
        <v>28.3431429862976</v>
      </c>
    </row>
    <row r="438" spans="1:10" x14ac:dyDescent="0.2">
      <c r="A438" t="s">
        <v>51</v>
      </c>
      <c r="B438" t="s">
        <v>40</v>
      </c>
      <c r="C438" t="s">
        <v>40</v>
      </c>
      <c r="D438">
        <v>3</v>
      </c>
      <c r="E438" t="s">
        <v>43</v>
      </c>
      <c r="F438" t="s">
        <v>13</v>
      </c>
      <c r="G438">
        <v>0.71908603848259001</v>
      </c>
      <c r="H438">
        <v>0</v>
      </c>
      <c r="I438" t="s">
        <v>14</v>
      </c>
      <c r="J438">
        <v>1.7195341587066599</v>
      </c>
    </row>
    <row r="439" spans="1:10" x14ac:dyDescent="0.2">
      <c r="A439" t="s">
        <v>51</v>
      </c>
      <c r="B439" t="s">
        <v>40</v>
      </c>
      <c r="C439" t="s">
        <v>40</v>
      </c>
      <c r="D439">
        <v>3</v>
      </c>
      <c r="E439" t="s">
        <v>43</v>
      </c>
      <c r="F439" t="s">
        <v>15</v>
      </c>
      <c r="G439">
        <v>0.73251534907950799</v>
      </c>
      <c r="H439">
        <v>4.22182949073917E-2</v>
      </c>
      <c r="I439" t="s">
        <v>14</v>
      </c>
      <c r="J439">
        <v>34.108970880508402</v>
      </c>
    </row>
    <row r="440" spans="1:10" x14ac:dyDescent="0.2">
      <c r="A440" t="s">
        <v>51</v>
      </c>
      <c r="B440" t="s">
        <v>40</v>
      </c>
      <c r="C440" t="s">
        <v>40</v>
      </c>
      <c r="D440">
        <v>4</v>
      </c>
      <c r="E440" t="s">
        <v>44</v>
      </c>
      <c r="F440" t="s">
        <v>13</v>
      </c>
      <c r="G440">
        <v>0.72310296371997895</v>
      </c>
      <c r="H440">
        <v>0</v>
      </c>
      <c r="I440" t="s">
        <v>14</v>
      </c>
      <c r="J440">
        <v>2.1164691448211599</v>
      </c>
    </row>
    <row r="441" spans="1:10" x14ac:dyDescent="0.2">
      <c r="A441" t="s">
        <v>51</v>
      </c>
      <c r="B441" t="s">
        <v>40</v>
      </c>
      <c r="C441" t="s">
        <v>40</v>
      </c>
      <c r="D441">
        <v>4</v>
      </c>
      <c r="E441" t="s">
        <v>44</v>
      </c>
      <c r="F441" t="s">
        <v>15</v>
      </c>
      <c r="G441">
        <v>0.74200050795938</v>
      </c>
      <c r="H441">
        <v>3.8354678208148897E-2</v>
      </c>
      <c r="I441" t="s">
        <v>14</v>
      </c>
      <c r="J441">
        <v>48.141411066055298</v>
      </c>
    </row>
    <row r="442" spans="1:10" x14ac:dyDescent="0.2">
      <c r="A442" t="s">
        <v>51</v>
      </c>
      <c r="B442" t="s">
        <v>45</v>
      </c>
      <c r="C442" t="s">
        <v>45</v>
      </c>
      <c r="D442">
        <v>1</v>
      </c>
      <c r="E442" t="s">
        <v>41</v>
      </c>
      <c r="F442" t="s">
        <v>13</v>
      </c>
      <c r="G442">
        <v>0.79929925147316405</v>
      </c>
      <c r="H442">
        <v>0</v>
      </c>
      <c r="I442" t="s">
        <v>14</v>
      </c>
      <c r="J442">
        <v>5.0876500606536803</v>
      </c>
    </row>
    <row r="443" spans="1:10" x14ac:dyDescent="0.2">
      <c r="A443" t="s">
        <v>51</v>
      </c>
      <c r="B443" t="s">
        <v>45</v>
      </c>
      <c r="C443" t="s">
        <v>45</v>
      </c>
      <c r="D443">
        <v>1</v>
      </c>
      <c r="E443" t="s">
        <v>41</v>
      </c>
      <c r="F443" t="s">
        <v>15</v>
      </c>
      <c r="G443">
        <v>0.78256307565511296</v>
      </c>
      <c r="H443">
        <v>3.7010297244183497E-2</v>
      </c>
      <c r="I443" t="s">
        <v>14</v>
      </c>
      <c r="J443">
        <v>95.710052728652897</v>
      </c>
    </row>
    <row r="444" spans="1:10" x14ac:dyDescent="0.2">
      <c r="A444" t="s">
        <v>51</v>
      </c>
      <c r="B444" t="s">
        <v>45</v>
      </c>
      <c r="C444" t="s">
        <v>45</v>
      </c>
      <c r="D444">
        <v>2</v>
      </c>
      <c r="E444" t="s">
        <v>42</v>
      </c>
      <c r="F444" t="s">
        <v>13</v>
      </c>
      <c r="G444">
        <v>0.78108532429969402</v>
      </c>
      <c r="H444">
        <v>0</v>
      </c>
      <c r="I444" t="s">
        <v>14</v>
      </c>
      <c r="J444">
        <v>7.1937131881713796</v>
      </c>
    </row>
    <row r="445" spans="1:10" x14ac:dyDescent="0.2">
      <c r="A445" t="s">
        <v>51</v>
      </c>
      <c r="B445" t="s">
        <v>45</v>
      </c>
      <c r="C445" t="s">
        <v>45</v>
      </c>
      <c r="D445">
        <v>2</v>
      </c>
      <c r="E445" t="s">
        <v>42</v>
      </c>
      <c r="F445" t="s">
        <v>15</v>
      </c>
      <c r="G445">
        <v>0.77482763960416201</v>
      </c>
      <c r="H445">
        <v>4.1759935113486003E-2</v>
      </c>
      <c r="I445" t="s">
        <v>14</v>
      </c>
      <c r="J445">
        <v>140.15991878509499</v>
      </c>
    </row>
    <row r="446" spans="1:10" x14ac:dyDescent="0.2">
      <c r="A446" t="s">
        <v>51</v>
      </c>
      <c r="B446" t="s">
        <v>45</v>
      </c>
      <c r="C446" t="s">
        <v>45</v>
      </c>
      <c r="D446">
        <v>3</v>
      </c>
      <c r="E446" t="s">
        <v>43</v>
      </c>
      <c r="F446" t="s">
        <v>13</v>
      </c>
      <c r="G446">
        <v>0.74635627530364301</v>
      </c>
      <c r="H446">
        <v>0</v>
      </c>
      <c r="I446" t="s">
        <v>14</v>
      </c>
      <c r="J446">
        <v>8.8475940227508492</v>
      </c>
    </row>
    <row r="447" spans="1:10" x14ac:dyDescent="0.2">
      <c r="A447" t="s">
        <v>51</v>
      </c>
      <c r="B447" t="s">
        <v>45</v>
      </c>
      <c r="C447" t="s">
        <v>45</v>
      </c>
      <c r="D447">
        <v>3</v>
      </c>
      <c r="E447" t="s">
        <v>43</v>
      </c>
      <c r="F447" t="s">
        <v>15</v>
      </c>
      <c r="G447">
        <v>0.76854439962704302</v>
      </c>
      <c r="H447">
        <v>2.9604873679371198E-2</v>
      </c>
      <c r="I447" t="s">
        <v>14</v>
      </c>
      <c r="J447">
        <v>172.48136401176399</v>
      </c>
    </row>
    <row r="448" spans="1:10" x14ac:dyDescent="0.2">
      <c r="A448" t="s">
        <v>51</v>
      </c>
      <c r="B448" t="s">
        <v>45</v>
      </c>
      <c r="C448" t="s">
        <v>45</v>
      </c>
      <c r="D448">
        <v>4</v>
      </c>
      <c r="E448" t="s">
        <v>44</v>
      </c>
      <c r="F448" t="s">
        <v>13</v>
      </c>
      <c r="G448">
        <v>0.80638013116826601</v>
      </c>
      <c r="H448">
        <v>0</v>
      </c>
      <c r="I448" t="s">
        <v>14</v>
      </c>
      <c r="J448">
        <v>11.4512898921966</v>
      </c>
    </row>
    <row r="449" spans="1:10" x14ac:dyDescent="0.2">
      <c r="A449" t="s">
        <v>51</v>
      </c>
      <c r="B449" t="s">
        <v>45</v>
      </c>
      <c r="C449" t="s">
        <v>45</v>
      </c>
      <c r="D449">
        <v>4</v>
      </c>
      <c r="E449" t="s">
        <v>44</v>
      </c>
      <c r="F449" t="s">
        <v>15</v>
      </c>
      <c r="G449">
        <v>0.75795045397263905</v>
      </c>
      <c r="H449">
        <v>3.3132647060857001E-2</v>
      </c>
      <c r="I449" t="s">
        <v>14</v>
      </c>
      <c r="J449">
        <v>243.206264019012</v>
      </c>
    </row>
    <row r="450" spans="1:10" x14ac:dyDescent="0.2">
      <c r="A450" t="s">
        <v>52</v>
      </c>
      <c r="B450" t="s">
        <v>11</v>
      </c>
      <c r="C450" t="s">
        <v>11</v>
      </c>
      <c r="D450">
        <v>1</v>
      </c>
      <c r="E450" t="s">
        <v>12</v>
      </c>
      <c r="F450" t="s">
        <v>13</v>
      </c>
      <c r="G450">
        <v>0.66292194092826995</v>
      </c>
      <c r="H450">
        <v>0</v>
      </c>
      <c r="I450" t="s">
        <v>14</v>
      </c>
      <c r="J450">
        <v>3.57172489166259E-2</v>
      </c>
    </row>
    <row r="451" spans="1:10" x14ac:dyDescent="0.2">
      <c r="A451" t="s">
        <v>52</v>
      </c>
      <c r="B451" t="s">
        <v>11</v>
      </c>
      <c r="C451" t="s">
        <v>11</v>
      </c>
      <c r="D451">
        <v>1</v>
      </c>
      <c r="E451" t="s">
        <v>12</v>
      </c>
      <c r="F451" t="s">
        <v>15</v>
      </c>
      <c r="G451">
        <v>0.66435671846251898</v>
      </c>
      <c r="H451">
        <v>5.10121995907089E-2</v>
      </c>
      <c r="I451" t="s">
        <v>14</v>
      </c>
      <c r="J451">
        <v>0.59433293342590299</v>
      </c>
    </row>
    <row r="452" spans="1:10" x14ac:dyDescent="0.2">
      <c r="A452" t="s">
        <v>52</v>
      </c>
      <c r="B452" t="s">
        <v>11</v>
      </c>
      <c r="C452" t="s">
        <v>11</v>
      </c>
      <c r="D452">
        <v>2</v>
      </c>
      <c r="E452" t="s">
        <v>16</v>
      </c>
      <c r="F452" t="s">
        <v>13</v>
      </c>
      <c r="G452">
        <v>0.63236125787640396</v>
      </c>
      <c r="H452">
        <v>0</v>
      </c>
      <c r="I452" t="s">
        <v>14</v>
      </c>
      <c r="J452">
        <v>6.2469959259033203E-2</v>
      </c>
    </row>
    <row r="453" spans="1:10" x14ac:dyDescent="0.2">
      <c r="A453" t="s">
        <v>52</v>
      </c>
      <c r="B453" t="s">
        <v>11</v>
      </c>
      <c r="C453" t="s">
        <v>11</v>
      </c>
      <c r="D453">
        <v>2</v>
      </c>
      <c r="E453" t="s">
        <v>16</v>
      </c>
      <c r="F453" t="s">
        <v>15</v>
      </c>
      <c r="G453">
        <v>0.66468909763851003</v>
      </c>
      <c r="H453">
        <v>6.3806891039314195E-2</v>
      </c>
      <c r="I453" t="s">
        <v>14</v>
      </c>
      <c r="J453">
        <v>1.0688159465789699</v>
      </c>
    </row>
    <row r="454" spans="1:10" x14ac:dyDescent="0.2">
      <c r="A454" t="s">
        <v>52</v>
      </c>
      <c r="B454" t="s">
        <v>11</v>
      </c>
      <c r="C454" t="s">
        <v>11</v>
      </c>
      <c r="D454">
        <v>3</v>
      </c>
      <c r="E454" t="s">
        <v>17</v>
      </c>
      <c r="F454" t="s">
        <v>13</v>
      </c>
      <c r="G454">
        <v>0.64465542521994101</v>
      </c>
      <c r="H454">
        <v>0</v>
      </c>
      <c r="I454" t="s">
        <v>14</v>
      </c>
      <c r="J454">
        <v>8.1968069076538003E-2</v>
      </c>
    </row>
    <row r="455" spans="1:10" x14ac:dyDescent="0.2">
      <c r="A455" t="s">
        <v>52</v>
      </c>
      <c r="B455" t="s">
        <v>11</v>
      </c>
      <c r="C455" t="s">
        <v>11</v>
      </c>
      <c r="D455">
        <v>3</v>
      </c>
      <c r="E455" t="s">
        <v>17</v>
      </c>
      <c r="F455" t="s">
        <v>15</v>
      </c>
      <c r="G455">
        <v>0.67145657035867001</v>
      </c>
      <c r="H455">
        <v>5.1420803910043403E-2</v>
      </c>
      <c r="I455" t="s">
        <v>14</v>
      </c>
      <c r="J455">
        <v>1.69872403144836</v>
      </c>
    </row>
    <row r="456" spans="1:10" x14ac:dyDescent="0.2">
      <c r="A456" t="s">
        <v>52</v>
      </c>
      <c r="B456" t="s">
        <v>11</v>
      </c>
      <c r="C456" t="s">
        <v>11</v>
      </c>
      <c r="D456">
        <v>4</v>
      </c>
      <c r="E456" t="s">
        <v>18</v>
      </c>
      <c r="F456" t="s">
        <v>13</v>
      </c>
      <c r="G456">
        <v>0.76933773216031198</v>
      </c>
      <c r="H456">
        <v>0</v>
      </c>
      <c r="I456" t="s">
        <v>14</v>
      </c>
      <c r="J456">
        <v>4.8806190490722601E-2</v>
      </c>
    </row>
    <row r="457" spans="1:10" x14ac:dyDescent="0.2">
      <c r="A457" t="s">
        <v>52</v>
      </c>
      <c r="B457" t="s">
        <v>11</v>
      </c>
      <c r="C457" t="s">
        <v>11</v>
      </c>
      <c r="D457">
        <v>4</v>
      </c>
      <c r="E457" t="s">
        <v>18</v>
      </c>
      <c r="F457" t="s">
        <v>15</v>
      </c>
      <c r="G457">
        <v>0.73395828133951602</v>
      </c>
      <c r="H457">
        <v>6.6543187542759494E-2</v>
      </c>
      <c r="I457" t="s">
        <v>14</v>
      </c>
      <c r="J457">
        <v>0.49220395088195801</v>
      </c>
    </row>
    <row r="458" spans="1:10" x14ac:dyDescent="0.2">
      <c r="A458" t="s">
        <v>52</v>
      </c>
      <c r="B458" t="s">
        <v>11</v>
      </c>
      <c r="C458" t="s">
        <v>11</v>
      </c>
      <c r="D458">
        <v>5</v>
      </c>
      <c r="E458" t="s">
        <v>19</v>
      </c>
      <c r="F458" t="s">
        <v>13</v>
      </c>
      <c r="G458">
        <v>0.72586274509803905</v>
      </c>
      <c r="H458">
        <v>0</v>
      </c>
      <c r="I458" t="s">
        <v>14</v>
      </c>
      <c r="J458">
        <v>5.1856994628906201E-2</v>
      </c>
    </row>
    <row r="459" spans="1:10" x14ac:dyDescent="0.2">
      <c r="A459" t="s">
        <v>52</v>
      </c>
      <c r="B459" t="s">
        <v>11</v>
      </c>
      <c r="C459" t="s">
        <v>11</v>
      </c>
      <c r="D459">
        <v>5</v>
      </c>
      <c r="E459" t="s">
        <v>19</v>
      </c>
      <c r="F459" t="s">
        <v>15</v>
      </c>
      <c r="G459">
        <v>0.719752928171141</v>
      </c>
      <c r="H459">
        <v>5.7444992528052102E-2</v>
      </c>
      <c r="I459" t="s">
        <v>14</v>
      </c>
      <c r="J459">
        <v>0.80285000801086404</v>
      </c>
    </row>
    <row r="460" spans="1:10" x14ac:dyDescent="0.2">
      <c r="A460" t="s">
        <v>52</v>
      </c>
      <c r="B460" t="s">
        <v>11</v>
      </c>
      <c r="C460" t="s">
        <v>11</v>
      </c>
      <c r="D460">
        <v>6</v>
      </c>
      <c r="E460" t="s">
        <v>20</v>
      </c>
      <c r="F460" t="s">
        <v>13</v>
      </c>
      <c r="G460">
        <v>0.75070411516194602</v>
      </c>
      <c r="H460">
        <v>0</v>
      </c>
      <c r="I460" t="s">
        <v>14</v>
      </c>
      <c r="J460">
        <v>7.8685998916625893E-2</v>
      </c>
    </row>
    <row r="461" spans="1:10" x14ac:dyDescent="0.2">
      <c r="A461" t="s">
        <v>52</v>
      </c>
      <c r="B461" t="s">
        <v>11</v>
      </c>
      <c r="C461" t="s">
        <v>11</v>
      </c>
      <c r="D461">
        <v>6</v>
      </c>
      <c r="E461" t="s">
        <v>20</v>
      </c>
      <c r="F461" t="s">
        <v>15</v>
      </c>
      <c r="G461">
        <v>0.73345131495927296</v>
      </c>
      <c r="H461">
        <v>4.9814119626520603E-2</v>
      </c>
      <c r="I461" t="s">
        <v>14</v>
      </c>
      <c r="J461">
        <v>0.99992322921752896</v>
      </c>
    </row>
    <row r="462" spans="1:10" x14ac:dyDescent="0.2">
      <c r="A462" t="s">
        <v>52</v>
      </c>
      <c r="B462" t="s">
        <v>11</v>
      </c>
      <c r="C462" t="s">
        <v>11</v>
      </c>
      <c r="D462">
        <v>7</v>
      </c>
      <c r="E462" t="s">
        <v>21</v>
      </c>
      <c r="F462" t="s">
        <v>13</v>
      </c>
      <c r="G462">
        <v>0.732062188468935</v>
      </c>
      <c r="H462">
        <v>0</v>
      </c>
      <c r="I462" t="s">
        <v>14</v>
      </c>
      <c r="J462">
        <v>3.7029981613159103E-2</v>
      </c>
    </row>
    <row r="463" spans="1:10" x14ac:dyDescent="0.2">
      <c r="A463" t="s">
        <v>52</v>
      </c>
      <c r="B463" t="s">
        <v>11</v>
      </c>
      <c r="C463" t="s">
        <v>11</v>
      </c>
      <c r="D463">
        <v>7</v>
      </c>
      <c r="E463" t="s">
        <v>21</v>
      </c>
      <c r="F463" t="s">
        <v>15</v>
      </c>
      <c r="G463">
        <v>0.70613420857798703</v>
      </c>
      <c r="H463">
        <v>4.1986457263653201E-2</v>
      </c>
      <c r="I463" t="s">
        <v>14</v>
      </c>
      <c r="J463">
        <v>0.43886590003967202</v>
      </c>
    </row>
    <row r="464" spans="1:10" x14ac:dyDescent="0.2">
      <c r="A464" t="s">
        <v>52</v>
      </c>
      <c r="B464" t="s">
        <v>11</v>
      </c>
      <c r="C464" t="s">
        <v>11</v>
      </c>
      <c r="D464">
        <v>8</v>
      </c>
      <c r="E464" t="s">
        <v>22</v>
      </c>
      <c r="F464" t="s">
        <v>13</v>
      </c>
      <c r="G464">
        <v>0.732062188468935</v>
      </c>
      <c r="H464">
        <v>0</v>
      </c>
      <c r="I464" t="s">
        <v>14</v>
      </c>
      <c r="J464">
        <v>4.7837257385253899E-2</v>
      </c>
    </row>
    <row r="465" spans="1:10" x14ac:dyDescent="0.2">
      <c r="A465" t="s">
        <v>52</v>
      </c>
      <c r="B465" t="s">
        <v>11</v>
      </c>
      <c r="C465" t="s">
        <v>11</v>
      </c>
      <c r="D465">
        <v>8</v>
      </c>
      <c r="E465" t="s">
        <v>22</v>
      </c>
      <c r="F465" t="s">
        <v>15</v>
      </c>
      <c r="G465">
        <v>0.70599474925217398</v>
      </c>
      <c r="H465">
        <v>4.3413977475376203E-2</v>
      </c>
      <c r="I465" t="s">
        <v>14</v>
      </c>
      <c r="J465">
        <v>0.67463994026184004</v>
      </c>
    </row>
    <row r="466" spans="1:10" x14ac:dyDescent="0.2">
      <c r="A466" t="s">
        <v>52</v>
      </c>
      <c r="B466" t="s">
        <v>11</v>
      </c>
      <c r="C466" t="s">
        <v>11</v>
      </c>
      <c r="D466">
        <v>9</v>
      </c>
      <c r="E466" t="s">
        <v>23</v>
      </c>
      <c r="F466" t="s">
        <v>13</v>
      </c>
      <c r="G466">
        <v>0.73832352941176405</v>
      </c>
      <c r="H466">
        <v>0</v>
      </c>
      <c r="I466" t="s">
        <v>14</v>
      </c>
      <c r="J466">
        <v>6.6003084182739202E-2</v>
      </c>
    </row>
    <row r="467" spans="1:10" x14ac:dyDescent="0.2">
      <c r="A467" t="s">
        <v>52</v>
      </c>
      <c r="B467" t="s">
        <v>11</v>
      </c>
      <c r="C467" t="s">
        <v>11</v>
      </c>
      <c r="D467">
        <v>9</v>
      </c>
      <c r="E467" t="s">
        <v>23</v>
      </c>
      <c r="F467" t="s">
        <v>15</v>
      </c>
      <c r="G467">
        <v>0.70618092395559795</v>
      </c>
      <c r="H467">
        <v>4.2597554522096501E-2</v>
      </c>
      <c r="I467" t="s">
        <v>14</v>
      </c>
      <c r="J467">
        <v>0.90801191329955999</v>
      </c>
    </row>
    <row r="468" spans="1:10" x14ac:dyDescent="0.2">
      <c r="A468" t="s">
        <v>52</v>
      </c>
      <c r="B468" t="s">
        <v>11</v>
      </c>
      <c r="C468" t="s">
        <v>11</v>
      </c>
      <c r="D468">
        <v>10</v>
      </c>
      <c r="E468" t="s">
        <v>24</v>
      </c>
      <c r="F468" t="s">
        <v>13</v>
      </c>
      <c r="G468">
        <v>0.756069084729872</v>
      </c>
      <c r="H468">
        <v>0</v>
      </c>
      <c r="I468" t="s">
        <v>14</v>
      </c>
      <c r="J468">
        <v>4.22503590583801</v>
      </c>
    </row>
    <row r="469" spans="1:10" x14ac:dyDescent="0.2">
      <c r="A469" t="s">
        <v>52</v>
      </c>
      <c r="B469" t="s">
        <v>11</v>
      </c>
      <c r="C469" t="s">
        <v>11</v>
      </c>
      <c r="D469">
        <v>10</v>
      </c>
      <c r="E469" t="s">
        <v>24</v>
      </c>
      <c r="F469" t="s">
        <v>15</v>
      </c>
      <c r="G469">
        <v>0.76429594892255204</v>
      </c>
      <c r="H469">
        <v>6.1226613806049497E-2</v>
      </c>
      <c r="I469" t="s">
        <v>14</v>
      </c>
      <c r="J469">
        <v>85.277333021163898</v>
      </c>
    </row>
    <row r="470" spans="1:10" x14ac:dyDescent="0.2">
      <c r="A470" t="s">
        <v>52</v>
      </c>
      <c r="B470" t="s">
        <v>11</v>
      </c>
      <c r="C470" t="s">
        <v>11</v>
      </c>
      <c r="D470">
        <v>11</v>
      </c>
      <c r="E470" t="s">
        <v>25</v>
      </c>
      <c r="F470" t="s">
        <v>13</v>
      </c>
      <c r="G470">
        <v>0.75686950146627496</v>
      </c>
      <c r="H470">
        <v>0</v>
      </c>
      <c r="I470" t="s">
        <v>14</v>
      </c>
      <c r="J470">
        <v>8.6266500949859601</v>
      </c>
    </row>
    <row r="471" spans="1:10" x14ac:dyDescent="0.2">
      <c r="A471" t="s">
        <v>52</v>
      </c>
      <c r="B471" t="s">
        <v>11</v>
      </c>
      <c r="C471" t="s">
        <v>11</v>
      </c>
      <c r="D471">
        <v>11</v>
      </c>
      <c r="E471" t="s">
        <v>25</v>
      </c>
      <c r="F471" t="s">
        <v>15</v>
      </c>
      <c r="G471">
        <v>0.75395408877759196</v>
      </c>
      <c r="H471">
        <v>5.5806527226545E-2</v>
      </c>
      <c r="I471" t="s">
        <v>14</v>
      </c>
      <c r="J471">
        <v>176.77395009994501</v>
      </c>
    </row>
    <row r="472" spans="1:10" x14ac:dyDescent="0.2">
      <c r="A472" t="s">
        <v>52</v>
      </c>
      <c r="B472" t="s">
        <v>11</v>
      </c>
      <c r="C472" t="s">
        <v>11</v>
      </c>
      <c r="D472">
        <v>12</v>
      </c>
      <c r="E472" t="s">
        <v>26</v>
      </c>
      <c r="F472" t="s">
        <v>13</v>
      </c>
      <c r="G472">
        <v>0.73708977965306999</v>
      </c>
      <c r="H472">
        <v>0</v>
      </c>
      <c r="I472" t="s">
        <v>14</v>
      </c>
      <c r="J472">
        <v>12.403882026672299</v>
      </c>
    </row>
    <row r="473" spans="1:10" x14ac:dyDescent="0.2">
      <c r="A473" t="s">
        <v>52</v>
      </c>
      <c r="B473" t="s">
        <v>11</v>
      </c>
      <c r="C473" t="s">
        <v>11</v>
      </c>
      <c r="D473">
        <v>12</v>
      </c>
      <c r="E473" t="s">
        <v>26</v>
      </c>
      <c r="F473" t="s">
        <v>15</v>
      </c>
      <c r="G473">
        <v>0.76034909380298299</v>
      </c>
      <c r="H473">
        <v>5.64022996157501E-2</v>
      </c>
      <c r="I473" t="s">
        <v>14</v>
      </c>
      <c r="J473">
        <v>290.66512203216502</v>
      </c>
    </row>
    <row r="474" spans="1:10" x14ac:dyDescent="0.2">
      <c r="A474" t="s">
        <v>52</v>
      </c>
      <c r="B474" t="s">
        <v>27</v>
      </c>
      <c r="C474" t="s">
        <v>27</v>
      </c>
      <c r="D474">
        <v>1</v>
      </c>
      <c r="E474" t="s">
        <v>28</v>
      </c>
      <c r="F474" t="s">
        <v>13</v>
      </c>
      <c r="G474">
        <v>0.80062745098039201</v>
      </c>
      <c r="H474">
        <v>0</v>
      </c>
      <c r="I474" t="s">
        <v>14</v>
      </c>
      <c r="J474">
        <v>0.1008141040802</v>
      </c>
    </row>
    <row r="475" spans="1:10" x14ac:dyDescent="0.2">
      <c r="A475" t="s">
        <v>52</v>
      </c>
      <c r="B475" t="s">
        <v>27</v>
      </c>
      <c r="C475" t="s">
        <v>27</v>
      </c>
      <c r="D475">
        <v>1</v>
      </c>
      <c r="E475" t="s">
        <v>28</v>
      </c>
      <c r="F475" t="s">
        <v>15</v>
      </c>
      <c r="G475">
        <v>0.74878192565040302</v>
      </c>
      <c r="H475">
        <v>5.7202235901526101E-2</v>
      </c>
      <c r="I475" t="s">
        <v>14</v>
      </c>
      <c r="J475">
        <v>1.6710000038146899</v>
      </c>
    </row>
    <row r="476" spans="1:10" x14ac:dyDescent="0.2">
      <c r="A476" t="s">
        <v>52</v>
      </c>
      <c r="B476" t="s">
        <v>27</v>
      </c>
      <c r="C476" t="s">
        <v>27</v>
      </c>
      <c r="D476">
        <v>2</v>
      </c>
      <c r="E476" t="s">
        <v>29</v>
      </c>
      <c r="F476" t="s">
        <v>13</v>
      </c>
      <c r="G476">
        <v>0.78163465671525101</v>
      </c>
      <c r="H476">
        <v>0</v>
      </c>
      <c r="I476" t="s">
        <v>14</v>
      </c>
      <c r="J476">
        <v>8.6993217468261705E-2</v>
      </c>
    </row>
    <row r="477" spans="1:10" x14ac:dyDescent="0.2">
      <c r="A477" t="s">
        <v>52</v>
      </c>
      <c r="B477" t="s">
        <v>27</v>
      </c>
      <c r="C477" t="s">
        <v>27</v>
      </c>
      <c r="D477">
        <v>2</v>
      </c>
      <c r="E477" t="s">
        <v>29</v>
      </c>
      <c r="F477" t="s">
        <v>15</v>
      </c>
      <c r="G477">
        <v>0.74387571511613304</v>
      </c>
      <c r="H477">
        <v>5.91974474852048E-2</v>
      </c>
      <c r="I477" t="s">
        <v>14</v>
      </c>
      <c r="J477">
        <v>1.70701003074646</v>
      </c>
    </row>
    <row r="478" spans="1:10" x14ac:dyDescent="0.2">
      <c r="A478" t="s">
        <v>52</v>
      </c>
      <c r="B478" t="s">
        <v>27</v>
      </c>
      <c r="C478" t="s">
        <v>27</v>
      </c>
      <c r="D478">
        <v>3</v>
      </c>
      <c r="E478" t="s">
        <v>30</v>
      </c>
      <c r="F478" t="s">
        <v>13</v>
      </c>
      <c r="G478">
        <v>0.76915663709897997</v>
      </c>
      <c r="H478">
        <v>0</v>
      </c>
      <c r="I478" t="s">
        <v>14</v>
      </c>
      <c r="J478">
        <v>9.2985868453979395E-2</v>
      </c>
    </row>
    <row r="479" spans="1:10" x14ac:dyDescent="0.2">
      <c r="A479" t="s">
        <v>52</v>
      </c>
      <c r="B479" t="s">
        <v>27</v>
      </c>
      <c r="C479" t="s">
        <v>27</v>
      </c>
      <c r="D479">
        <v>3</v>
      </c>
      <c r="E479" t="s">
        <v>30</v>
      </c>
      <c r="F479" t="s">
        <v>15</v>
      </c>
      <c r="G479">
        <v>0.75522958472305701</v>
      </c>
      <c r="H479">
        <v>5.5312534321194498E-2</v>
      </c>
      <c r="I479" t="s">
        <v>14</v>
      </c>
      <c r="J479">
        <v>1.6518981456756501</v>
      </c>
    </row>
    <row r="480" spans="1:10" x14ac:dyDescent="0.2">
      <c r="A480" t="s">
        <v>52</v>
      </c>
      <c r="B480" t="s">
        <v>27</v>
      </c>
      <c r="C480" t="s">
        <v>27</v>
      </c>
      <c r="D480">
        <v>4</v>
      </c>
      <c r="E480" t="s">
        <v>31</v>
      </c>
      <c r="F480" t="s">
        <v>13</v>
      </c>
      <c r="G480">
        <v>0.75686950146627496</v>
      </c>
      <c r="H480">
        <v>0</v>
      </c>
      <c r="I480" t="s">
        <v>14</v>
      </c>
      <c r="J480">
        <v>0.103775024414062</v>
      </c>
    </row>
    <row r="481" spans="1:10" x14ac:dyDescent="0.2">
      <c r="A481" t="s">
        <v>52</v>
      </c>
      <c r="B481" t="s">
        <v>27</v>
      </c>
      <c r="C481" t="s">
        <v>27</v>
      </c>
      <c r="D481">
        <v>4</v>
      </c>
      <c r="E481" t="s">
        <v>31</v>
      </c>
      <c r="F481" t="s">
        <v>15</v>
      </c>
      <c r="G481">
        <v>0.74135963652508896</v>
      </c>
      <c r="H481">
        <v>6.18445332987341E-2</v>
      </c>
      <c r="I481" t="s">
        <v>14</v>
      </c>
      <c r="J481">
        <v>1.6625401973724301</v>
      </c>
    </row>
    <row r="482" spans="1:10" x14ac:dyDescent="0.2">
      <c r="A482" t="s">
        <v>52</v>
      </c>
      <c r="B482" t="s">
        <v>27</v>
      </c>
      <c r="C482" t="s">
        <v>27</v>
      </c>
      <c r="D482">
        <v>5</v>
      </c>
      <c r="E482" t="s">
        <v>32</v>
      </c>
      <c r="F482" t="s">
        <v>13</v>
      </c>
      <c r="G482">
        <v>0.75031254883575504</v>
      </c>
      <c r="H482">
        <v>0</v>
      </c>
      <c r="I482" t="s">
        <v>14</v>
      </c>
      <c r="J482">
        <v>8.9648246765136705E-2</v>
      </c>
    </row>
    <row r="483" spans="1:10" x14ac:dyDescent="0.2">
      <c r="A483" t="s">
        <v>52</v>
      </c>
      <c r="B483" t="s">
        <v>27</v>
      </c>
      <c r="C483" t="s">
        <v>27</v>
      </c>
      <c r="D483">
        <v>5</v>
      </c>
      <c r="E483" t="s">
        <v>32</v>
      </c>
      <c r="F483" t="s">
        <v>15</v>
      </c>
      <c r="G483">
        <v>0.75667572874009603</v>
      </c>
      <c r="H483">
        <v>6.2230275078547899E-2</v>
      </c>
      <c r="I483" t="s">
        <v>14</v>
      </c>
      <c r="J483">
        <v>1.6845901012420601</v>
      </c>
    </row>
    <row r="484" spans="1:10" x14ac:dyDescent="0.2">
      <c r="A484" t="s">
        <v>52</v>
      </c>
      <c r="B484" t="s">
        <v>27</v>
      </c>
      <c r="C484" t="s">
        <v>27</v>
      </c>
      <c r="D484">
        <v>6</v>
      </c>
      <c r="E484" t="s">
        <v>33</v>
      </c>
      <c r="F484" t="s">
        <v>13</v>
      </c>
      <c r="G484">
        <v>0.76933773216031198</v>
      </c>
      <c r="H484">
        <v>0</v>
      </c>
      <c r="I484" t="s">
        <v>14</v>
      </c>
      <c r="J484">
        <v>9.2566013336181599E-2</v>
      </c>
    </row>
    <row r="485" spans="1:10" x14ac:dyDescent="0.2">
      <c r="A485" t="s">
        <v>52</v>
      </c>
      <c r="B485" t="s">
        <v>27</v>
      </c>
      <c r="C485" t="s">
        <v>27</v>
      </c>
      <c r="D485">
        <v>6</v>
      </c>
      <c r="E485" t="s">
        <v>33</v>
      </c>
      <c r="F485" t="s">
        <v>15</v>
      </c>
      <c r="G485">
        <v>0.74770491745905499</v>
      </c>
      <c r="H485">
        <v>6.6827726662704201E-2</v>
      </c>
      <c r="I485" t="s">
        <v>14</v>
      </c>
      <c r="J485">
        <v>1.65250992774963</v>
      </c>
    </row>
    <row r="486" spans="1:10" x14ac:dyDescent="0.2">
      <c r="A486" t="s">
        <v>52</v>
      </c>
      <c r="B486" t="s">
        <v>27</v>
      </c>
      <c r="C486" t="s">
        <v>27</v>
      </c>
      <c r="D486">
        <v>7</v>
      </c>
      <c r="E486" t="s">
        <v>34</v>
      </c>
      <c r="F486" t="s">
        <v>13</v>
      </c>
      <c r="G486">
        <v>0.76933773216031198</v>
      </c>
      <c r="H486">
        <v>0</v>
      </c>
      <c r="I486" t="s">
        <v>14</v>
      </c>
      <c r="J486">
        <v>9.2720270156860296E-2</v>
      </c>
    </row>
    <row r="487" spans="1:10" x14ac:dyDescent="0.2">
      <c r="A487" t="s">
        <v>52</v>
      </c>
      <c r="B487" t="s">
        <v>27</v>
      </c>
      <c r="C487" t="s">
        <v>27</v>
      </c>
      <c r="D487">
        <v>7</v>
      </c>
      <c r="E487" t="s">
        <v>34</v>
      </c>
      <c r="F487" t="s">
        <v>15</v>
      </c>
      <c r="G487">
        <v>0.74897983792261902</v>
      </c>
      <c r="H487">
        <v>5.6018362614971597E-2</v>
      </c>
      <c r="I487" t="s">
        <v>14</v>
      </c>
      <c r="J487">
        <v>1.6465580463409399</v>
      </c>
    </row>
    <row r="488" spans="1:10" x14ac:dyDescent="0.2">
      <c r="A488" t="s">
        <v>52</v>
      </c>
      <c r="B488" t="s">
        <v>27</v>
      </c>
      <c r="C488" t="s">
        <v>27</v>
      </c>
      <c r="D488">
        <v>8</v>
      </c>
      <c r="E488" t="s">
        <v>35</v>
      </c>
      <c r="F488" t="s">
        <v>13</v>
      </c>
      <c r="G488">
        <v>0.80062656641604002</v>
      </c>
      <c r="H488">
        <v>0</v>
      </c>
      <c r="I488" t="s">
        <v>14</v>
      </c>
      <c r="J488">
        <v>8.9278221130371094E-2</v>
      </c>
    </row>
    <row r="489" spans="1:10" x14ac:dyDescent="0.2">
      <c r="A489" t="s">
        <v>52</v>
      </c>
      <c r="B489" t="s">
        <v>27</v>
      </c>
      <c r="C489" t="s">
        <v>27</v>
      </c>
      <c r="D489">
        <v>8</v>
      </c>
      <c r="E489" t="s">
        <v>35</v>
      </c>
      <c r="F489" t="s">
        <v>15</v>
      </c>
      <c r="G489">
        <v>0.74913882924092101</v>
      </c>
      <c r="H489">
        <v>5.1954515799320103E-2</v>
      </c>
      <c r="I489" t="s">
        <v>14</v>
      </c>
      <c r="J489">
        <v>1.70003008842468</v>
      </c>
    </row>
    <row r="490" spans="1:10" x14ac:dyDescent="0.2">
      <c r="A490" t="s">
        <v>52</v>
      </c>
      <c r="B490" t="s">
        <v>27</v>
      </c>
      <c r="C490" t="s">
        <v>27</v>
      </c>
      <c r="D490">
        <v>9</v>
      </c>
      <c r="E490" t="s">
        <v>36</v>
      </c>
      <c r="F490" t="s">
        <v>13</v>
      </c>
      <c r="G490">
        <v>0.81308740601503704</v>
      </c>
      <c r="H490">
        <v>0</v>
      </c>
      <c r="I490" t="s">
        <v>14</v>
      </c>
      <c r="J490">
        <v>9.04083251953125E-2</v>
      </c>
    </row>
    <row r="491" spans="1:10" x14ac:dyDescent="0.2">
      <c r="A491" t="s">
        <v>52</v>
      </c>
      <c r="B491" t="s">
        <v>27</v>
      </c>
      <c r="C491" t="s">
        <v>27</v>
      </c>
      <c r="D491">
        <v>9</v>
      </c>
      <c r="E491" t="s">
        <v>36</v>
      </c>
      <c r="F491" t="s">
        <v>15</v>
      </c>
      <c r="G491">
        <v>0.76274623657268004</v>
      </c>
      <c r="H491">
        <v>7.09822544747606E-2</v>
      </c>
      <c r="I491" t="s">
        <v>14</v>
      </c>
      <c r="J491">
        <v>1.6991453170776301</v>
      </c>
    </row>
    <row r="492" spans="1:10" x14ac:dyDescent="0.2">
      <c r="A492" t="s">
        <v>52</v>
      </c>
      <c r="B492" t="s">
        <v>27</v>
      </c>
      <c r="C492" t="s">
        <v>27</v>
      </c>
      <c r="D492">
        <v>10</v>
      </c>
      <c r="E492" t="s">
        <v>37</v>
      </c>
      <c r="F492" t="s">
        <v>13</v>
      </c>
      <c r="G492">
        <v>0.76915663709897997</v>
      </c>
      <c r="H492">
        <v>0</v>
      </c>
      <c r="I492" t="s">
        <v>14</v>
      </c>
      <c r="J492">
        <v>9.9818944931030204E-2</v>
      </c>
    </row>
    <row r="493" spans="1:10" x14ac:dyDescent="0.2">
      <c r="A493" t="s">
        <v>52</v>
      </c>
      <c r="B493" t="s">
        <v>27</v>
      </c>
      <c r="C493" t="s">
        <v>27</v>
      </c>
      <c r="D493">
        <v>10</v>
      </c>
      <c r="E493" t="s">
        <v>37</v>
      </c>
      <c r="F493" t="s">
        <v>15</v>
      </c>
      <c r="G493">
        <v>0.74790077881649097</v>
      </c>
      <c r="H493">
        <v>6.7033065777058101E-2</v>
      </c>
      <c r="I493" t="s">
        <v>14</v>
      </c>
      <c r="J493">
        <v>1.67876625061035</v>
      </c>
    </row>
    <row r="494" spans="1:10" x14ac:dyDescent="0.2">
      <c r="A494" t="s">
        <v>52</v>
      </c>
      <c r="B494" t="s">
        <v>27</v>
      </c>
      <c r="C494" t="s">
        <v>27</v>
      </c>
      <c r="D494">
        <v>11</v>
      </c>
      <c r="E494" t="s">
        <v>38</v>
      </c>
      <c r="F494" t="s">
        <v>13</v>
      </c>
      <c r="G494">
        <v>0.80043777360850499</v>
      </c>
      <c r="H494">
        <v>0</v>
      </c>
      <c r="I494" t="s">
        <v>14</v>
      </c>
      <c r="J494">
        <v>0.10555100440979</v>
      </c>
    </row>
    <row r="495" spans="1:10" x14ac:dyDescent="0.2">
      <c r="A495" t="s">
        <v>52</v>
      </c>
      <c r="B495" t="s">
        <v>27</v>
      </c>
      <c r="C495" t="s">
        <v>27</v>
      </c>
      <c r="D495">
        <v>11</v>
      </c>
      <c r="E495" t="s">
        <v>38</v>
      </c>
      <c r="F495" t="s">
        <v>15</v>
      </c>
      <c r="G495">
        <v>0.75769155034479896</v>
      </c>
      <c r="H495">
        <v>6.2148073924490101E-2</v>
      </c>
      <c r="I495" t="s">
        <v>14</v>
      </c>
      <c r="J495">
        <v>1.68285703659057</v>
      </c>
    </row>
    <row r="496" spans="1:10" x14ac:dyDescent="0.2">
      <c r="A496" t="s">
        <v>52</v>
      </c>
      <c r="B496" t="s">
        <v>27</v>
      </c>
      <c r="C496" t="s">
        <v>27</v>
      </c>
      <c r="D496">
        <v>12</v>
      </c>
      <c r="E496" t="s">
        <v>39</v>
      </c>
      <c r="F496" t="s">
        <v>13</v>
      </c>
      <c r="G496">
        <v>0.78190922077413805</v>
      </c>
      <c r="H496">
        <v>0</v>
      </c>
      <c r="I496" t="s">
        <v>14</v>
      </c>
      <c r="J496">
        <v>9.9514245986938393E-2</v>
      </c>
    </row>
    <row r="497" spans="1:10" x14ac:dyDescent="0.2">
      <c r="A497" t="s">
        <v>52</v>
      </c>
      <c r="B497" t="s">
        <v>27</v>
      </c>
      <c r="C497" t="s">
        <v>27</v>
      </c>
      <c r="D497">
        <v>12</v>
      </c>
      <c r="E497" t="s">
        <v>39</v>
      </c>
      <c r="F497" t="s">
        <v>15</v>
      </c>
      <c r="G497">
        <v>0.74881999964514101</v>
      </c>
      <c r="H497">
        <v>6.8066431416501594E-2</v>
      </c>
      <c r="I497" t="s">
        <v>14</v>
      </c>
      <c r="J497">
        <v>1.68076395988464</v>
      </c>
    </row>
    <row r="498" spans="1:10" x14ac:dyDescent="0.2">
      <c r="A498" t="s">
        <v>52</v>
      </c>
      <c r="B498" t="s">
        <v>40</v>
      </c>
      <c r="C498" t="s">
        <v>40</v>
      </c>
      <c r="D498">
        <v>1</v>
      </c>
      <c r="E498" t="s">
        <v>41</v>
      </c>
      <c r="F498" t="s">
        <v>13</v>
      </c>
      <c r="G498">
        <v>0.75</v>
      </c>
      <c r="H498">
        <v>0</v>
      </c>
      <c r="I498" t="s">
        <v>14</v>
      </c>
      <c r="J498">
        <v>0.55585479736328103</v>
      </c>
    </row>
    <row r="499" spans="1:10" x14ac:dyDescent="0.2">
      <c r="A499" t="s">
        <v>52</v>
      </c>
      <c r="B499" t="s">
        <v>40</v>
      </c>
      <c r="C499" t="s">
        <v>40</v>
      </c>
      <c r="D499">
        <v>1</v>
      </c>
      <c r="E499" t="s">
        <v>41</v>
      </c>
      <c r="F499" t="s">
        <v>15</v>
      </c>
      <c r="G499">
        <v>0.72798554666377302</v>
      </c>
      <c r="H499">
        <v>4.83284804819165E-2</v>
      </c>
      <c r="I499" t="s">
        <v>14</v>
      </c>
      <c r="J499">
        <v>14.4566631317138</v>
      </c>
    </row>
    <row r="500" spans="1:10" x14ac:dyDescent="0.2">
      <c r="A500" t="s">
        <v>52</v>
      </c>
      <c r="B500" t="s">
        <v>40</v>
      </c>
      <c r="C500" t="s">
        <v>40</v>
      </c>
      <c r="D500">
        <v>2</v>
      </c>
      <c r="E500" t="s">
        <v>42</v>
      </c>
      <c r="F500" t="s">
        <v>13</v>
      </c>
      <c r="G500">
        <v>0.73708977965306999</v>
      </c>
      <c r="H500">
        <v>0</v>
      </c>
      <c r="I500" t="s">
        <v>14</v>
      </c>
      <c r="J500">
        <v>0.75894904136657704</v>
      </c>
    </row>
    <row r="501" spans="1:10" x14ac:dyDescent="0.2">
      <c r="A501" t="s">
        <v>52</v>
      </c>
      <c r="B501" t="s">
        <v>40</v>
      </c>
      <c r="C501" t="s">
        <v>40</v>
      </c>
      <c r="D501">
        <v>2</v>
      </c>
      <c r="E501" t="s">
        <v>42</v>
      </c>
      <c r="F501" t="s">
        <v>15</v>
      </c>
      <c r="G501">
        <v>0.725437474460353</v>
      </c>
      <c r="H501">
        <v>5.20203603267725E-2</v>
      </c>
      <c r="I501" t="s">
        <v>14</v>
      </c>
      <c r="J501">
        <v>20.1163601875305</v>
      </c>
    </row>
    <row r="502" spans="1:10" x14ac:dyDescent="0.2">
      <c r="A502" t="s">
        <v>52</v>
      </c>
      <c r="B502" t="s">
        <v>40</v>
      </c>
      <c r="C502" t="s">
        <v>40</v>
      </c>
      <c r="D502">
        <v>3</v>
      </c>
      <c r="E502" t="s">
        <v>43</v>
      </c>
      <c r="F502" t="s">
        <v>13</v>
      </c>
      <c r="G502">
        <v>0.73659709193245704</v>
      </c>
      <c r="H502">
        <v>0</v>
      </c>
      <c r="I502" t="s">
        <v>14</v>
      </c>
      <c r="J502">
        <v>1.0268249511718699</v>
      </c>
    </row>
    <row r="503" spans="1:10" x14ac:dyDescent="0.2">
      <c r="A503" t="s">
        <v>52</v>
      </c>
      <c r="B503" t="s">
        <v>40</v>
      </c>
      <c r="C503" t="s">
        <v>40</v>
      </c>
      <c r="D503">
        <v>3</v>
      </c>
      <c r="E503" t="s">
        <v>43</v>
      </c>
      <c r="F503" t="s">
        <v>15</v>
      </c>
      <c r="G503">
        <v>0.73149804235502303</v>
      </c>
      <c r="H503">
        <v>5.0004796849567303E-2</v>
      </c>
      <c r="I503" t="s">
        <v>14</v>
      </c>
      <c r="J503">
        <v>23.592782020568801</v>
      </c>
    </row>
    <row r="504" spans="1:10" x14ac:dyDescent="0.2">
      <c r="A504" t="s">
        <v>52</v>
      </c>
      <c r="B504" t="s">
        <v>40</v>
      </c>
      <c r="C504" t="s">
        <v>40</v>
      </c>
      <c r="D504">
        <v>4</v>
      </c>
      <c r="E504" t="s">
        <v>44</v>
      </c>
      <c r="F504" t="s">
        <v>13</v>
      </c>
      <c r="G504">
        <v>0.74311916298698699</v>
      </c>
      <c r="H504">
        <v>0</v>
      </c>
      <c r="I504" t="s">
        <v>14</v>
      </c>
      <c r="J504">
        <v>1.2293906211853001</v>
      </c>
    </row>
    <row r="505" spans="1:10" x14ac:dyDescent="0.2">
      <c r="A505" t="s">
        <v>52</v>
      </c>
      <c r="B505" t="s">
        <v>40</v>
      </c>
      <c r="C505" t="s">
        <v>40</v>
      </c>
      <c r="D505">
        <v>4</v>
      </c>
      <c r="E505" t="s">
        <v>44</v>
      </c>
      <c r="F505" t="s">
        <v>15</v>
      </c>
      <c r="G505">
        <v>0.73268497482594996</v>
      </c>
      <c r="H505">
        <v>5.3292575871970498E-2</v>
      </c>
      <c r="I505" t="s">
        <v>14</v>
      </c>
      <c r="J505">
        <v>29.427833318710299</v>
      </c>
    </row>
    <row r="506" spans="1:10" x14ac:dyDescent="0.2">
      <c r="A506" t="s">
        <v>52</v>
      </c>
      <c r="B506" t="s">
        <v>45</v>
      </c>
      <c r="C506" t="s">
        <v>45</v>
      </c>
      <c r="D506">
        <v>1</v>
      </c>
      <c r="E506" t="s">
        <v>41</v>
      </c>
      <c r="F506" t="s">
        <v>13</v>
      </c>
      <c r="G506">
        <v>0.73004154447702796</v>
      </c>
      <c r="H506">
        <v>0</v>
      </c>
      <c r="I506" t="s">
        <v>14</v>
      </c>
      <c r="J506">
        <v>3.8474812507629301</v>
      </c>
    </row>
    <row r="507" spans="1:10" x14ac:dyDescent="0.2">
      <c r="A507" t="s">
        <v>52</v>
      </c>
      <c r="B507" t="s">
        <v>45</v>
      </c>
      <c r="C507" t="s">
        <v>45</v>
      </c>
      <c r="D507">
        <v>1</v>
      </c>
      <c r="E507" t="s">
        <v>41</v>
      </c>
      <c r="F507" t="s">
        <v>15</v>
      </c>
      <c r="G507">
        <v>0.75003143913409098</v>
      </c>
      <c r="H507">
        <v>5.2069514276344001E-2</v>
      </c>
      <c r="I507" t="s">
        <v>14</v>
      </c>
      <c r="J507">
        <v>76.641353845596299</v>
      </c>
    </row>
    <row r="508" spans="1:10" x14ac:dyDescent="0.2">
      <c r="A508" t="s">
        <v>52</v>
      </c>
      <c r="B508" t="s">
        <v>45</v>
      </c>
      <c r="C508" t="s">
        <v>45</v>
      </c>
      <c r="D508">
        <v>2</v>
      </c>
      <c r="E508" t="s">
        <v>42</v>
      </c>
      <c r="F508" t="s">
        <v>13</v>
      </c>
      <c r="G508">
        <v>0.75564993552420701</v>
      </c>
      <c r="H508">
        <v>0</v>
      </c>
      <c r="I508" t="s">
        <v>14</v>
      </c>
      <c r="J508">
        <v>4.71512699127197</v>
      </c>
    </row>
    <row r="509" spans="1:10" x14ac:dyDescent="0.2">
      <c r="A509" t="s">
        <v>52</v>
      </c>
      <c r="B509" t="s">
        <v>45</v>
      </c>
      <c r="C509" t="s">
        <v>45</v>
      </c>
      <c r="D509">
        <v>2</v>
      </c>
      <c r="E509" t="s">
        <v>42</v>
      </c>
      <c r="F509" t="s">
        <v>15</v>
      </c>
      <c r="G509">
        <v>0.75232768159679697</v>
      </c>
      <c r="H509">
        <v>5.6452705294060497E-2</v>
      </c>
      <c r="I509" t="s">
        <v>14</v>
      </c>
      <c r="J509">
        <v>98.570028066635103</v>
      </c>
    </row>
    <row r="510" spans="1:10" x14ac:dyDescent="0.2">
      <c r="A510" t="s">
        <v>52</v>
      </c>
      <c r="B510" t="s">
        <v>45</v>
      </c>
      <c r="C510" t="s">
        <v>45</v>
      </c>
      <c r="D510">
        <v>3</v>
      </c>
      <c r="E510" t="s">
        <v>43</v>
      </c>
      <c r="F510" t="s">
        <v>13</v>
      </c>
      <c r="G510">
        <v>0.73602135815991199</v>
      </c>
      <c r="H510">
        <v>0</v>
      </c>
      <c r="I510" t="s">
        <v>14</v>
      </c>
      <c r="J510">
        <v>5.6075420379638601</v>
      </c>
    </row>
    <row r="511" spans="1:10" x14ac:dyDescent="0.2">
      <c r="A511" t="s">
        <v>52</v>
      </c>
      <c r="B511" t="s">
        <v>45</v>
      </c>
      <c r="C511" t="s">
        <v>45</v>
      </c>
      <c r="D511">
        <v>3</v>
      </c>
      <c r="E511" t="s">
        <v>43</v>
      </c>
      <c r="F511" t="s">
        <v>15</v>
      </c>
      <c r="G511">
        <v>0.74822388507089699</v>
      </c>
      <c r="H511">
        <v>6.3564129978566503E-2</v>
      </c>
      <c r="I511" t="s">
        <v>14</v>
      </c>
      <c r="J511">
        <v>124.894532203674</v>
      </c>
    </row>
    <row r="512" spans="1:10" x14ac:dyDescent="0.2">
      <c r="A512" t="s">
        <v>52</v>
      </c>
      <c r="B512" t="s">
        <v>45</v>
      </c>
      <c r="C512" t="s">
        <v>45</v>
      </c>
      <c r="D512">
        <v>4</v>
      </c>
      <c r="E512" t="s">
        <v>44</v>
      </c>
      <c r="F512" t="s">
        <v>13</v>
      </c>
      <c r="G512">
        <v>0.76933773216031198</v>
      </c>
      <c r="H512">
        <v>0</v>
      </c>
      <c r="I512" t="s">
        <v>14</v>
      </c>
      <c r="J512">
        <v>7.2826049327850297</v>
      </c>
    </row>
    <row r="513" spans="1:10" x14ac:dyDescent="0.2">
      <c r="A513" t="s">
        <v>52</v>
      </c>
      <c r="B513" t="s">
        <v>45</v>
      </c>
      <c r="C513" t="s">
        <v>45</v>
      </c>
      <c r="D513">
        <v>4</v>
      </c>
      <c r="E513" t="s">
        <v>44</v>
      </c>
      <c r="F513" t="s">
        <v>15</v>
      </c>
      <c r="G513">
        <v>0.75143751922449498</v>
      </c>
      <c r="H513">
        <v>5.6957666835546997E-2</v>
      </c>
      <c r="I513" t="s">
        <v>14</v>
      </c>
      <c r="J513">
        <v>159.85038280487001</v>
      </c>
    </row>
    <row r="514" spans="1:10" x14ac:dyDescent="0.2">
      <c r="A514" t="s">
        <v>53</v>
      </c>
      <c r="B514" t="s">
        <v>11</v>
      </c>
      <c r="C514" t="s">
        <v>11</v>
      </c>
      <c r="D514">
        <v>1</v>
      </c>
      <c r="E514" t="s">
        <v>12</v>
      </c>
      <c r="F514" t="s">
        <v>13</v>
      </c>
      <c r="G514">
        <v>0.65599486308058896</v>
      </c>
      <c r="H514">
        <v>0</v>
      </c>
      <c r="I514" t="s">
        <v>14</v>
      </c>
      <c r="J514">
        <v>5.1287174224853502E-2</v>
      </c>
    </row>
    <row r="515" spans="1:10" x14ac:dyDescent="0.2">
      <c r="A515" t="s">
        <v>53</v>
      </c>
      <c r="B515" t="s">
        <v>11</v>
      </c>
      <c r="C515" t="s">
        <v>11</v>
      </c>
      <c r="D515">
        <v>1</v>
      </c>
      <c r="E515" t="s">
        <v>12</v>
      </c>
      <c r="F515" t="s">
        <v>15</v>
      </c>
      <c r="G515">
        <v>0.63575277201006897</v>
      </c>
      <c r="H515">
        <v>5.32916811421692E-2</v>
      </c>
      <c r="I515" t="s">
        <v>14</v>
      </c>
      <c r="J515">
        <v>0.72694993019104004</v>
      </c>
    </row>
    <row r="516" spans="1:10" x14ac:dyDescent="0.2">
      <c r="A516" t="s">
        <v>53</v>
      </c>
      <c r="B516" t="s">
        <v>11</v>
      </c>
      <c r="C516" t="s">
        <v>11</v>
      </c>
      <c r="D516">
        <v>2</v>
      </c>
      <c r="E516" t="s">
        <v>16</v>
      </c>
      <c r="F516" t="s">
        <v>13</v>
      </c>
      <c r="G516">
        <v>0.63625312695434599</v>
      </c>
      <c r="H516">
        <v>0</v>
      </c>
      <c r="I516" t="s">
        <v>14</v>
      </c>
      <c r="J516">
        <v>7.8346014022827107E-2</v>
      </c>
    </row>
    <row r="517" spans="1:10" x14ac:dyDescent="0.2">
      <c r="A517" t="s">
        <v>53</v>
      </c>
      <c r="B517" t="s">
        <v>11</v>
      </c>
      <c r="C517" t="s">
        <v>11</v>
      </c>
      <c r="D517">
        <v>2</v>
      </c>
      <c r="E517" t="s">
        <v>16</v>
      </c>
      <c r="F517" t="s">
        <v>15</v>
      </c>
      <c r="G517">
        <v>0.65955495691890798</v>
      </c>
      <c r="H517">
        <v>5.9355950714574703E-2</v>
      </c>
      <c r="I517" t="s">
        <v>14</v>
      </c>
      <c r="J517">
        <v>1.4585380554199201</v>
      </c>
    </row>
    <row r="518" spans="1:10" x14ac:dyDescent="0.2">
      <c r="A518" t="s">
        <v>53</v>
      </c>
      <c r="B518" t="s">
        <v>11</v>
      </c>
      <c r="C518" t="s">
        <v>11</v>
      </c>
      <c r="D518">
        <v>3</v>
      </c>
      <c r="E518" t="s">
        <v>17</v>
      </c>
      <c r="F518" t="s">
        <v>13</v>
      </c>
      <c r="G518">
        <v>0.66197257383966202</v>
      </c>
      <c r="H518">
        <v>0</v>
      </c>
      <c r="I518" t="s">
        <v>14</v>
      </c>
      <c r="J518">
        <v>0.124754905700683</v>
      </c>
    </row>
    <row r="519" spans="1:10" x14ac:dyDescent="0.2">
      <c r="A519" t="s">
        <v>53</v>
      </c>
      <c r="B519" t="s">
        <v>11</v>
      </c>
      <c r="C519" t="s">
        <v>11</v>
      </c>
      <c r="D519">
        <v>3</v>
      </c>
      <c r="E519" t="s">
        <v>17</v>
      </c>
      <c r="F519" t="s">
        <v>15</v>
      </c>
      <c r="G519">
        <v>0.659327260589053</v>
      </c>
      <c r="H519">
        <v>5.7670537918243697E-2</v>
      </c>
      <c r="I519" t="s">
        <v>14</v>
      </c>
      <c r="J519">
        <v>2.06992316246032</v>
      </c>
    </row>
    <row r="520" spans="1:10" x14ac:dyDescent="0.2">
      <c r="A520" t="s">
        <v>53</v>
      </c>
      <c r="B520" t="s">
        <v>11</v>
      </c>
      <c r="C520" t="s">
        <v>11</v>
      </c>
      <c r="D520">
        <v>4</v>
      </c>
      <c r="E520" t="s">
        <v>18</v>
      </c>
      <c r="F520" t="s">
        <v>13</v>
      </c>
      <c r="G520">
        <v>0.79411267633152205</v>
      </c>
      <c r="H520">
        <v>0</v>
      </c>
      <c r="I520" t="s">
        <v>14</v>
      </c>
      <c r="J520">
        <v>5.7434797286987298E-2</v>
      </c>
    </row>
    <row r="521" spans="1:10" x14ac:dyDescent="0.2">
      <c r="A521" t="s">
        <v>53</v>
      </c>
      <c r="B521" t="s">
        <v>11</v>
      </c>
      <c r="C521" t="s">
        <v>11</v>
      </c>
      <c r="D521">
        <v>4</v>
      </c>
      <c r="E521" t="s">
        <v>18</v>
      </c>
      <c r="F521" t="s">
        <v>15</v>
      </c>
      <c r="G521">
        <v>0.74795256682709799</v>
      </c>
      <c r="H521">
        <v>7.5980074307601203E-2</v>
      </c>
      <c r="I521" t="s">
        <v>14</v>
      </c>
      <c r="J521">
        <v>0.59210085868835405</v>
      </c>
    </row>
    <row r="522" spans="1:10" x14ac:dyDescent="0.2">
      <c r="A522" t="s">
        <v>53</v>
      </c>
      <c r="B522" t="s">
        <v>11</v>
      </c>
      <c r="C522" t="s">
        <v>11</v>
      </c>
      <c r="D522">
        <v>5</v>
      </c>
      <c r="E522" t="s">
        <v>19</v>
      </c>
      <c r="F522" t="s">
        <v>13</v>
      </c>
      <c r="G522">
        <v>0.76944689053266002</v>
      </c>
      <c r="H522">
        <v>0</v>
      </c>
      <c r="I522" t="s">
        <v>14</v>
      </c>
      <c r="J522">
        <v>7.5696945190429604E-2</v>
      </c>
    </row>
    <row r="523" spans="1:10" x14ac:dyDescent="0.2">
      <c r="A523" t="s">
        <v>53</v>
      </c>
      <c r="B523" t="s">
        <v>11</v>
      </c>
      <c r="C523" t="s">
        <v>11</v>
      </c>
      <c r="D523">
        <v>5</v>
      </c>
      <c r="E523" t="s">
        <v>19</v>
      </c>
      <c r="F523" t="s">
        <v>15</v>
      </c>
      <c r="G523">
        <v>0.75522271084972603</v>
      </c>
      <c r="H523">
        <v>7.3132598943361493E-2</v>
      </c>
      <c r="I523" t="s">
        <v>14</v>
      </c>
      <c r="J523">
        <v>0.97729182243347101</v>
      </c>
    </row>
    <row r="524" spans="1:10" x14ac:dyDescent="0.2">
      <c r="A524" t="s">
        <v>53</v>
      </c>
      <c r="B524" t="s">
        <v>11</v>
      </c>
      <c r="C524" t="s">
        <v>11</v>
      </c>
      <c r="D524">
        <v>6</v>
      </c>
      <c r="E524" t="s">
        <v>20</v>
      </c>
      <c r="F524" t="s">
        <v>13</v>
      </c>
      <c r="G524">
        <v>0.788165726817042</v>
      </c>
      <c r="H524">
        <v>0</v>
      </c>
      <c r="I524" t="s">
        <v>14</v>
      </c>
      <c r="J524">
        <v>9.3859672546386705E-2</v>
      </c>
    </row>
    <row r="525" spans="1:10" x14ac:dyDescent="0.2">
      <c r="A525" t="s">
        <v>53</v>
      </c>
      <c r="B525" t="s">
        <v>11</v>
      </c>
      <c r="C525" t="s">
        <v>11</v>
      </c>
      <c r="D525">
        <v>6</v>
      </c>
      <c r="E525" t="s">
        <v>20</v>
      </c>
      <c r="F525" t="s">
        <v>15</v>
      </c>
      <c r="G525">
        <v>0.76168051531523895</v>
      </c>
      <c r="H525">
        <v>4.4019188198059798E-2</v>
      </c>
      <c r="I525" t="s">
        <v>14</v>
      </c>
      <c r="J525">
        <v>1.3428587913513099</v>
      </c>
    </row>
    <row r="526" spans="1:10" x14ac:dyDescent="0.2">
      <c r="A526" t="s">
        <v>53</v>
      </c>
      <c r="B526" t="s">
        <v>11</v>
      </c>
      <c r="C526" t="s">
        <v>11</v>
      </c>
      <c r="D526">
        <v>7</v>
      </c>
      <c r="E526" t="s">
        <v>21</v>
      </c>
      <c r="F526" t="s">
        <v>13</v>
      </c>
      <c r="G526">
        <v>0.73807864903164799</v>
      </c>
      <c r="H526">
        <v>0</v>
      </c>
      <c r="I526" t="s">
        <v>14</v>
      </c>
      <c r="J526">
        <v>3.8248777389526298E-2</v>
      </c>
    </row>
    <row r="527" spans="1:10" x14ac:dyDescent="0.2">
      <c r="A527" t="s">
        <v>53</v>
      </c>
      <c r="B527" t="s">
        <v>11</v>
      </c>
      <c r="C527" t="s">
        <v>11</v>
      </c>
      <c r="D527">
        <v>7</v>
      </c>
      <c r="E527" t="s">
        <v>21</v>
      </c>
      <c r="F527" t="s">
        <v>15</v>
      </c>
      <c r="G527">
        <v>0.70483059714276197</v>
      </c>
      <c r="H527">
        <v>4.9930623094922702E-2</v>
      </c>
      <c r="I527" t="s">
        <v>14</v>
      </c>
      <c r="J527">
        <v>0.45250177383422802</v>
      </c>
    </row>
    <row r="528" spans="1:10" x14ac:dyDescent="0.2">
      <c r="A528" t="s">
        <v>53</v>
      </c>
      <c r="B528" t="s">
        <v>11</v>
      </c>
      <c r="C528" t="s">
        <v>11</v>
      </c>
      <c r="D528">
        <v>8</v>
      </c>
      <c r="E528" t="s">
        <v>22</v>
      </c>
      <c r="F528" t="s">
        <v>13</v>
      </c>
      <c r="G528">
        <v>0.73807864903164799</v>
      </c>
      <c r="H528">
        <v>0</v>
      </c>
      <c r="I528" t="s">
        <v>14</v>
      </c>
      <c r="J528">
        <v>5.3011894226074198E-2</v>
      </c>
    </row>
    <row r="529" spans="1:10" x14ac:dyDescent="0.2">
      <c r="A529" t="s">
        <v>53</v>
      </c>
      <c r="B529" t="s">
        <v>11</v>
      </c>
      <c r="C529" t="s">
        <v>11</v>
      </c>
      <c r="D529">
        <v>8</v>
      </c>
      <c r="E529" t="s">
        <v>22</v>
      </c>
      <c r="F529" t="s">
        <v>15</v>
      </c>
      <c r="G529">
        <v>0.70876903840827299</v>
      </c>
      <c r="H529">
        <v>5.1287361617793702E-2</v>
      </c>
      <c r="I529" t="s">
        <v>14</v>
      </c>
      <c r="J529">
        <v>0.69596695899963301</v>
      </c>
    </row>
    <row r="530" spans="1:10" x14ac:dyDescent="0.2">
      <c r="A530" t="s">
        <v>53</v>
      </c>
      <c r="B530" t="s">
        <v>11</v>
      </c>
      <c r="C530" t="s">
        <v>11</v>
      </c>
      <c r="D530">
        <v>9</v>
      </c>
      <c r="E530" t="s">
        <v>23</v>
      </c>
      <c r="F530" t="s">
        <v>13</v>
      </c>
      <c r="G530">
        <v>0.74392210896448197</v>
      </c>
      <c r="H530">
        <v>0</v>
      </c>
      <c r="I530" t="s">
        <v>14</v>
      </c>
      <c r="J530">
        <v>5.6380033493041902E-2</v>
      </c>
    </row>
    <row r="531" spans="1:10" x14ac:dyDescent="0.2">
      <c r="A531" t="s">
        <v>53</v>
      </c>
      <c r="B531" t="s">
        <v>11</v>
      </c>
      <c r="C531" t="s">
        <v>11</v>
      </c>
      <c r="D531">
        <v>9</v>
      </c>
      <c r="E531" t="s">
        <v>23</v>
      </c>
      <c r="F531" t="s">
        <v>15</v>
      </c>
      <c r="G531">
        <v>0.706470901890491</v>
      </c>
      <c r="H531">
        <v>5.0080489574756797E-2</v>
      </c>
      <c r="I531" t="s">
        <v>14</v>
      </c>
      <c r="J531">
        <v>0.92824864387512196</v>
      </c>
    </row>
    <row r="532" spans="1:10" x14ac:dyDescent="0.2">
      <c r="A532" t="s">
        <v>53</v>
      </c>
      <c r="B532" t="s">
        <v>11</v>
      </c>
      <c r="C532" t="s">
        <v>11</v>
      </c>
      <c r="D532">
        <v>10</v>
      </c>
      <c r="E532" t="s">
        <v>24</v>
      </c>
      <c r="F532" t="s">
        <v>13</v>
      </c>
      <c r="G532">
        <v>0.78796843016847695</v>
      </c>
      <c r="H532">
        <v>0</v>
      </c>
      <c r="I532" t="s">
        <v>14</v>
      </c>
      <c r="J532">
        <v>3.86933994293212</v>
      </c>
    </row>
    <row r="533" spans="1:10" x14ac:dyDescent="0.2">
      <c r="A533" t="s">
        <v>53</v>
      </c>
      <c r="B533" t="s">
        <v>11</v>
      </c>
      <c r="C533" t="s">
        <v>11</v>
      </c>
      <c r="D533">
        <v>10</v>
      </c>
      <c r="E533" t="s">
        <v>24</v>
      </c>
      <c r="F533" t="s">
        <v>15</v>
      </c>
      <c r="G533">
        <v>0.73930595688105205</v>
      </c>
      <c r="H533">
        <v>6.4533060045219595E-2</v>
      </c>
      <c r="I533" t="s">
        <v>14</v>
      </c>
      <c r="J533">
        <v>84.866808176040607</v>
      </c>
    </row>
    <row r="534" spans="1:10" x14ac:dyDescent="0.2">
      <c r="A534" t="s">
        <v>53</v>
      </c>
      <c r="B534" t="s">
        <v>11</v>
      </c>
      <c r="C534" t="s">
        <v>11</v>
      </c>
      <c r="D534">
        <v>11</v>
      </c>
      <c r="E534" t="s">
        <v>25</v>
      </c>
      <c r="F534" t="s">
        <v>13</v>
      </c>
      <c r="G534">
        <v>0.75070411516194602</v>
      </c>
      <c r="H534">
        <v>0</v>
      </c>
      <c r="I534" t="s">
        <v>14</v>
      </c>
      <c r="J534">
        <v>7.8560309410095197</v>
      </c>
    </row>
    <row r="535" spans="1:10" x14ac:dyDescent="0.2">
      <c r="A535" t="s">
        <v>53</v>
      </c>
      <c r="B535" t="s">
        <v>11</v>
      </c>
      <c r="C535" t="s">
        <v>11</v>
      </c>
      <c r="D535">
        <v>11</v>
      </c>
      <c r="E535" t="s">
        <v>25</v>
      </c>
      <c r="F535" t="s">
        <v>15</v>
      </c>
      <c r="G535">
        <v>0.73311808501573095</v>
      </c>
      <c r="H535">
        <v>6.4718647658728298E-2</v>
      </c>
      <c r="I535" t="s">
        <v>14</v>
      </c>
      <c r="J535">
        <v>170.160725116729</v>
      </c>
    </row>
    <row r="536" spans="1:10" x14ac:dyDescent="0.2">
      <c r="A536" t="s">
        <v>53</v>
      </c>
      <c r="B536" t="s">
        <v>11</v>
      </c>
      <c r="C536" t="s">
        <v>11</v>
      </c>
      <c r="D536">
        <v>12</v>
      </c>
      <c r="E536" t="s">
        <v>26</v>
      </c>
      <c r="F536" t="s">
        <v>13</v>
      </c>
      <c r="G536">
        <v>0.79411576354679703</v>
      </c>
      <c r="H536">
        <v>0</v>
      </c>
      <c r="I536" t="s">
        <v>14</v>
      </c>
      <c r="J536">
        <v>11.3682122230529</v>
      </c>
    </row>
    <row r="537" spans="1:10" x14ac:dyDescent="0.2">
      <c r="A537" t="s">
        <v>53</v>
      </c>
      <c r="B537" t="s">
        <v>11</v>
      </c>
      <c r="C537" t="s">
        <v>11</v>
      </c>
      <c r="D537">
        <v>12</v>
      </c>
      <c r="E537" t="s">
        <v>26</v>
      </c>
      <c r="F537" t="s">
        <v>15</v>
      </c>
      <c r="G537">
        <v>0.73325384593602405</v>
      </c>
      <c r="H537">
        <v>5.4445630699900799E-2</v>
      </c>
      <c r="I537" t="s">
        <v>14</v>
      </c>
      <c r="J537">
        <v>284.41003108024597</v>
      </c>
    </row>
    <row r="538" spans="1:10" x14ac:dyDescent="0.2">
      <c r="A538" t="s">
        <v>53</v>
      </c>
      <c r="B538" t="s">
        <v>27</v>
      </c>
      <c r="C538" t="s">
        <v>27</v>
      </c>
      <c r="D538">
        <v>1</v>
      </c>
      <c r="E538" t="s">
        <v>28</v>
      </c>
      <c r="F538" t="s">
        <v>13</v>
      </c>
      <c r="G538">
        <v>0.75031254883575504</v>
      </c>
      <c r="H538">
        <v>0</v>
      </c>
      <c r="I538" t="s">
        <v>14</v>
      </c>
      <c r="J538">
        <v>9.0173006057739202E-2</v>
      </c>
    </row>
    <row r="539" spans="1:10" x14ac:dyDescent="0.2">
      <c r="A539" t="s">
        <v>53</v>
      </c>
      <c r="B539" t="s">
        <v>27</v>
      </c>
      <c r="C539" t="s">
        <v>27</v>
      </c>
      <c r="D539">
        <v>1</v>
      </c>
      <c r="E539" t="s">
        <v>28</v>
      </c>
      <c r="F539" t="s">
        <v>15</v>
      </c>
      <c r="G539">
        <v>0.73696801682675805</v>
      </c>
      <c r="H539">
        <v>5.8526338706033097E-2</v>
      </c>
      <c r="I539" t="s">
        <v>14</v>
      </c>
      <c r="J539">
        <v>1.6721889972686701</v>
      </c>
    </row>
    <row r="540" spans="1:10" x14ac:dyDescent="0.2">
      <c r="A540" t="s">
        <v>53</v>
      </c>
      <c r="B540" t="s">
        <v>27</v>
      </c>
      <c r="C540" t="s">
        <v>27</v>
      </c>
      <c r="D540">
        <v>2</v>
      </c>
      <c r="E540" t="s">
        <v>29</v>
      </c>
      <c r="F540" t="s">
        <v>13</v>
      </c>
      <c r="G540">
        <v>0.72405409631019302</v>
      </c>
      <c r="H540">
        <v>0</v>
      </c>
      <c r="I540" t="s">
        <v>14</v>
      </c>
      <c r="J540">
        <v>9.9433898925781194E-2</v>
      </c>
    </row>
    <row r="541" spans="1:10" x14ac:dyDescent="0.2">
      <c r="A541" t="s">
        <v>53</v>
      </c>
      <c r="B541" t="s">
        <v>27</v>
      </c>
      <c r="C541" t="s">
        <v>27</v>
      </c>
      <c r="D541">
        <v>2</v>
      </c>
      <c r="E541" t="s">
        <v>29</v>
      </c>
      <c r="F541" t="s">
        <v>15</v>
      </c>
      <c r="G541">
        <v>0.73662415971785999</v>
      </c>
      <c r="H541">
        <v>5.5035003976433503E-2</v>
      </c>
      <c r="I541" t="s">
        <v>14</v>
      </c>
      <c r="J541">
        <v>1.6793637275695801</v>
      </c>
    </row>
    <row r="542" spans="1:10" x14ac:dyDescent="0.2">
      <c r="A542" t="s">
        <v>53</v>
      </c>
      <c r="B542" t="s">
        <v>27</v>
      </c>
      <c r="C542" t="s">
        <v>27</v>
      </c>
      <c r="D542">
        <v>3</v>
      </c>
      <c r="E542" t="s">
        <v>30</v>
      </c>
      <c r="F542" t="s">
        <v>13</v>
      </c>
      <c r="G542">
        <v>0.76249999999999996</v>
      </c>
      <c r="H542">
        <v>0</v>
      </c>
      <c r="I542" t="s">
        <v>14</v>
      </c>
      <c r="J542">
        <v>0.10009217262268</v>
      </c>
    </row>
    <row r="543" spans="1:10" x14ac:dyDescent="0.2">
      <c r="A543" t="s">
        <v>53</v>
      </c>
      <c r="B543" t="s">
        <v>27</v>
      </c>
      <c r="C543" t="s">
        <v>27</v>
      </c>
      <c r="D543">
        <v>3</v>
      </c>
      <c r="E543" t="s">
        <v>30</v>
      </c>
      <c r="F543" t="s">
        <v>15</v>
      </c>
      <c r="G543">
        <v>0.74787151362057602</v>
      </c>
      <c r="H543">
        <v>5.6516168387085702E-2</v>
      </c>
      <c r="I543" t="s">
        <v>14</v>
      </c>
      <c r="J543">
        <v>1.7037491798400799</v>
      </c>
    </row>
    <row r="544" spans="1:10" x14ac:dyDescent="0.2">
      <c r="A544" t="s">
        <v>53</v>
      </c>
      <c r="B544" t="s">
        <v>27</v>
      </c>
      <c r="C544" t="s">
        <v>27</v>
      </c>
      <c r="D544">
        <v>4</v>
      </c>
      <c r="E544" t="s">
        <v>31</v>
      </c>
      <c r="F544" t="s">
        <v>13</v>
      </c>
      <c r="G544">
        <v>0.77549249530956799</v>
      </c>
      <c r="H544">
        <v>0</v>
      </c>
      <c r="I544" t="s">
        <v>14</v>
      </c>
      <c r="J544">
        <v>9.2067241668701102E-2</v>
      </c>
    </row>
    <row r="545" spans="1:10" x14ac:dyDescent="0.2">
      <c r="A545" t="s">
        <v>53</v>
      </c>
      <c r="B545" t="s">
        <v>27</v>
      </c>
      <c r="C545" t="s">
        <v>27</v>
      </c>
      <c r="D545">
        <v>4</v>
      </c>
      <c r="E545" t="s">
        <v>31</v>
      </c>
      <c r="F545" t="s">
        <v>15</v>
      </c>
      <c r="G545">
        <v>0.73702057352273997</v>
      </c>
      <c r="H545">
        <v>5.6380205465813599E-2</v>
      </c>
      <c r="I545" t="s">
        <v>14</v>
      </c>
      <c r="J545">
        <v>1.65982890129089</v>
      </c>
    </row>
    <row r="546" spans="1:10" x14ac:dyDescent="0.2">
      <c r="A546" t="s">
        <v>53</v>
      </c>
      <c r="B546" t="s">
        <v>27</v>
      </c>
      <c r="C546" t="s">
        <v>27</v>
      </c>
      <c r="D546">
        <v>5</v>
      </c>
      <c r="E546" t="s">
        <v>32</v>
      </c>
      <c r="F546" t="s">
        <v>13</v>
      </c>
      <c r="G546">
        <v>0.78796513445903604</v>
      </c>
      <c r="H546">
        <v>0</v>
      </c>
      <c r="I546" t="s">
        <v>14</v>
      </c>
      <c r="J546">
        <v>9.1492176055908203E-2</v>
      </c>
    </row>
    <row r="547" spans="1:10" x14ac:dyDescent="0.2">
      <c r="A547" t="s">
        <v>53</v>
      </c>
      <c r="B547" t="s">
        <v>27</v>
      </c>
      <c r="C547" t="s">
        <v>27</v>
      </c>
      <c r="D547">
        <v>5</v>
      </c>
      <c r="E547" t="s">
        <v>32</v>
      </c>
      <c r="F547" t="s">
        <v>15</v>
      </c>
      <c r="G547">
        <v>0.75437748968784402</v>
      </c>
      <c r="H547">
        <v>5.9821189045745599E-2</v>
      </c>
      <c r="I547" t="s">
        <v>14</v>
      </c>
      <c r="J547">
        <v>1.68425393104553</v>
      </c>
    </row>
    <row r="548" spans="1:10" x14ac:dyDescent="0.2">
      <c r="A548" t="s">
        <v>53</v>
      </c>
      <c r="B548" t="s">
        <v>27</v>
      </c>
      <c r="C548" t="s">
        <v>27</v>
      </c>
      <c r="D548">
        <v>6</v>
      </c>
      <c r="E548" t="s">
        <v>33</v>
      </c>
      <c r="F548" t="s">
        <v>13</v>
      </c>
      <c r="G548">
        <v>0.75641187155748202</v>
      </c>
      <c r="H548">
        <v>0</v>
      </c>
      <c r="I548" t="s">
        <v>14</v>
      </c>
      <c r="J548">
        <v>9.3258142471313393E-2</v>
      </c>
    </row>
    <row r="549" spans="1:10" x14ac:dyDescent="0.2">
      <c r="A549" t="s">
        <v>53</v>
      </c>
      <c r="B549" t="s">
        <v>27</v>
      </c>
      <c r="C549" t="s">
        <v>27</v>
      </c>
      <c r="D549">
        <v>6</v>
      </c>
      <c r="E549" t="s">
        <v>33</v>
      </c>
      <c r="F549" t="s">
        <v>15</v>
      </c>
      <c r="G549">
        <v>0.751559319839462</v>
      </c>
      <c r="H549">
        <v>5.90753898748069E-2</v>
      </c>
      <c r="I549" t="s">
        <v>14</v>
      </c>
      <c r="J549">
        <v>1.74086213111877</v>
      </c>
    </row>
    <row r="550" spans="1:10" x14ac:dyDescent="0.2">
      <c r="A550" t="s">
        <v>53</v>
      </c>
      <c r="B550" t="s">
        <v>27</v>
      </c>
      <c r="C550" t="s">
        <v>27</v>
      </c>
      <c r="D550">
        <v>7</v>
      </c>
      <c r="E550" t="s">
        <v>34</v>
      </c>
      <c r="F550" t="s">
        <v>13</v>
      </c>
      <c r="G550">
        <v>0.78190922077413805</v>
      </c>
      <c r="H550">
        <v>0</v>
      </c>
      <c r="I550" t="s">
        <v>14</v>
      </c>
      <c r="J550">
        <v>0.102297067642211</v>
      </c>
    </row>
    <row r="551" spans="1:10" x14ac:dyDescent="0.2">
      <c r="A551" t="s">
        <v>53</v>
      </c>
      <c r="B551" t="s">
        <v>27</v>
      </c>
      <c r="C551" t="s">
        <v>27</v>
      </c>
      <c r="D551">
        <v>7</v>
      </c>
      <c r="E551" t="s">
        <v>34</v>
      </c>
      <c r="F551" t="s">
        <v>15</v>
      </c>
      <c r="G551">
        <v>0.76047195021466596</v>
      </c>
      <c r="H551">
        <v>7.4906964607131199E-2</v>
      </c>
      <c r="I551" t="s">
        <v>14</v>
      </c>
      <c r="J551">
        <v>1.6782741546630799</v>
      </c>
    </row>
    <row r="552" spans="1:10" x14ac:dyDescent="0.2">
      <c r="A552" t="s">
        <v>53</v>
      </c>
      <c r="B552" t="s">
        <v>27</v>
      </c>
      <c r="C552" t="s">
        <v>27</v>
      </c>
      <c r="D552">
        <v>8</v>
      </c>
      <c r="E552" t="s">
        <v>35</v>
      </c>
      <c r="F552" t="s">
        <v>13</v>
      </c>
      <c r="G552">
        <v>0.813088235294117</v>
      </c>
      <c r="H552">
        <v>0</v>
      </c>
      <c r="I552" t="s">
        <v>14</v>
      </c>
      <c r="J552">
        <v>9.1415166854858398E-2</v>
      </c>
    </row>
    <row r="553" spans="1:10" x14ac:dyDescent="0.2">
      <c r="A553" t="s">
        <v>53</v>
      </c>
      <c r="B553" t="s">
        <v>27</v>
      </c>
      <c r="C553" t="s">
        <v>27</v>
      </c>
      <c r="D553">
        <v>8</v>
      </c>
      <c r="E553" t="s">
        <v>35</v>
      </c>
      <c r="F553" t="s">
        <v>15</v>
      </c>
      <c r="G553">
        <v>0.75660944111144102</v>
      </c>
      <c r="H553">
        <v>6.0614287807657298E-2</v>
      </c>
      <c r="I553" t="s">
        <v>14</v>
      </c>
      <c r="J553">
        <v>1.7174336910247801</v>
      </c>
    </row>
    <row r="554" spans="1:10" x14ac:dyDescent="0.2">
      <c r="A554" t="s">
        <v>53</v>
      </c>
      <c r="B554" t="s">
        <v>27</v>
      </c>
      <c r="C554" t="s">
        <v>27</v>
      </c>
      <c r="D554">
        <v>9</v>
      </c>
      <c r="E554" t="s">
        <v>36</v>
      </c>
      <c r="F554" t="s">
        <v>13</v>
      </c>
      <c r="G554">
        <v>0.76915663709897997</v>
      </c>
      <c r="H554">
        <v>0</v>
      </c>
      <c r="I554" t="s">
        <v>14</v>
      </c>
      <c r="J554">
        <v>9.3884944915771401E-2</v>
      </c>
    </row>
    <row r="555" spans="1:10" x14ac:dyDescent="0.2">
      <c r="A555" t="s">
        <v>53</v>
      </c>
      <c r="B555" t="s">
        <v>27</v>
      </c>
      <c r="C555" t="s">
        <v>27</v>
      </c>
      <c r="D555">
        <v>9</v>
      </c>
      <c r="E555" t="s">
        <v>36</v>
      </c>
      <c r="F555" t="s">
        <v>15</v>
      </c>
      <c r="G555">
        <v>0.74907115072000796</v>
      </c>
      <c r="H555">
        <v>5.9819457984771798E-2</v>
      </c>
      <c r="I555" t="s">
        <v>14</v>
      </c>
      <c r="J555">
        <v>1.6785259246826101</v>
      </c>
    </row>
    <row r="556" spans="1:10" x14ac:dyDescent="0.2">
      <c r="A556" t="s">
        <v>53</v>
      </c>
      <c r="B556" t="s">
        <v>27</v>
      </c>
      <c r="C556" t="s">
        <v>27</v>
      </c>
      <c r="D556">
        <v>10</v>
      </c>
      <c r="E556" t="s">
        <v>37</v>
      </c>
      <c r="F556" t="s">
        <v>13</v>
      </c>
      <c r="G556">
        <v>0.78190922077413805</v>
      </c>
      <c r="H556">
        <v>0</v>
      </c>
      <c r="I556" t="s">
        <v>14</v>
      </c>
      <c r="J556">
        <v>9.4269275665283203E-2</v>
      </c>
    </row>
    <row r="557" spans="1:10" x14ac:dyDescent="0.2">
      <c r="A557" t="s">
        <v>53</v>
      </c>
      <c r="B557" t="s">
        <v>27</v>
      </c>
      <c r="C557" t="s">
        <v>27</v>
      </c>
      <c r="D557">
        <v>10</v>
      </c>
      <c r="E557" t="s">
        <v>37</v>
      </c>
      <c r="F557" t="s">
        <v>15</v>
      </c>
      <c r="G557">
        <v>0.75295153666304004</v>
      </c>
      <c r="H557">
        <v>6.3219354329022301E-2</v>
      </c>
      <c r="I557" t="s">
        <v>14</v>
      </c>
      <c r="J557">
        <v>1.6806378364562899</v>
      </c>
    </row>
    <row r="558" spans="1:10" x14ac:dyDescent="0.2">
      <c r="A558" t="s">
        <v>53</v>
      </c>
      <c r="B558" t="s">
        <v>27</v>
      </c>
      <c r="C558" t="s">
        <v>27</v>
      </c>
      <c r="D558">
        <v>11</v>
      </c>
      <c r="E558" t="s">
        <v>38</v>
      </c>
      <c r="F558" t="s">
        <v>13</v>
      </c>
      <c r="G558">
        <v>0.78190922077413805</v>
      </c>
      <c r="H558">
        <v>0</v>
      </c>
      <c r="I558" t="s">
        <v>14</v>
      </c>
      <c r="J558">
        <v>9.62851047515869E-2</v>
      </c>
    </row>
    <row r="559" spans="1:10" x14ac:dyDescent="0.2">
      <c r="A559" t="s">
        <v>53</v>
      </c>
      <c r="B559" t="s">
        <v>27</v>
      </c>
      <c r="C559" t="s">
        <v>27</v>
      </c>
      <c r="D559">
        <v>11</v>
      </c>
      <c r="E559" t="s">
        <v>38</v>
      </c>
      <c r="F559" t="s">
        <v>15</v>
      </c>
      <c r="G559">
        <v>0.76050831099023097</v>
      </c>
      <c r="H559">
        <v>6.2355322859933303E-2</v>
      </c>
      <c r="I559" t="s">
        <v>14</v>
      </c>
      <c r="J559">
        <v>1.7066011428832999</v>
      </c>
    </row>
    <row r="560" spans="1:10" x14ac:dyDescent="0.2">
      <c r="A560" t="s">
        <v>53</v>
      </c>
      <c r="B560" t="s">
        <v>27</v>
      </c>
      <c r="C560" t="s">
        <v>27</v>
      </c>
      <c r="D560">
        <v>12</v>
      </c>
      <c r="E560" t="s">
        <v>39</v>
      </c>
      <c r="F560" t="s">
        <v>13</v>
      </c>
      <c r="G560">
        <v>0.78163465671525101</v>
      </c>
      <c r="H560">
        <v>0</v>
      </c>
      <c r="I560" t="s">
        <v>14</v>
      </c>
      <c r="J560">
        <v>9.4431161880493095E-2</v>
      </c>
    </row>
    <row r="561" spans="1:10" x14ac:dyDescent="0.2">
      <c r="A561" t="s">
        <v>53</v>
      </c>
      <c r="B561" t="s">
        <v>27</v>
      </c>
      <c r="C561" t="s">
        <v>27</v>
      </c>
      <c r="D561">
        <v>12</v>
      </c>
      <c r="E561" t="s">
        <v>39</v>
      </c>
      <c r="F561" t="s">
        <v>15</v>
      </c>
      <c r="G561">
        <v>0.74786385257638699</v>
      </c>
      <c r="H561">
        <v>6.3470172003168304E-2</v>
      </c>
      <c r="I561" t="s">
        <v>14</v>
      </c>
      <c r="J561">
        <v>1.7480871677398599</v>
      </c>
    </row>
    <row r="562" spans="1:10" x14ac:dyDescent="0.2">
      <c r="A562" t="s">
        <v>53</v>
      </c>
      <c r="B562" t="s">
        <v>40</v>
      </c>
      <c r="C562" t="s">
        <v>40</v>
      </c>
      <c r="D562">
        <v>1</v>
      </c>
      <c r="E562" t="s">
        <v>41</v>
      </c>
      <c r="F562" t="s">
        <v>13</v>
      </c>
      <c r="G562">
        <v>0.67821476155021698</v>
      </c>
      <c r="H562">
        <v>0</v>
      </c>
      <c r="I562" t="s">
        <v>14</v>
      </c>
      <c r="J562">
        <v>0.36090803146362299</v>
      </c>
    </row>
    <row r="563" spans="1:10" x14ac:dyDescent="0.2">
      <c r="A563" t="s">
        <v>53</v>
      </c>
      <c r="B563" t="s">
        <v>40</v>
      </c>
      <c r="C563" t="s">
        <v>40</v>
      </c>
      <c r="D563">
        <v>1</v>
      </c>
      <c r="E563" t="s">
        <v>41</v>
      </c>
      <c r="F563" t="s">
        <v>15</v>
      </c>
      <c r="G563">
        <v>0.73653992868142404</v>
      </c>
      <c r="H563">
        <v>6.1634903236926997E-2</v>
      </c>
      <c r="I563" t="s">
        <v>14</v>
      </c>
      <c r="J563">
        <v>17.876583099365199</v>
      </c>
    </row>
    <row r="564" spans="1:10" x14ac:dyDescent="0.2">
      <c r="A564" t="s">
        <v>53</v>
      </c>
      <c r="B564" t="s">
        <v>40</v>
      </c>
      <c r="C564" t="s">
        <v>40</v>
      </c>
      <c r="D564">
        <v>2</v>
      </c>
      <c r="E564" t="s">
        <v>42</v>
      </c>
      <c r="F564" t="s">
        <v>13</v>
      </c>
      <c r="G564">
        <v>0.70492913000977497</v>
      </c>
      <c r="H564">
        <v>0</v>
      </c>
      <c r="I564" t="s">
        <v>14</v>
      </c>
      <c r="J564">
        <v>0.56942009925842196</v>
      </c>
    </row>
    <row r="565" spans="1:10" x14ac:dyDescent="0.2">
      <c r="A565" t="s">
        <v>53</v>
      </c>
      <c r="B565" t="s">
        <v>40</v>
      </c>
      <c r="C565" t="s">
        <v>40</v>
      </c>
      <c r="D565">
        <v>2</v>
      </c>
      <c r="E565" t="s">
        <v>42</v>
      </c>
      <c r="F565" t="s">
        <v>15</v>
      </c>
      <c r="G565">
        <v>0.74185305985454897</v>
      </c>
      <c r="H565">
        <v>6.1351418211344599E-2</v>
      </c>
      <c r="I565" t="s">
        <v>14</v>
      </c>
      <c r="J565">
        <v>21.3935580253601</v>
      </c>
    </row>
    <row r="566" spans="1:10" x14ac:dyDescent="0.2">
      <c r="A566" t="s">
        <v>53</v>
      </c>
      <c r="B566" t="s">
        <v>40</v>
      </c>
      <c r="C566" t="s">
        <v>40</v>
      </c>
      <c r="D566">
        <v>3</v>
      </c>
      <c r="E566" t="s">
        <v>43</v>
      </c>
      <c r="F566" t="s">
        <v>13</v>
      </c>
      <c r="G566">
        <v>0.71250000000000002</v>
      </c>
      <c r="H566">
        <v>0</v>
      </c>
      <c r="I566" t="s">
        <v>14</v>
      </c>
      <c r="J566">
        <v>0.830336093902587</v>
      </c>
    </row>
    <row r="567" spans="1:10" x14ac:dyDescent="0.2">
      <c r="A567" t="s">
        <v>53</v>
      </c>
      <c r="B567" t="s">
        <v>40</v>
      </c>
      <c r="C567" t="s">
        <v>40</v>
      </c>
      <c r="D567">
        <v>3</v>
      </c>
      <c r="E567" t="s">
        <v>43</v>
      </c>
      <c r="F567" t="s">
        <v>15</v>
      </c>
      <c r="G567">
        <v>0.74050604728935399</v>
      </c>
      <c r="H567">
        <v>6.0197665487601297E-2</v>
      </c>
      <c r="I567" t="s">
        <v>14</v>
      </c>
      <c r="J567">
        <v>27.1019027233123</v>
      </c>
    </row>
    <row r="568" spans="1:10" x14ac:dyDescent="0.2">
      <c r="A568" t="s">
        <v>53</v>
      </c>
      <c r="B568" t="s">
        <v>40</v>
      </c>
      <c r="C568" t="s">
        <v>40</v>
      </c>
      <c r="D568">
        <v>4</v>
      </c>
      <c r="E568" t="s">
        <v>44</v>
      </c>
      <c r="F568" t="s">
        <v>13</v>
      </c>
      <c r="G568">
        <v>0.72534380371933105</v>
      </c>
      <c r="H568">
        <v>0</v>
      </c>
      <c r="I568" t="s">
        <v>14</v>
      </c>
      <c r="J568">
        <v>1.07016801834106</v>
      </c>
    </row>
    <row r="569" spans="1:10" x14ac:dyDescent="0.2">
      <c r="A569" t="s">
        <v>53</v>
      </c>
      <c r="B569" t="s">
        <v>40</v>
      </c>
      <c r="C569" t="s">
        <v>40</v>
      </c>
      <c r="D569">
        <v>4</v>
      </c>
      <c r="E569" t="s">
        <v>44</v>
      </c>
      <c r="F569" t="s">
        <v>15</v>
      </c>
      <c r="G569">
        <v>0.73793704190294496</v>
      </c>
      <c r="H569">
        <v>6.2220506682268702E-2</v>
      </c>
      <c r="I569" t="s">
        <v>14</v>
      </c>
      <c r="J569">
        <v>35.302088022231999</v>
      </c>
    </row>
    <row r="570" spans="1:10" x14ac:dyDescent="0.2">
      <c r="A570" t="s">
        <v>53</v>
      </c>
      <c r="B570" t="s">
        <v>45</v>
      </c>
      <c r="C570" t="s">
        <v>45</v>
      </c>
      <c r="D570">
        <v>1</v>
      </c>
      <c r="E570" t="s">
        <v>41</v>
      </c>
      <c r="F570" t="s">
        <v>13</v>
      </c>
      <c r="G570">
        <v>0.73782817627754305</v>
      </c>
      <c r="H570">
        <v>0</v>
      </c>
      <c r="I570" t="s">
        <v>14</v>
      </c>
      <c r="J570">
        <v>4.7672030925750697</v>
      </c>
    </row>
    <row r="571" spans="1:10" x14ac:dyDescent="0.2">
      <c r="A571" t="s">
        <v>53</v>
      </c>
      <c r="B571" t="s">
        <v>45</v>
      </c>
      <c r="C571" t="s">
        <v>45</v>
      </c>
      <c r="D571">
        <v>1</v>
      </c>
      <c r="E571" t="s">
        <v>41</v>
      </c>
      <c r="F571" t="s">
        <v>15</v>
      </c>
      <c r="G571">
        <v>0.738763478471677</v>
      </c>
      <c r="H571">
        <v>5.8566985906041001E-2</v>
      </c>
      <c r="I571" t="s">
        <v>14</v>
      </c>
      <c r="J571">
        <v>94.405178070068303</v>
      </c>
    </row>
    <row r="572" spans="1:10" x14ac:dyDescent="0.2">
      <c r="A572" t="s">
        <v>53</v>
      </c>
      <c r="B572" t="s">
        <v>45</v>
      </c>
      <c r="C572" t="s">
        <v>45</v>
      </c>
      <c r="D572">
        <v>2</v>
      </c>
      <c r="E572" t="s">
        <v>42</v>
      </c>
      <c r="F572" t="s">
        <v>13</v>
      </c>
      <c r="G572">
        <v>0.78139692228675195</v>
      </c>
      <c r="H572">
        <v>0</v>
      </c>
      <c r="I572" t="s">
        <v>14</v>
      </c>
      <c r="J572">
        <v>5.6767838001251203</v>
      </c>
    </row>
    <row r="573" spans="1:10" x14ac:dyDescent="0.2">
      <c r="A573" t="s">
        <v>53</v>
      </c>
      <c r="B573" t="s">
        <v>45</v>
      </c>
      <c r="C573" t="s">
        <v>45</v>
      </c>
      <c r="D573">
        <v>2</v>
      </c>
      <c r="E573" t="s">
        <v>42</v>
      </c>
      <c r="F573" t="s">
        <v>15</v>
      </c>
      <c r="G573">
        <v>0.73322389719007297</v>
      </c>
      <c r="H573">
        <v>6.7171722030475806E-2</v>
      </c>
      <c r="I573" t="s">
        <v>14</v>
      </c>
      <c r="J573">
        <v>120.732791900634</v>
      </c>
    </row>
    <row r="574" spans="1:10" x14ac:dyDescent="0.2">
      <c r="A574" t="s">
        <v>53</v>
      </c>
      <c r="B574" t="s">
        <v>45</v>
      </c>
      <c r="C574" t="s">
        <v>45</v>
      </c>
      <c r="D574">
        <v>3</v>
      </c>
      <c r="E574" t="s">
        <v>43</v>
      </c>
      <c r="F574" t="s">
        <v>13</v>
      </c>
      <c r="G574">
        <v>0.75054721701063098</v>
      </c>
      <c r="H574">
        <v>0</v>
      </c>
      <c r="I574" t="s">
        <v>14</v>
      </c>
      <c r="J574">
        <v>5.7520101070403999</v>
      </c>
    </row>
    <row r="575" spans="1:10" x14ac:dyDescent="0.2">
      <c r="A575" t="s">
        <v>53</v>
      </c>
      <c r="B575" t="s">
        <v>45</v>
      </c>
      <c r="C575" t="s">
        <v>45</v>
      </c>
      <c r="D575">
        <v>3</v>
      </c>
      <c r="E575" t="s">
        <v>43</v>
      </c>
      <c r="F575" t="s">
        <v>15</v>
      </c>
      <c r="G575">
        <v>0.74030311235480195</v>
      </c>
      <c r="H575">
        <v>6.7969864578066794E-2</v>
      </c>
      <c r="I575" t="s">
        <v>14</v>
      </c>
      <c r="J575">
        <v>145.109240055084</v>
      </c>
    </row>
    <row r="576" spans="1:10" x14ac:dyDescent="0.2">
      <c r="A576" t="s">
        <v>53</v>
      </c>
      <c r="B576" t="s">
        <v>45</v>
      </c>
      <c r="C576" t="s">
        <v>45</v>
      </c>
      <c r="D576">
        <v>4</v>
      </c>
      <c r="E576" t="s">
        <v>44</v>
      </c>
      <c r="F576" t="s">
        <v>13</v>
      </c>
      <c r="G576">
        <v>0.73058839044976698</v>
      </c>
      <c r="H576">
        <v>0</v>
      </c>
      <c r="I576" t="s">
        <v>14</v>
      </c>
      <c r="J576">
        <v>8.4529781341552699</v>
      </c>
    </row>
    <row r="577" spans="1:10" x14ac:dyDescent="0.2">
      <c r="A577" t="s">
        <v>53</v>
      </c>
      <c r="B577" t="s">
        <v>45</v>
      </c>
      <c r="C577" t="s">
        <v>45</v>
      </c>
      <c r="D577">
        <v>4</v>
      </c>
      <c r="E577" t="s">
        <v>44</v>
      </c>
      <c r="F577" t="s">
        <v>15</v>
      </c>
      <c r="G577">
        <v>0.74053186804464599</v>
      </c>
      <c r="H577">
        <v>7.3019569180085703E-2</v>
      </c>
      <c r="I577" t="s">
        <v>14</v>
      </c>
      <c r="J577">
        <v>193.309192895889</v>
      </c>
    </row>
    <row r="578" spans="1:10" x14ac:dyDescent="0.2">
      <c r="A578" t="s">
        <v>54</v>
      </c>
      <c r="B578" t="s">
        <v>11</v>
      </c>
      <c r="C578" t="s">
        <v>11</v>
      </c>
      <c r="D578">
        <v>1</v>
      </c>
      <c r="E578" t="s">
        <v>12</v>
      </c>
      <c r="F578" t="s">
        <v>13</v>
      </c>
      <c r="G578">
        <v>0.47502857629262102</v>
      </c>
      <c r="H578">
        <v>0</v>
      </c>
      <c r="I578" t="s">
        <v>14</v>
      </c>
      <c r="J578">
        <v>0.265663862228393</v>
      </c>
    </row>
    <row r="579" spans="1:10" x14ac:dyDescent="0.2">
      <c r="A579" t="s">
        <v>54</v>
      </c>
      <c r="B579" t="s">
        <v>11</v>
      </c>
      <c r="C579" t="s">
        <v>11</v>
      </c>
      <c r="D579">
        <v>1</v>
      </c>
      <c r="E579" t="s">
        <v>12</v>
      </c>
      <c r="F579" t="s">
        <v>15</v>
      </c>
      <c r="G579">
        <v>0.46951411235111401</v>
      </c>
      <c r="H579">
        <v>6.5689032474941497E-2</v>
      </c>
      <c r="I579" t="s">
        <v>14</v>
      </c>
      <c r="J579">
        <v>3.3191289901733398</v>
      </c>
    </row>
    <row r="580" spans="1:10" x14ac:dyDescent="0.2">
      <c r="A580" t="s">
        <v>54</v>
      </c>
      <c r="B580" t="s">
        <v>11</v>
      </c>
      <c r="C580" t="s">
        <v>11</v>
      </c>
      <c r="D580">
        <v>2</v>
      </c>
      <c r="E580" t="s">
        <v>16</v>
      </c>
      <c r="F580" t="s">
        <v>13</v>
      </c>
      <c r="G580">
        <v>0.51685330095340798</v>
      </c>
      <c r="H580">
        <v>0</v>
      </c>
      <c r="I580" t="s">
        <v>14</v>
      </c>
      <c r="J580">
        <v>0.66177010536193803</v>
      </c>
    </row>
    <row r="581" spans="1:10" x14ac:dyDescent="0.2">
      <c r="A581" t="s">
        <v>54</v>
      </c>
      <c r="B581" t="s">
        <v>11</v>
      </c>
      <c r="C581" t="s">
        <v>11</v>
      </c>
      <c r="D581">
        <v>2</v>
      </c>
      <c r="E581" t="s">
        <v>16</v>
      </c>
      <c r="F581" t="s">
        <v>15</v>
      </c>
      <c r="G581">
        <v>0.49785177808886899</v>
      </c>
      <c r="H581">
        <v>4.8873725641299798E-2</v>
      </c>
      <c r="I581" t="s">
        <v>14</v>
      </c>
      <c r="J581">
        <v>6.7919738292694003</v>
      </c>
    </row>
    <row r="582" spans="1:10" x14ac:dyDescent="0.2">
      <c r="A582" t="s">
        <v>54</v>
      </c>
      <c r="B582" t="s">
        <v>11</v>
      </c>
      <c r="C582" t="s">
        <v>11</v>
      </c>
      <c r="D582">
        <v>3</v>
      </c>
      <c r="E582" t="s">
        <v>17</v>
      </c>
      <c r="F582" t="s">
        <v>13</v>
      </c>
      <c r="G582">
        <v>0.51222955480560295</v>
      </c>
      <c r="H582">
        <v>0</v>
      </c>
      <c r="I582" t="s">
        <v>14</v>
      </c>
      <c r="J582">
        <v>0.80698227882385198</v>
      </c>
    </row>
    <row r="583" spans="1:10" x14ac:dyDescent="0.2">
      <c r="A583" t="s">
        <v>54</v>
      </c>
      <c r="B583" t="s">
        <v>11</v>
      </c>
      <c r="C583" t="s">
        <v>11</v>
      </c>
      <c r="D583">
        <v>3</v>
      </c>
      <c r="E583" t="s">
        <v>17</v>
      </c>
      <c r="F583" t="s">
        <v>15</v>
      </c>
      <c r="G583">
        <v>0.48762508415349998</v>
      </c>
      <c r="H583">
        <v>5.0440950811389003E-2</v>
      </c>
      <c r="I583" t="s">
        <v>14</v>
      </c>
      <c r="J583">
        <v>10.4240617752075</v>
      </c>
    </row>
    <row r="584" spans="1:10" x14ac:dyDescent="0.2">
      <c r="A584" t="s">
        <v>54</v>
      </c>
      <c r="B584" t="s">
        <v>11</v>
      </c>
      <c r="C584" t="s">
        <v>11</v>
      </c>
      <c r="D584">
        <v>4</v>
      </c>
      <c r="E584" t="s">
        <v>18</v>
      </c>
      <c r="F584" t="s">
        <v>13</v>
      </c>
      <c r="G584">
        <v>0.73708333333333298</v>
      </c>
      <c r="H584">
        <v>0</v>
      </c>
      <c r="I584" t="s">
        <v>14</v>
      </c>
      <c r="J584">
        <v>0.42019605636596602</v>
      </c>
    </row>
    <row r="585" spans="1:10" x14ac:dyDescent="0.2">
      <c r="A585" t="s">
        <v>54</v>
      </c>
      <c r="B585" t="s">
        <v>11</v>
      </c>
      <c r="C585" t="s">
        <v>11</v>
      </c>
      <c r="D585">
        <v>4</v>
      </c>
      <c r="E585" t="s">
        <v>18</v>
      </c>
      <c r="F585" t="s">
        <v>15</v>
      </c>
      <c r="G585">
        <v>0.73201485682007095</v>
      </c>
      <c r="H585">
        <v>3.7143478712373203E-2</v>
      </c>
      <c r="I585" t="s">
        <v>14</v>
      </c>
      <c r="J585">
        <v>7.0644798278808496</v>
      </c>
    </row>
    <row r="586" spans="1:10" x14ac:dyDescent="0.2">
      <c r="A586" t="s">
        <v>54</v>
      </c>
      <c r="B586" t="s">
        <v>11</v>
      </c>
      <c r="C586" t="s">
        <v>11</v>
      </c>
      <c r="D586">
        <v>5</v>
      </c>
      <c r="E586" t="s">
        <v>19</v>
      </c>
      <c r="F586" t="s">
        <v>13</v>
      </c>
      <c r="G586">
        <v>0.76317174732872395</v>
      </c>
      <c r="H586">
        <v>0</v>
      </c>
      <c r="I586" t="s">
        <v>14</v>
      </c>
      <c r="J586">
        <v>0.72829198837280196</v>
      </c>
    </row>
    <row r="587" spans="1:10" x14ac:dyDescent="0.2">
      <c r="A587" t="s">
        <v>54</v>
      </c>
      <c r="B587" t="s">
        <v>11</v>
      </c>
      <c r="C587" t="s">
        <v>11</v>
      </c>
      <c r="D587">
        <v>5</v>
      </c>
      <c r="E587" t="s">
        <v>19</v>
      </c>
      <c r="F587" t="s">
        <v>15</v>
      </c>
      <c r="G587">
        <v>0.75437323957922098</v>
      </c>
      <c r="H587">
        <v>3.5142283942011597E-2</v>
      </c>
      <c r="I587" t="s">
        <v>14</v>
      </c>
      <c r="J587">
        <v>13.689453125</v>
      </c>
    </row>
    <row r="588" spans="1:10" x14ac:dyDescent="0.2">
      <c r="A588" t="s">
        <v>54</v>
      </c>
      <c r="B588" t="s">
        <v>11</v>
      </c>
      <c r="C588" t="s">
        <v>11</v>
      </c>
      <c r="D588">
        <v>6</v>
      </c>
      <c r="E588" t="s">
        <v>20</v>
      </c>
      <c r="F588" t="s">
        <v>13</v>
      </c>
      <c r="G588">
        <v>0.71946885690692397</v>
      </c>
      <c r="H588">
        <v>0</v>
      </c>
      <c r="I588" t="s">
        <v>14</v>
      </c>
      <c r="J588">
        <v>1.1408488750457699</v>
      </c>
    </row>
    <row r="589" spans="1:10" x14ac:dyDescent="0.2">
      <c r="A589" t="s">
        <v>54</v>
      </c>
      <c r="B589" t="s">
        <v>11</v>
      </c>
      <c r="C589" t="s">
        <v>11</v>
      </c>
      <c r="D589">
        <v>6</v>
      </c>
      <c r="E589" t="s">
        <v>20</v>
      </c>
      <c r="F589" t="s">
        <v>15</v>
      </c>
      <c r="G589">
        <v>0.76923560459506102</v>
      </c>
      <c r="H589">
        <v>2.21924751425383E-2</v>
      </c>
      <c r="I589" t="s">
        <v>14</v>
      </c>
      <c r="J589">
        <v>20.341521024703901</v>
      </c>
    </row>
    <row r="590" spans="1:10" x14ac:dyDescent="0.2">
      <c r="A590" t="s">
        <v>54</v>
      </c>
      <c r="B590" t="s">
        <v>11</v>
      </c>
      <c r="C590" t="s">
        <v>11</v>
      </c>
      <c r="D590">
        <v>7</v>
      </c>
      <c r="E590" t="s">
        <v>21</v>
      </c>
      <c r="F590" t="s">
        <v>13</v>
      </c>
      <c r="G590">
        <v>0.80025252525252499</v>
      </c>
      <c r="H590">
        <v>0</v>
      </c>
      <c r="I590" t="s">
        <v>14</v>
      </c>
      <c r="J590">
        <v>6.7313194274902302E-2</v>
      </c>
    </row>
    <row r="591" spans="1:10" x14ac:dyDescent="0.2">
      <c r="A591" t="s">
        <v>54</v>
      </c>
      <c r="B591" t="s">
        <v>11</v>
      </c>
      <c r="C591" t="s">
        <v>11</v>
      </c>
      <c r="D591">
        <v>7</v>
      </c>
      <c r="E591" t="s">
        <v>21</v>
      </c>
      <c r="F591" t="s">
        <v>15</v>
      </c>
      <c r="G591">
        <v>0.78404797136634596</v>
      </c>
      <c r="H591">
        <v>2.8854003905695098E-2</v>
      </c>
      <c r="I591" t="s">
        <v>14</v>
      </c>
      <c r="J591">
        <v>1.06458616256713</v>
      </c>
    </row>
    <row r="592" spans="1:10" x14ac:dyDescent="0.2">
      <c r="A592" t="s">
        <v>54</v>
      </c>
      <c r="B592" t="s">
        <v>11</v>
      </c>
      <c r="C592" t="s">
        <v>11</v>
      </c>
      <c r="D592">
        <v>8</v>
      </c>
      <c r="E592" t="s">
        <v>22</v>
      </c>
      <c r="F592" t="s">
        <v>13</v>
      </c>
      <c r="G592">
        <v>0.8</v>
      </c>
      <c r="H592">
        <v>0</v>
      </c>
      <c r="I592" t="s">
        <v>14</v>
      </c>
      <c r="J592">
        <v>8.2363128662109306E-2</v>
      </c>
    </row>
    <row r="593" spans="1:10" x14ac:dyDescent="0.2">
      <c r="A593" t="s">
        <v>54</v>
      </c>
      <c r="B593" t="s">
        <v>11</v>
      </c>
      <c r="C593" t="s">
        <v>11</v>
      </c>
      <c r="D593">
        <v>8</v>
      </c>
      <c r="E593" t="s">
        <v>22</v>
      </c>
      <c r="F593" t="s">
        <v>15</v>
      </c>
      <c r="G593">
        <v>0.78395580185710001</v>
      </c>
      <c r="H593">
        <v>2.4213165424820798E-2</v>
      </c>
      <c r="I593" t="s">
        <v>14</v>
      </c>
      <c r="J593">
        <v>1.59129118919372</v>
      </c>
    </row>
    <row r="594" spans="1:10" x14ac:dyDescent="0.2">
      <c r="A594" t="s">
        <v>54</v>
      </c>
      <c r="B594" t="s">
        <v>11</v>
      </c>
      <c r="C594" t="s">
        <v>11</v>
      </c>
      <c r="D594">
        <v>9</v>
      </c>
      <c r="E594" t="s">
        <v>23</v>
      </c>
      <c r="F594" t="s">
        <v>13</v>
      </c>
      <c r="G594">
        <v>0.8</v>
      </c>
      <c r="H594">
        <v>0</v>
      </c>
      <c r="I594" t="s">
        <v>14</v>
      </c>
      <c r="J594">
        <v>0.13318824768066401</v>
      </c>
    </row>
    <row r="595" spans="1:10" x14ac:dyDescent="0.2">
      <c r="A595" t="s">
        <v>54</v>
      </c>
      <c r="B595" t="s">
        <v>11</v>
      </c>
      <c r="C595" t="s">
        <v>11</v>
      </c>
      <c r="D595">
        <v>9</v>
      </c>
      <c r="E595" t="s">
        <v>23</v>
      </c>
      <c r="F595" t="s">
        <v>15</v>
      </c>
      <c r="G595">
        <v>0.79024079143368098</v>
      </c>
      <c r="H595">
        <v>2.7565706222590601E-2</v>
      </c>
      <c r="I595" t="s">
        <v>14</v>
      </c>
      <c r="J595">
        <v>2.1230499744415199</v>
      </c>
    </row>
    <row r="596" spans="1:10" x14ac:dyDescent="0.2">
      <c r="A596" t="s">
        <v>54</v>
      </c>
      <c r="B596" t="s">
        <v>11</v>
      </c>
      <c r="C596" t="s">
        <v>11</v>
      </c>
      <c r="D596">
        <v>10</v>
      </c>
      <c r="E596" t="s">
        <v>24</v>
      </c>
      <c r="F596" t="s">
        <v>13</v>
      </c>
      <c r="G596">
        <v>0.73598945012787698</v>
      </c>
      <c r="H596">
        <v>0</v>
      </c>
      <c r="I596" t="s">
        <v>14</v>
      </c>
      <c r="J596">
        <v>9.2713730335235596</v>
      </c>
    </row>
    <row r="597" spans="1:10" x14ac:dyDescent="0.2">
      <c r="A597" t="s">
        <v>54</v>
      </c>
      <c r="B597" t="s">
        <v>11</v>
      </c>
      <c r="C597" t="s">
        <v>11</v>
      </c>
      <c r="D597">
        <v>10</v>
      </c>
      <c r="E597" t="s">
        <v>24</v>
      </c>
      <c r="F597" t="s">
        <v>15</v>
      </c>
      <c r="G597">
        <v>0.77746070179635896</v>
      </c>
      <c r="H597">
        <v>2.3065502606601299E-2</v>
      </c>
      <c r="I597" t="s">
        <v>14</v>
      </c>
      <c r="J597">
        <v>188.52650594711301</v>
      </c>
    </row>
    <row r="598" spans="1:10" x14ac:dyDescent="0.2">
      <c r="A598" t="s">
        <v>54</v>
      </c>
      <c r="B598" t="s">
        <v>11</v>
      </c>
      <c r="C598" t="s">
        <v>11</v>
      </c>
      <c r="D598">
        <v>11</v>
      </c>
      <c r="E598" t="s">
        <v>25</v>
      </c>
      <c r="F598" t="s">
        <v>13</v>
      </c>
      <c r="G598">
        <v>0.76212301587301501</v>
      </c>
      <c r="H598">
        <v>0</v>
      </c>
      <c r="I598" t="s">
        <v>14</v>
      </c>
      <c r="J598">
        <v>18.366651773452698</v>
      </c>
    </row>
    <row r="599" spans="1:10" x14ac:dyDescent="0.2">
      <c r="A599" t="s">
        <v>54</v>
      </c>
      <c r="B599" t="s">
        <v>11</v>
      </c>
      <c r="C599" t="s">
        <v>11</v>
      </c>
      <c r="D599">
        <v>11</v>
      </c>
      <c r="E599" t="s">
        <v>25</v>
      </c>
      <c r="F599" t="s">
        <v>15</v>
      </c>
      <c r="G599">
        <v>0.77926813023383901</v>
      </c>
      <c r="H599">
        <v>3.2155327534692503E-2</v>
      </c>
      <c r="I599" t="s">
        <v>14</v>
      </c>
      <c r="J599">
        <v>380.718746185302</v>
      </c>
    </row>
    <row r="600" spans="1:10" x14ac:dyDescent="0.2">
      <c r="A600" t="s">
        <v>54</v>
      </c>
      <c r="B600" t="s">
        <v>11</v>
      </c>
      <c r="C600" t="s">
        <v>11</v>
      </c>
      <c r="D600">
        <v>12</v>
      </c>
      <c r="E600" t="s">
        <v>26</v>
      </c>
      <c r="F600" t="s">
        <v>13</v>
      </c>
      <c r="G600">
        <v>0.754542042042042</v>
      </c>
      <c r="H600">
        <v>0</v>
      </c>
      <c r="I600" t="s">
        <v>14</v>
      </c>
      <c r="J600">
        <v>32.567333221435497</v>
      </c>
    </row>
    <row r="601" spans="1:10" x14ac:dyDescent="0.2">
      <c r="A601" t="s">
        <v>54</v>
      </c>
      <c r="B601" t="s">
        <v>11</v>
      </c>
      <c r="C601" t="s">
        <v>11</v>
      </c>
      <c r="D601">
        <v>12</v>
      </c>
      <c r="E601" t="s">
        <v>26</v>
      </c>
      <c r="F601" t="s">
        <v>15</v>
      </c>
      <c r="G601">
        <v>0.78663967682318003</v>
      </c>
      <c r="H601">
        <v>3.1787131627689903E-2</v>
      </c>
      <c r="I601" t="s">
        <v>14</v>
      </c>
      <c r="J601">
        <v>570.27562975883404</v>
      </c>
    </row>
    <row r="602" spans="1:10" x14ac:dyDescent="0.2">
      <c r="A602" t="s">
        <v>54</v>
      </c>
      <c r="B602" t="s">
        <v>27</v>
      </c>
      <c r="C602" t="s">
        <v>27</v>
      </c>
      <c r="D602">
        <v>1</v>
      </c>
      <c r="E602" t="s">
        <v>28</v>
      </c>
      <c r="F602" t="s">
        <v>13</v>
      </c>
      <c r="G602">
        <v>0.73807457786116304</v>
      </c>
      <c r="H602">
        <v>0</v>
      </c>
      <c r="I602" t="s">
        <v>14</v>
      </c>
      <c r="J602">
        <v>0.140856742858886</v>
      </c>
    </row>
    <row r="603" spans="1:10" x14ac:dyDescent="0.2">
      <c r="A603" t="s">
        <v>54</v>
      </c>
      <c r="B603" t="s">
        <v>27</v>
      </c>
      <c r="C603" t="s">
        <v>27</v>
      </c>
      <c r="D603">
        <v>1</v>
      </c>
      <c r="E603" t="s">
        <v>28</v>
      </c>
      <c r="F603" t="s">
        <v>15</v>
      </c>
      <c r="G603">
        <v>0.78161528241978395</v>
      </c>
      <c r="H603">
        <v>3.6221030633962203E-2</v>
      </c>
      <c r="I603" t="s">
        <v>14</v>
      </c>
      <c r="J603">
        <v>2.2744691371917698</v>
      </c>
    </row>
    <row r="604" spans="1:10" x14ac:dyDescent="0.2">
      <c r="A604" t="s">
        <v>54</v>
      </c>
      <c r="B604" t="s">
        <v>27</v>
      </c>
      <c r="C604" t="s">
        <v>27</v>
      </c>
      <c r="D604">
        <v>2</v>
      </c>
      <c r="E604" t="s">
        <v>29</v>
      </c>
      <c r="F604" t="s">
        <v>13</v>
      </c>
      <c r="G604">
        <v>0.75078320802005005</v>
      </c>
      <c r="H604">
        <v>0</v>
      </c>
      <c r="I604" t="s">
        <v>14</v>
      </c>
      <c r="J604">
        <v>0.127629280090332</v>
      </c>
    </row>
    <row r="605" spans="1:10" x14ac:dyDescent="0.2">
      <c r="A605" t="s">
        <v>54</v>
      </c>
      <c r="B605" t="s">
        <v>27</v>
      </c>
      <c r="C605" t="s">
        <v>27</v>
      </c>
      <c r="D605">
        <v>2</v>
      </c>
      <c r="E605" t="s">
        <v>29</v>
      </c>
      <c r="F605" t="s">
        <v>15</v>
      </c>
      <c r="G605">
        <v>0.79427985108850296</v>
      </c>
      <c r="H605">
        <v>2.5242792328171001E-2</v>
      </c>
      <c r="I605" t="s">
        <v>14</v>
      </c>
      <c r="J605">
        <v>2.38395023345947</v>
      </c>
    </row>
    <row r="606" spans="1:10" x14ac:dyDescent="0.2">
      <c r="A606" t="s">
        <v>54</v>
      </c>
      <c r="B606" t="s">
        <v>27</v>
      </c>
      <c r="C606" t="s">
        <v>27</v>
      </c>
      <c r="D606">
        <v>3</v>
      </c>
      <c r="E606" t="s">
        <v>30</v>
      </c>
      <c r="F606" t="s">
        <v>13</v>
      </c>
      <c r="G606">
        <v>0.76301985616010004</v>
      </c>
      <c r="H606">
        <v>0</v>
      </c>
      <c r="I606" t="s">
        <v>14</v>
      </c>
      <c r="J606">
        <v>0.13148283958435</v>
      </c>
    </row>
    <row r="607" spans="1:10" x14ac:dyDescent="0.2">
      <c r="A607" t="s">
        <v>54</v>
      </c>
      <c r="B607" t="s">
        <v>27</v>
      </c>
      <c r="C607" t="s">
        <v>27</v>
      </c>
      <c r="D607">
        <v>3</v>
      </c>
      <c r="E607" t="s">
        <v>30</v>
      </c>
      <c r="F607" t="s">
        <v>15</v>
      </c>
      <c r="G607">
        <v>0.77778514874181603</v>
      </c>
      <c r="H607">
        <v>2.83330190831084E-2</v>
      </c>
      <c r="I607" t="s">
        <v>14</v>
      </c>
      <c r="J607">
        <v>2.2763640880584699</v>
      </c>
    </row>
    <row r="608" spans="1:10" x14ac:dyDescent="0.2">
      <c r="A608" t="s">
        <v>54</v>
      </c>
      <c r="B608" t="s">
        <v>27</v>
      </c>
      <c r="C608" t="s">
        <v>27</v>
      </c>
      <c r="D608">
        <v>4</v>
      </c>
      <c r="E608" t="s">
        <v>31</v>
      </c>
      <c r="F608" t="s">
        <v>13</v>
      </c>
      <c r="G608">
        <v>0.76324509803921503</v>
      </c>
      <c r="H608">
        <v>0</v>
      </c>
      <c r="I608" t="s">
        <v>14</v>
      </c>
      <c r="J608">
        <v>0.12724471092224099</v>
      </c>
    </row>
    <row r="609" spans="1:10" x14ac:dyDescent="0.2">
      <c r="A609" t="s">
        <v>54</v>
      </c>
      <c r="B609" t="s">
        <v>27</v>
      </c>
      <c r="C609" t="s">
        <v>27</v>
      </c>
      <c r="D609">
        <v>4</v>
      </c>
      <c r="E609" t="s">
        <v>31</v>
      </c>
      <c r="F609" t="s">
        <v>15</v>
      </c>
      <c r="G609">
        <v>0.78175915619287795</v>
      </c>
      <c r="H609">
        <v>2.43032472386756E-2</v>
      </c>
      <c r="I609" t="s">
        <v>14</v>
      </c>
      <c r="J609">
        <v>2.2713201045989901</v>
      </c>
    </row>
    <row r="610" spans="1:10" x14ac:dyDescent="0.2">
      <c r="A610" t="s">
        <v>54</v>
      </c>
      <c r="B610" t="s">
        <v>27</v>
      </c>
      <c r="C610" t="s">
        <v>27</v>
      </c>
      <c r="D610">
        <v>5</v>
      </c>
      <c r="E610" t="s">
        <v>32</v>
      </c>
      <c r="F610" t="s">
        <v>13</v>
      </c>
      <c r="G610">
        <v>0.756682266009852</v>
      </c>
      <c r="H610">
        <v>0</v>
      </c>
      <c r="I610" t="s">
        <v>14</v>
      </c>
      <c r="J610">
        <v>0.14637994766235299</v>
      </c>
    </row>
    <row r="611" spans="1:10" x14ac:dyDescent="0.2">
      <c r="A611" t="s">
        <v>54</v>
      </c>
      <c r="B611" t="s">
        <v>27</v>
      </c>
      <c r="C611" t="s">
        <v>27</v>
      </c>
      <c r="D611">
        <v>5</v>
      </c>
      <c r="E611" t="s">
        <v>32</v>
      </c>
      <c r="F611" t="s">
        <v>15</v>
      </c>
      <c r="G611">
        <v>0.79928844538212496</v>
      </c>
      <c r="H611">
        <v>3.5471953617841702E-2</v>
      </c>
      <c r="I611" t="s">
        <v>14</v>
      </c>
      <c r="J611">
        <v>2.8314778804778999</v>
      </c>
    </row>
    <row r="612" spans="1:10" x14ac:dyDescent="0.2">
      <c r="A612" t="s">
        <v>54</v>
      </c>
      <c r="B612" t="s">
        <v>27</v>
      </c>
      <c r="C612" t="s">
        <v>27</v>
      </c>
      <c r="D612">
        <v>6</v>
      </c>
      <c r="E612" t="s">
        <v>33</v>
      </c>
      <c r="F612" t="s">
        <v>13</v>
      </c>
      <c r="G612">
        <v>0.76317174732872395</v>
      </c>
      <c r="H612">
        <v>0</v>
      </c>
      <c r="I612" t="s">
        <v>14</v>
      </c>
      <c r="J612">
        <v>0.154833078384399</v>
      </c>
    </row>
    <row r="613" spans="1:10" x14ac:dyDescent="0.2">
      <c r="A613" t="s">
        <v>54</v>
      </c>
      <c r="B613" t="s">
        <v>27</v>
      </c>
      <c r="C613" t="s">
        <v>27</v>
      </c>
      <c r="D613">
        <v>6</v>
      </c>
      <c r="E613" t="s">
        <v>33</v>
      </c>
      <c r="F613" t="s">
        <v>15</v>
      </c>
      <c r="G613">
        <v>0.78557987614065505</v>
      </c>
      <c r="H613">
        <v>2.6577543940528501E-2</v>
      </c>
      <c r="I613" t="s">
        <v>14</v>
      </c>
      <c r="J613">
        <v>2.7641258239746</v>
      </c>
    </row>
    <row r="614" spans="1:10" x14ac:dyDescent="0.2">
      <c r="A614" t="s">
        <v>54</v>
      </c>
      <c r="B614" t="s">
        <v>27</v>
      </c>
      <c r="C614" t="s">
        <v>27</v>
      </c>
      <c r="D614">
        <v>7</v>
      </c>
      <c r="E614" t="s">
        <v>34</v>
      </c>
      <c r="F614" t="s">
        <v>13</v>
      </c>
      <c r="G614">
        <v>0.74452223004970397</v>
      </c>
      <c r="H614">
        <v>0</v>
      </c>
      <c r="I614" t="s">
        <v>14</v>
      </c>
      <c r="J614">
        <v>0.15377402305603</v>
      </c>
    </row>
    <row r="615" spans="1:10" x14ac:dyDescent="0.2">
      <c r="A615" t="s">
        <v>54</v>
      </c>
      <c r="B615" t="s">
        <v>27</v>
      </c>
      <c r="C615" t="s">
        <v>27</v>
      </c>
      <c r="D615">
        <v>7</v>
      </c>
      <c r="E615" t="s">
        <v>34</v>
      </c>
      <c r="F615" t="s">
        <v>15</v>
      </c>
      <c r="G615">
        <v>0.77551415398660295</v>
      </c>
      <c r="H615">
        <v>4.2248866796021502E-2</v>
      </c>
      <c r="I615" t="s">
        <v>14</v>
      </c>
      <c r="J615">
        <v>2.7948570251464799</v>
      </c>
    </row>
    <row r="616" spans="1:10" x14ac:dyDescent="0.2">
      <c r="A616" t="s">
        <v>54</v>
      </c>
      <c r="B616" t="s">
        <v>27</v>
      </c>
      <c r="C616" t="s">
        <v>27</v>
      </c>
      <c r="D616">
        <v>8</v>
      </c>
      <c r="E616" t="s">
        <v>35</v>
      </c>
      <c r="F616" t="s">
        <v>13</v>
      </c>
      <c r="G616">
        <v>0.76324404761904696</v>
      </c>
      <c r="H616">
        <v>0</v>
      </c>
      <c r="I616" t="s">
        <v>14</v>
      </c>
      <c r="J616">
        <v>0.15066790580749501</v>
      </c>
    </row>
    <row r="617" spans="1:10" x14ac:dyDescent="0.2">
      <c r="A617" t="s">
        <v>54</v>
      </c>
      <c r="B617" t="s">
        <v>27</v>
      </c>
      <c r="C617" t="s">
        <v>27</v>
      </c>
      <c r="D617">
        <v>8</v>
      </c>
      <c r="E617" t="s">
        <v>35</v>
      </c>
      <c r="F617" t="s">
        <v>15</v>
      </c>
      <c r="G617">
        <v>0.79419026521804903</v>
      </c>
      <c r="H617">
        <v>4.19033456767006E-2</v>
      </c>
      <c r="I617" t="s">
        <v>14</v>
      </c>
      <c r="J617">
        <v>2.80284118652343</v>
      </c>
    </row>
    <row r="618" spans="1:10" x14ac:dyDescent="0.2">
      <c r="A618" t="s">
        <v>54</v>
      </c>
      <c r="B618" t="s">
        <v>27</v>
      </c>
      <c r="C618" t="s">
        <v>27</v>
      </c>
      <c r="D618">
        <v>9</v>
      </c>
      <c r="E618" t="s">
        <v>36</v>
      </c>
      <c r="F618" t="s">
        <v>13</v>
      </c>
      <c r="G618">
        <v>0.75055109431585498</v>
      </c>
      <c r="H618">
        <v>0</v>
      </c>
      <c r="I618" t="s">
        <v>14</v>
      </c>
      <c r="J618">
        <v>0.155351877212524</v>
      </c>
    </row>
    <row r="619" spans="1:10" x14ac:dyDescent="0.2">
      <c r="A619" t="s">
        <v>54</v>
      </c>
      <c r="B619" t="s">
        <v>27</v>
      </c>
      <c r="C619" t="s">
        <v>27</v>
      </c>
      <c r="D619">
        <v>9</v>
      </c>
      <c r="E619" t="s">
        <v>36</v>
      </c>
      <c r="F619" t="s">
        <v>15</v>
      </c>
      <c r="G619">
        <v>0.78442512490080296</v>
      </c>
      <c r="H619">
        <v>2.7895396582030899E-2</v>
      </c>
      <c r="I619" t="s">
        <v>14</v>
      </c>
      <c r="J619">
        <v>2.8158798217773402</v>
      </c>
    </row>
    <row r="620" spans="1:10" x14ac:dyDescent="0.2">
      <c r="A620" t="s">
        <v>54</v>
      </c>
      <c r="B620" t="s">
        <v>27</v>
      </c>
      <c r="C620" t="s">
        <v>27</v>
      </c>
      <c r="D620">
        <v>10</v>
      </c>
      <c r="E620" t="s">
        <v>37</v>
      </c>
      <c r="F620" t="s">
        <v>13</v>
      </c>
      <c r="G620">
        <v>0.77549598488426996</v>
      </c>
      <c r="H620">
        <v>0</v>
      </c>
      <c r="I620" t="s">
        <v>14</v>
      </c>
      <c r="J620">
        <v>0.15995216369628901</v>
      </c>
    </row>
    <row r="621" spans="1:10" x14ac:dyDescent="0.2">
      <c r="A621" t="s">
        <v>54</v>
      </c>
      <c r="B621" t="s">
        <v>27</v>
      </c>
      <c r="C621" t="s">
        <v>27</v>
      </c>
      <c r="D621">
        <v>10</v>
      </c>
      <c r="E621" t="s">
        <v>37</v>
      </c>
      <c r="F621" t="s">
        <v>15</v>
      </c>
      <c r="G621">
        <v>0.79434129760470695</v>
      </c>
      <c r="H621">
        <v>2.9366894708162099E-2</v>
      </c>
      <c r="I621" t="s">
        <v>14</v>
      </c>
      <c r="J621">
        <v>2.84799933433532</v>
      </c>
    </row>
    <row r="622" spans="1:10" x14ac:dyDescent="0.2">
      <c r="A622" t="s">
        <v>54</v>
      </c>
      <c r="B622" t="s">
        <v>27</v>
      </c>
      <c r="C622" t="s">
        <v>27</v>
      </c>
      <c r="D622">
        <v>11</v>
      </c>
      <c r="E622" t="s">
        <v>38</v>
      </c>
      <c r="F622" t="s">
        <v>13</v>
      </c>
      <c r="G622">
        <v>0.75078320802005005</v>
      </c>
      <c r="H622">
        <v>0</v>
      </c>
      <c r="I622" t="s">
        <v>14</v>
      </c>
      <c r="J622">
        <v>0.15125679969787501</v>
      </c>
    </row>
    <row r="623" spans="1:10" x14ac:dyDescent="0.2">
      <c r="A623" t="s">
        <v>54</v>
      </c>
      <c r="B623" t="s">
        <v>27</v>
      </c>
      <c r="C623" t="s">
        <v>27</v>
      </c>
      <c r="D623">
        <v>11</v>
      </c>
      <c r="E623" t="s">
        <v>38</v>
      </c>
      <c r="F623" t="s">
        <v>15</v>
      </c>
      <c r="G623">
        <v>0.79056833687922001</v>
      </c>
      <c r="H623">
        <v>2.4115556103400299E-2</v>
      </c>
      <c r="I623" t="s">
        <v>14</v>
      </c>
      <c r="J623">
        <v>2.7954430580139098</v>
      </c>
    </row>
    <row r="624" spans="1:10" x14ac:dyDescent="0.2">
      <c r="A624" t="s">
        <v>54</v>
      </c>
      <c r="B624" t="s">
        <v>27</v>
      </c>
      <c r="C624" t="s">
        <v>27</v>
      </c>
      <c r="D624">
        <v>12</v>
      </c>
      <c r="E624" t="s">
        <v>39</v>
      </c>
      <c r="F624" t="s">
        <v>13</v>
      </c>
      <c r="G624">
        <v>0.75070710245128802</v>
      </c>
      <c r="H624">
        <v>0</v>
      </c>
      <c r="I624" t="s">
        <v>14</v>
      </c>
      <c r="J624">
        <v>0.14900803565979001</v>
      </c>
    </row>
    <row r="625" spans="1:10" x14ac:dyDescent="0.2">
      <c r="A625" t="s">
        <v>54</v>
      </c>
      <c r="B625" t="s">
        <v>27</v>
      </c>
      <c r="C625" t="s">
        <v>27</v>
      </c>
      <c r="D625">
        <v>12</v>
      </c>
      <c r="E625" t="s">
        <v>39</v>
      </c>
      <c r="F625" t="s">
        <v>15</v>
      </c>
      <c r="G625">
        <v>0.80169528160808201</v>
      </c>
      <c r="H625">
        <v>3.4601128590492802E-2</v>
      </c>
      <c r="I625" t="s">
        <v>14</v>
      </c>
      <c r="J625">
        <v>2.77795314788818</v>
      </c>
    </row>
    <row r="626" spans="1:10" x14ac:dyDescent="0.2">
      <c r="A626" t="s">
        <v>54</v>
      </c>
      <c r="B626" t="s">
        <v>40</v>
      </c>
      <c r="C626" t="s">
        <v>40</v>
      </c>
      <c r="D626">
        <v>1</v>
      </c>
      <c r="E626" t="s">
        <v>41</v>
      </c>
      <c r="F626" t="s">
        <v>13</v>
      </c>
      <c r="G626">
        <v>0.738575027538656</v>
      </c>
      <c r="H626">
        <v>0</v>
      </c>
      <c r="I626" t="s">
        <v>14</v>
      </c>
      <c r="J626">
        <v>3.30562090873718</v>
      </c>
    </row>
    <row r="627" spans="1:10" x14ac:dyDescent="0.2">
      <c r="A627" t="s">
        <v>54</v>
      </c>
      <c r="B627" t="s">
        <v>40</v>
      </c>
      <c r="C627" t="s">
        <v>40</v>
      </c>
      <c r="D627">
        <v>1</v>
      </c>
      <c r="E627" t="s">
        <v>41</v>
      </c>
      <c r="F627" t="s">
        <v>15</v>
      </c>
      <c r="G627">
        <v>0.75971022665865995</v>
      </c>
      <c r="H627">
        <v>3.6461631668480397E-2</v>
      </c>
      <c r="I627" t="s">
        <v>14</v>
      </c>
      <c r="J627">
        <v>41.459490776061998</v>
      </c>
    </row>
    <row r="628" spans="1:10" x14ac:dyDescent="0.2">
      <c r="A628" t="s">
        <v>54</v>
      </c>
      <c r="B628" t="s">
        <v>40</v>
      </c>
      <c r="C628" t="s">
        <v>40</v>
      </c>
      <c r="D628">
        <v>2</v>
      </c>
      <c r="E628" t="s">
        <v>42</v>
      </c>
      <c r="F628" t="s">
        <v>13</v>
      </c>
      <c r="G628">
        <v>0.738575027538656</v>
      </c>
      <c r="H628">
        <v>0</v>
      </c>
      <c r="I628" t="s">
        <v>14</v>
      </c>
      <c r="J628">
        <v>2.9296886920928902</v>
      </c>
    </row>
    <row r="629" spans="1:10" x14ac:dyDescent="0.2">
      <c r="A629" t="s">
        <v>54</v>
      </c>
      <c r="B629" t="s">
        <v>40</v>
      </c>
      <c r="C629" t="s">
        <v>40</v>
      </c>
      <c r="D629">
        <v>2</v>
      </c>
      <c r="E629" t="s">
        <v>42</v>
      </c>
      <c r="F629" t="s">
        <v>15</v>
      </c>
      <c r="G629">
        <v>0.74371785204213703</v>
      </c>
      <c r="H629">
        <v>4.0320930055838103E-2</v>
      </c>
      <c r="I629" t="s">
        <v>14</v>
      </c>
      <c r="J629">
        <v>48.242075920104902</v>
      </c>
    </row>
    <row r="630" spans="1:10" x14ac:dyDescent="0.2">
      <c r="A630" t="s">
        <v>54</v>
      </c>
      <c r="B630" t="s">
        <v>40</v>
      </c>
      <c r="C630" t="s">
        <v>40</v>
      </c>
      <c r="D630">
        <v>3</v>
      </c>
      <c r="E630" t="s">
        <v>43</v>
      </c>
      <c r="F630" t="s">
        <v>13</v>
      </c>
      <c r="G630">
        <v>0.70610170184912402</v>
      </c>
      <c r="H630">
        <v>0</v>
      </c>
      <c r="I630" t="s">
        <v>14</v>
      </c>
      <c r="J630">
        <v>3.55057692527771</v>
      </c>
    </row>
    <row r="631" spans="1:10" x14ac:dyDescent="0.2">
      <c r="A631" t="s">
        <v>54</v>
      </c>
      <c r="B631" t="s">
        <v>40</v>
      </c>
      <c r="C631" t="s">
        <v>40</v>
      </c>
      <c r="D631">
        <v>3</v>
      </c>
      <c r="E631" t="s">
        <v>43</v>
      </c>
      <c r="F631" t="s">
        <v>15</v>
      </c>
      <c r="G631">
        <v>0.75669237303815595</v>
      </c>
      <c r="H631">
        <v>4.6187438514160802E-2</v>
      </c>
      <c r="I631" t="s">
        <v>14</v>
      </c>
      <c r="J631">
        <v>60.0743792057037</v>
      </c>
    </row>
    <row r="632" spans="1:10" x14ac:dyDescent="0.2">
      <c r="A632" t="s">
        <v>54</v>
      </c>
      <c r="B632" t="s">
        <v>40</v>
      </c>
      <c r="C632" t="s">
        <v>40</v>
      </c>
      <c r="D632">
        <v>4</v>
      </c>
      <c r="E632" t="s">
        <v>44</v>
      </c>
      <c r="F632" t="s">
        <v>13</v>
      </c>
      <c r="G632">
        <v>0.71491666666666598</v>
      </c>
      <c r="H632">
        <v>0</v>
      </c>
      <c r="I632" t="s">
        <v>14</v>
      </c>
      <c r="J632">
        <v>5.0094511508941597</v>
      </c>
    </row>
    <row r="633" spans="1:10" x14ac:dyDescent="0.2">
      <c r="A633" t="s">
        <v>54</v>
      </c>
      <c r="B633" t="s">
        <v>40</v>
      </c>
      <c r="C633" t="s">
        <v>40</v>
      </c>
      <c r="D633">
        <v>4</v>
      </c>
      <c r="E633" t="s">
        <v>44</v>
      </c>
      <c r="F633" t="s">
        <v>15</v>
      </c>
      <c r="G633">
        <v>0.75908576854134102</v>
      </c>
      <c r="H633">
        <v>3.5958971388859902E-2</v>
      </c>
      <c r="I633" t="s">
        <v>14</v>
      </c>
      <c r="J633">
        <v>82.135554075241004</v>
      </c>
    </row>
    <row r="634" spans="1:10" x14ac:dyDescent="0.2">
      <c r="A634" t="s">
        <v>54</v>
      </c>
      <c r="B634" t="s">
        <v>45</v>
      </c>
      <c r="C634" t="s">
        <v>45</v>
      </c>
      <c r="D634">
        <v>1</v>
      </c>
      <c r="E634" t="s">
        <v>41</v>
      </c>
      <c r="F634" t="s">
        <v>13</v>
      </c>
      <c r="G634">
        <v>0.73708333333333298</v>
      </c>
      <c r="H634">
        <v>0</v>
      </c>
      <c r="I634" t="s">
        <v>14</v>
      </c>
      <c r="J634">
        <v>9.7754268646240199</v>
      </c>
    </row>
    <row r="635" spans="1:10" x14ac:dyDescent="0.2">
      <c r="A635" t="s">
        <v>54</v>
      </c>
      <c r="B635" t="s">
        <v>45</v>
      </c>
      <c r="C635" t="s">
        <v>45</v>
      </c>
      <c r="D635">
        <v>1</v>
      </c>
      <c r="E635" t="s">
        <v>41</v>
      </c>
      <c r="F635" t="s">
        <v>15</v>
      </c>
      <c r="G635">
        <v>0.77707970232635604</v>
      </c>
      <c r="H635">
        <v>2.7873689077912399E-2</v>
      </c>
      <c r="I635" t="s">
        <v>14</v>
      </c>
      <c r="J635">
        <v>168.15731382369901</v>
      </c>
    </row>
    <row r="636" spans="1:10" x14ac:dyDescent="0.2">
      <c r="A636" t="s">
        <v>54</v>
      </c>
      <c r="B636" t="s">
        <v>45</v>
      </c>
      <c r="C636" t="s">
        <v>45</v>
      </c>
      <c r="D636">
        <v>2</v>
      </c>
      <c r="E636" t="s">
        <v>42</v>
      </c>
      <c r="F636" t="s">
        <v>13</v>
      </c>
      <c r="G636">
        <v>0.73708333333333298</v>
      </c>
      <c r="H636">
        <v>0</v>
      </c>
      <c r="I636" t="s">
        <v>14</v>
      </c>
      <c r="J636">
        <v>14.7672429084777</v>
      </c>
    </row>
    <row r="637" spans="1:10" x14ac:dyDescent="0.2">
      <c r="A637" t="s">
        <v>54</v>
      </c>
      <c r="B637" t="s">
        <v>45</v>
      </c>
      <c r="C637" t="s">
        <v>45</v>
      </c>
      <c r="D637">
        <v>2</v>
      </c>
      <c r="E637" t="s">
        <v>42</v>
      </c>
      <c r="F637" t="s">
        <v>15</v>
      </c>
      <c r="G637">
        <v>0.77466179332136897</v>
      </c>
      <c r="H637">
        <v>2.6992975826094098E-2</v>
      </c>
      <c r="I637" t="s">
        <v>14</v>
      </c>
      <c r="J637">
        <v>251.77817511558499</v>
      </c>
    </row>
    <row r="638" spans="1:10" x14ac:dyDescent="0.2">
      <c r="A638" t="s">
        <v>54</v>
      </c>
      <c r="B638" t="s">
        <v>45</v>
      </c>
      <c r="C638" t="s">
        <v>45</v>
      </c>
      <c r="D638">
        <v>3</v>
      </c>
      <c r="E638" t="s">
        <v>43</v>
      </c>
      <c r="F638" t="s">
        <v>13</v>
      </c>
      <c r="G638">
        <v>0.74791365751885697</v>
      </c>
      <c r="H638">
        <v>0</v>
      </c>
      <c r="I638" t="s">
        <v>14</v>
      </c>
      <c r="J638">
        <v>17.399269819259601</v>
      </c>
    </row>
    <row r="639" spans="1:10" x14ac:dyDescent="0.2">
      <c r="A639" t="s">
        <v>54</v>
      </c>
      <c r="B639" t="s">
        <v>45</v>
      </c>
      <c r="C639" t="s">
        <v>45</v>
      </c>
      <c r="D639">
        <v>3</v>
      </c>
      <c r="E639" t="s">
        <v>43</v>
      </c>
      <c r="F639" t="s">
        <v>15</v>
      </c>
      <c r="G639">
        <v>0.78231177110258698</v>
      </c>
      <c r="H639">
        <v>2.9168339806914301E-2</v>
      </c>
      <c r="I639" t="s">
        <v>14</v>
      </c>
      <c r="J639">
        <v>314.059771776199</v>
      </c>
    </row>
    <row r="640" spans="1:10" x14ac:dyDescent="0.2">
      <c r="A640" t="s">
        <v>54</v>
      </c>
      <c r="B640" t="s">
        <v>45</v>
      </c>
      <c r="C640" t="s">
        <v>45</v>
      </c>
      <c r="D640">
        <v>4</v>
      </c>
      <c r="E640" t="s">
        <v>44</v>
      </c>
      <c r="F640" t="s">
        <v>13</v>
      </c>
      <c r="G640">
        <v>0.75070710245128802</v>
      </c>
      <c r="H640">
        <v>0</v>
      </c>
      <c r="I640" t="s">
        <v>14</v>
      </c>
      <c r="J640">
        <v>23.829082965850802</v>
      </c>
    </row>
    <row r="641" spans="1:10" x14ac:dyDescent="0.2">
      <c r="A641" t="s">
        <v>54</v>
      </c>
      <c r="B641" t="s">
        <v>45</v>
      </c>
      <c r="C641" t="s">
        <v>45</v>
      </c>
      <c r="D641">
        <v>4</v>
      </c>
      <c r="E641" t="s">
        <v>44</v>
      </c>
      <c r="F641" t="s">
        <v>15</v>
      </c>
      <c r="G641">
        <v>0.77629150974024097</v>
      </c>
      <c r="H641">
        <v>2.63015096415131E-2</v>
      </c>
      <c r="I641" t="s">
        <v>14</v>
      </c>
      <c r="J641">
        <v>457.26891088485701</v>
      </c>
    </row>
    <row r="642" spans="1:10" x14ac:dyDescent="0.2">
      <c r="A642" t="s">
        <v>55</v>
      </c>
      <c r="B642" t="s">
        <v>11</v>
      </c>
      <c r="C642" t="s">
        <v>11</v>
      </c>
      <c r="D642">
        <v>1</v>
      </c>
      <c r="E642" t="s">
        <v>12</v>
      </c>
      <c r="F642" t="s">
        <v>13</v>
      </c>
      <c r="G642">
        <v>0.48003036437246899</v>
      </c>
      <c r="H642">
        <v>0</v>
      </c>
      <c r="I642" t="s">
        <v>14</v>
      </c>
      <c r="J642">
        <v>0.27653312683105402</v>
      </c>
    </row>
    <row r="643" spans="1:10" x14ac:dyDescent="0.2">
      <c r="A643" t="s">
        <v>55</v>
      </c>
      <c r="B643" t="s">
        <v>11</v>
      </c>
      <c r="C643" t="s">
        <v>11</v>
      </c>
      <c r="D643">
        <v>1</v>
      </c>
      <c r="E643" t="s">
        <v>12</v>
      </c>
      <c r="F643" t="s">
        <v>15</v>
      </c>
      <c r="G643">
        <v>0.48089716588565901</v>
      </c>
      <c r="H643">
        <v>5.5410424678556197E-2</v>
      </c>
      <c r="I643" t="s">
        <v>14</v>
      </c>
      <c r="J643">
        <v>3.38448905944824</v>
      </c>
    </row>
    <row r="644" spans="1:10" x14ac:dyDescent="0.2">
      <c r="A644" t="s">
        <v>55</v>
      </c>
      <c r="B644" t="s">
        <v>11</v>
      </c>
      <c r="C644" t="s">
        <v>11</v>
      </c>
      <c r="D644">
        <v>2</v>
      </c>
      <c r="E644" t="s">
        <v>16</v>
      </c>
      <c r="F644" t="s">
        <v>13</v>
      </c>
      <c r="G644">
        <v>0.47485587002096402</v>
      </c>
      <c r="H644">
        <v>0</v>
      </c>
      <c r="I644" t="s">
        <v>14</v>
      </c>
      <c r="J644">
        <v>0.53249216079711903</v>
      </c>
    </row>
    <row r="645" spans="1:10" x14ac:dyDescent="0.2">
      <c r="A645" t="s">
        <v>55</v>
      </c>
      <c r="B645" t="s">
        <v>11</v>
      </c>
      <c r="C645" t="s">
        <v>11</v>
      </c>
      <c r="D645">
        <v>2</v>
      </c>
      <c r="E645" t="s">
        <v>16</v>
      </c>
      <c r="F645" t="s">
        <v>15</v>
      </c>
      <c r="G645">
        <v>0.48609484874416398</v>
      </c>
      <c r="H645">
        <v>4.47318348545497E-2</v>
      </c>
      <c r="I645" t="s">
        <v>14</v>
      </c>
      <c r="J645">
        <v>6.91900181770324</v>
      </c>
    </row>
    <row r="646" spans="1:10" x14ac:dyDescent="0.2">
      <c r="A646" t="s">
        <v>55</v>
      </c>
      <c r="B646" t="s">
        <v>11</v>
      </c>
      <c r="C646" t="s">
        <v>11</v>
      </c>
      <c r="D646">
        <v>3</v>
      </c>
      <c r="E646" t="s">
        <v>17</v>
      </c>
      <c r="F646" t="s">
        <v>13</v>
      </c>
      <c r="G646">
        <v>0.48832110412299001</v>
      </c>
      <c r="H646">
        <v>0</v>
      </c>
      <c r="I646" t="s">
        <v>14</v>
      </c>
      <c r="J646">
        <v>0.74339771270751898</v>
      </c>
    </row>
    <row r="647" spans="1:10" x14ac:dyDescent="0.2">
      <c r="A647" t="s">
        <v>55</v>
      </c>
      <c r="B647" t="s">
        <v>11</v>
      </c>
      <c r="C647" t="s">
        <v>11</v>
      </c>
      <c r="D647">
        <v>3</v>
      </c>
      <c r="E647" t="s">
        <v>17</v>
      </c>
      <c r="F647" t="s">
        <v>15</v>
      </c>
      <c r="G647">
        <v>0.49961335960279701</v>
      </c>
      <c r="H647">
        <v>4.3059400924784802E-2</v>
      </c>
      <c r="I647" t="s">
        <v>14</v>
      </c>
      <c r="J647">
        <v>10.079843997955299</v>
      </c>
    </row>
    <row r="648" spans="1:10" x14ac:dyDescent="0.2">
      <c r="A648" t="s">
        <v>55</v>
      </c>
      <c r="B648" t="s">
        <v>11</v>
      </c>
      <c r="C648" t="s">
        <v>11</v>
      </c>
      <c r="D648">
        <v>4</v>
      </c>
      <c r="E648" t="s">
        <v>18</v>
      </c>
      <c r="F648" t="s">
        <v>13</v>
      </c>
      <c r="G648">
        <v>0.71804572916252596</v>
      </c>
      <c r="H648">
        <v>0</v>
      </c>
      <c r="I648" t="s">
        <v>14</v>
      </c>
      <c r="J648">
        <v>0.441268920898437</v>
      </c>
    </row>
    <row r="649" spans="1:10" x14ac:dyDescent="0.2">
      <c r="A649" t="s">
        <v>55</v>
      </c>
      <c r="B649" t="s">
        <v>11</v>
      </c>
      <c r="C649" t="s">
        <v>11</v>
      </c>
      <c r="D649">
        <v>4</v>
      </c>
      <c r="E649" t="s">
        <v>18</v>
      </c>
      <c r="F649" t="s">
        <v>15</v>
      </c>
      <c r="G649">
        <v>0.72987595247992998</v>
      </c>
      <c r="H649">
        <v>5.8737628569997299E-2</v>
      </c>
      <c r="I649" t="s">
        <v>14</v>
      </c>
      <c r="J649">
        <v>7.0758750438690097</v>
      </c>
    </row>
    <row r="650" spans="1:10" x14ac:dyDescent="0.2">
      <c r="A650" t="s">
        <v>55</v>
      </c>
      <c r="B650" t="s">
        <v>11</v>
      </c>
      <c r="C650" t="s">
        <v>11</v>
      </c>
      <c r="D650">
        <v>5</v>
      </c>
      <c r="E650" t="s">
        <v>19</v>
      </c>
      <c r="F650" t="s">
        <v>13</v>
      </c>
      <c r="G650">
        <v>0.70677093596059104</v>
      </c>
      <c r="H650">
        <v>0</v>
      </c>
      <c r="I650" t="s">
        <v>14</v>
      </c>
      <c r="J650">
        <v>0.82056021690368597</v>
      </c>
    </row>
    <row r="651" spans="1:10" x14ac:dyDescent="0.2">
      <c r="A651" t="s">
        <v>55</v>
      </c>
      <c r="B651" t="s">
        <v>11</v>
      </c>
      <c r="C651" t="s">
        <v>11</v>
      </c>
      <c r="D651">
        <v>5</v>
      </c>
      <c r="E651" t="s">
        <v>19</v>
      </c>
      <c r="F651" t="s">
        <v>15</v>
      </c>
      <c r="G651">
        <v>0.74554503906979097</v>
      </c>
      <c r="H651">
        <v>4.2686970728476201E-2</v>
      </c>
      <c r="I651" t="s">
        <v>14</v>
      </c>
      <c r="J651">
        <v>13.898833990097</v>
      </c>
    </row>
    <row r="652" spans="1:10" x14ac:dyDescent="0.2">
      <c r="A652" t="s">
        <v>55</v>
      </c>
      <c r="B652" t="s">
        <v>11</v>
      </c>
      <c r="C652" t="s">
        <v>11</v>
      </c>
      <c r="D652">
        <v>6</v>
      </c>
      <c r="E652" t="s">
        <v>20</v>
      </c>
      <c r="F652" t="s">
        <v>13</v>
      </c>
      <c r="G652">
        <v>0.69351945401957205</v>
      </c>
      <c r="H652">
        <v>0</v>
      </c>
      <c r="I652" t="s">
        <v>14</v>
      </c>
      <c r="J652">
        <v>1.1780080795287999</v>
      </c>
    </row>
    <row r="653" spans="1:10" x14ac:dyDescent="0.2">
      <c r="A653" t="s">
        <v>55</v>
      </c>
      <c r="B653" t="s">
        <v>11</v>
      </c>
      <c r="C653" t="s">
        <v>11</v>
      </c>
      <c r="D653">
        <v>6</v>
      </c>
      <c r="E653" t="s">
        <v>20</v>
      </c>
      <c r="F653" t="s">
        <v>15</v>
      </c>
      <c r="G653">
        <v>0.73189703536469397</v>
      </c>
      <c r="H653">
        <v>6.3169276819632705E-2</v>
      </c>
      <c r="I653" t="s">
        <v>14</v>
      </c>
      <c r="J653">
        <v>20.5800440311431</v>
      </c>
    </row>
    <row r="654" spans="1:10" x14ac:dyDescent="0.2">
      <c r="A654" t="s">
        <v>55</v>
      </c>
      <c r="B654" t="s">
        <v>11</v>
      </c>
      <c r="C654" t="s">
        <v>11</v>
      </c>
      <c r="D654">
        <v>7</v>
      </c>
      <c r="E654" t="s">
        <v>21</v>
      </c>
      <c r="F654" t="s">
        <v>13</v>
      </c>
      <c r="G654">
        <v>0.78163793103448198</v>
      </c>
      <c r="H654">
        <v>0</v>
      </c>
      <c r="I654" t="s">
        <v>14</v>
      </c>
      <c r="J654">
        <v>7.4925184249877902E-2</v>
      </c>
    </row>
    <row r="655" spans="1:10" x14ac:dyDescent="0.2">
      <c r="A655" t="s">
        <v>55</v>
      </c>
      <c r="B655" t="s">
        <v>11</v>
      </c>
      <c r="C655" t="s">
        <v>11</v>
      </c>
      <c r="D655">
        <v>7</v>
      </c>
      <c r="E655" t="s">
        <v>21</v>
      </c>
      <c r="F655" t="s">
        <v>15</v>
      </c>
      <c r="G655">
        <v>0.78240804433652</v>
      </c>
      <c r="H655">
        <v>2.8733514226390301E-2</v>
      </c>
      <c r="I655" t="s">
        <v>14</v>
      </c>
      <c r="J655">
        <v>0.99634671211242598</v>
      </c>
    </row>
    <row r="656" spans="1:10" x14ac:dyDescent="0.2">
      <c r="A656" t="s">
        <v>55</v>
      </c>
      <c r="B656" t="s">
        <v>11</v>
      </c>
      <c r="C656" t="s">
        <v>11</v>
      </c>
      <c r="D656">
        <v>8</v>
      </c>
      <c r="E656" t="s">
        <v>22</v>
      </c>
      <c r="F656" t="s">
        <v>13</v>
      </c>
      <c r="G656">
        <v>0.78191108363750494</v>
      </c>
      <c r="H656">
        <v>0</v>
      </c>
      <c r="I656" t="s">
        <v>14</v>
      </c>
      <c r="J656">
        <v>0.13294386863708399</v>
      </c>
    </row>
    <row r="657" spans="1:10" x14ac:dyDescent="0.2">
      <c r="A657" t="s">
        <v>55</v>
      </c>
      <c r="B657" t="s">
        <v>11</v>
      </c>
      <c r="C657" t="s">
        <v>11</v>
      </c>
      <c r="D657">
        <v>8</v>
      </c>
      <c r="E657" t="s">
        <v>22</v>
      </c>
      <c r="F657" t="s">
        <v>15</v>
      </c>
      <c r="G657">
        <v>0.776303198274369</v>
      </c>
      <c r="H657">
        <v>3.3272710909389998E-2</v>
      </c>
      <c r="I657" t="s">
        <v>14</v>
      </c>
      <c r="J657">
        <v>1.6180949211120601</v>
      </c>
    </row>
    <row r="658" spans="1:10" x14ac:dyDescent="0.2">
      <c r="A658" t="s">
        <v>55</v>
      </c>
      <c r="B658" t="s">
        <v>11</v>
      </c>
      <c r="C658" t="s">
        <v>11</v>
      </c>
      <c r="D658">
        <v>9</v>
      </c>
      <c r="E658" t="s">
        <v>23</v>
      </c>
      <c r="F658" t="s">
        <v>13</v>
      </c>
      <c r="G658">
        <v>0.77549598488426996</v>
      </c>
      <c r="H658">
        <v>0</v>
      </c>
      <c r="I658" t="s">
        <v>14</v>
      </c>
      <c r="J658">
        <v>0.152148962020874</v>
      </c>
    </row>
    <row r="659" spans="1:10" x14ac:dyDescent="0.2">
      <c r="A659" t="s">
        <v>55</v>
      </c>
      <c r="B659" t="s">
        <v>11</v>
      </c>
      <c r="C659" t="s">
        <v>11</v>
      </c>
      <c r="D659">
        <v>9</v>
      </c>
      <c r="E659" t="s">
        <v>23</v>
      </c>
      <c r="F659" t="s">
        <v>15</v>
      </c>
      <c r="G659">
        <v>0.76886346655254501</v>
      </c>
      <c r="H659">
        <v>3.3743121365318297E-2</v>
      </c>
      <c r="I659" t="s">
        <v>14</v>
      </c>
      <c r="J659">
        <v>2.0960848331451398</v>
      </c>
    </row>
    <row r="660" spans="1:10" x14ac:dyDescent="0.2">
      <c r="A660" t="s">
        <v>55</v>
      </c>
      <c r="B660" t="s">
        <v>11</v>
      </c>
      <c r="C660" t="s">
        <v>11</v>
      </c>
      <c r="D660">
        <v>10</v>
      </c>
      <c r="E660" t="s">
        <v>24</v>
      </c>
      <c r="F660" t="s">
        <v>13</v>
      </c>
      <c r="G660">
        <v>0.78070223379307602</v>
      </c>
      <c r="H660">
        <v>0</v>
      </c>
      <c r="I660" t="s">
        <v>14</v>
      </c>
      <c r="J660">
        <v>8.8566741943359304</v>
      </c>
    </row>
    <row r="661" spans="1:10" x14ac:dyDescent="0.2">
      <c r="A661" t="s">
        <v>55</v>
      </c>
      <c r="B661" t="s">
        <v>11</v>
      </c>
      <c r="C661" t="s">
        <v>11</v>
      </c>
      <c r="D661">
        <v>10</v>
      </c>
      <c r="E661" t="s">
        <v>24</v>
      </c>
      <c r="F661" t="s">
        <v>15</v>
      </c>
      <c r="G661">
        <v>0.783439133060022</v>
      </c>
      <c r="H661">
        <v>3.6518378497648503E-2</v>
      </c>
      <c r="I661" t="s">
        <v>14</v>
      </c>
      <c r="J661">
        <v>135.49457406997601</v>
      </c>
    </row>
    <row r="662" spans="1:10" x14ac:dyDescent="0.2">
      <c r="A662" t="s">
        <v>55</v>
      </c>
      <c r="B662" t="s">
        <v>11</v>
      </c>
      <c r="C662" t="s">
        <v>11</v>
      </c>
      <c r="D662">
        <v>11</v>
      </c>
      <c r="E662" t="s">
        <v>25</v>
      </c>
      <c r="F662" t="s">
        <v>13</v>
      </c>
      <c r="G662">
        <v>0.76212301587301501</v>
      </c>
      <c r="H662">
        <v>0</v>
      </c>
      <c r="I662" t="s">
        <v>14</v>
      </c>
      <c r="J662">
        <v>15.524044036865201</v>
      </c>
    </row>
    <row r="663" spans="1:10" x14ac:dyDescent="0.2">
      <c r="A663" t="s">
        <v>55</v>
      </c>
      <c r="B663" t="s">
        <v>11</v>
      </c>
      <c r="C663" t="s">
        <v>11</v>
      </c>
      <c r="D663">
        <v>11</v>
      </c>
      <c r="E663" t="s">
        <v>25</v>
      </c>
      <c r="F663" t="s">
        <v>15</v>
      </c>
      <c r="G663">
        <v>0.78439982481536497</v>
      </c>
      <c r="H663">
        <v>2.4919952538174299E-2</v>
      </c>
      <c r="I663" t="s">
        <v>14</v>
      </c>
      <c r="J663">
        <v>267.372807979583</v>
      </c>
    </row>
    <row r="664" spans="1:10" x14ac:dyDescent="0.2">
      <c r="A664" t="s">
        <v>55</v>
      </c>
      <c r="B664" t="s">
        <v>11</v>
      </c>
      <c r="C664" t="s">
        <v>11</v>
      </c>
      <c r="D664">
        <v>12</v>
      </c>
      <c r="E664" t="s">
        <v>26</v>
      </c>
      <c r="F664" t="s">
        <v>13</v>
      </c>
      <c r="G664">
        <v>0.76768926249451497</v>
      </c>
      <c r="H664">
        <v>0</v>
      </c>
      <c r="I664" t="s">
        <v>14</v>
      </c>
      <c r="J664">
        <v>24.3163161277771</v>
      </c>
    </row>
    <row r="665" spans="1:10" x14ac:dyDescent="0.2">
      <c r="A665" t="s">
        <v>55</v>
      </c>
      <c r="B665" t="s">
        <v>11</v>
      </c>
      <c r="C665" t="s">
        <v>11</v>
      </c>
      <c r="D665">
        <v>12</v>
      </c>
      <c r="E665" t="s">
        <v>26</v>
      </c>
      <c r="F665" t="s">
        <v>15</v>
      </c>
      <c r="G665">
        <v>0.79332726171716905</v>
      </c>
      <c r="H665">
        <v>3.4779886463869501E-2</v>
      </c>
      <c r="I665" t="s">
        <v>14</v>
      </c>
      <c r="J665">
        <v>399.28179502487097</v>
      </c>
    </row>
    <row r="666" spans="1:10" x14ac:dyDescent="0.2">
      <c r="A666" t="s">
        <v>55</v>
      </c>
      <c r="B666" t="s">
        <v>27</v>
      </c>
      <c r="C666" t="s">
        <v>27</v>
      </c>
      <c r="D666">
        <v>1</v>
      </c>
      <c r="E666" t="s">
        <v>28</v>
      </c>
      <c r="F666" t="s">
        <v>13</v>
      </c>
      <c r="G666">
        <v>0.76324509803921503</v>
      </c>
      <c r="H666">
        <v>0</v>
      </c>
      <c r="I666" t="s">
        <v>14</v>
      </c>
      <c r="J666">
        <v>0.13806891441345201</v>
      </c>
    </row>
    <row r="667" spans="1:10" x14ac:dyDescent="0.2">
      <c r="A667" t="s">
        <v>55</v>
      </c>
      <c r="B667" t="s">
        <v>27</v>
      </c>
      <c r="C667" t="s">
        <v>27</v>
      </c>
      <c r="D667">
        <v>1</v>
      </c>
      <c r="E667" t="s">
        <v>28</v>
      </c>
      <c r="F667" t="s">
        <v>15</v>
      </c>
      <c r="G667">
        <v>0.75897824064075803</v>
      </c>
      <c r="H667">
        <v>2.65710830865214E-2</v>
      </c>
      <c r="I667" t="s">
        <v>14</v>
      </c>
      <c r="J667">
        <v>2.3310012817382799</v>
      </c>
    </row>
    <row r="668" spans="1:10" x14ac:dyDescent="0.2">
      <c r="A668" t="s">
        <v>55</v>
      </c>
      <c r="B668" t="s">
        <v>27</v>
      </c>
      <c r="C668" t="s">
        <v>27</v>
      </c>
      <c r="D668">
        <v>2</v>
      </c>
      <c r="E668" t="s">
        <v>29</v>
      </c>
      <c r="F668" t="s">
        <v>13</v>
      </c>
      <c r="G668">
        <v>0.76933773216031198</v>
      </c>
      <c r="H668">
        <v>0</v>
      </c>
      <c r="I668" t="s">
        <v>14</v>
      </c>
      <c r="J668">
        <v>0.13238716125488201</v>
      </c>
    </row>
    <row r="669" spans="1:10" x14ac:dyDescent="0.2">
      <c r="A669" t="s">
        <v>55</v>
      </c>
      <c r="B669" t="s">
        <v>27</v>
      </c>
      <c r="C669" t="s">
        <v>27</v>
      </c>
      <c r="D669">
        <v>2</v>
      </c>
      <c r="E669" t="s">
        <v>29</v>
      </c>
      <c r="F669" t="s">
        <v>15</v>
      </c>
      <c r="G669">
        <v>0.76169395282551</v>
      </c>
      <c r="H669">
        <v>2.9835193073141301E-2</v>
      </c>
      <c r="I669" t="s">
        <v>14</v>
      </c>
      <c r="J669">
        <v>2.2730538845062198</v>
      </c>
    </row>
    <row r="670" spans="1:10" x14ac:dyDescent="0.2">
      <c r="A670" t="s">
        <v>55</v>
      </c>
      <c r="B670" t="s">
        <v>27</v>
      </c>
      <c r="C670" t="s">
        <v>27</v>
      </c>
      <c r="D670">
        <v>3</v>
      </c>
      <c r="E670" t="s">
        <v>30</v>
      </c>
      <c r="F670" t="s">
        <v>13</v>
      </c>
      <c r="G670">
        <v>0.75702368823229704</v>
      </c>
      <c r="H670">
        <v>0</v>
      </c>
      <c r="I670" t="s">
        <v>14</v>
      </c>
      <c r="J670">
        <v>0.13675999641418399</v>
      </c>
    </row>
    <row r="671" spans="1:10" x14ac:dyDescent="0.2">
      <c r="A671" t="s">
        <v>55</v>
      </c>
      <c r="B671" t="s">
        <v>27</v>
      </c>
      <c r="C671" t="s">
        <v>27</v>
      </c>
      <c r="D671">
        <v>3</v>
      </c>
      <c r="E671" t="s">
        <v>30</v>
      </c>
      <c r="F671" t="s">
        <v>15</v>
      </c>
      <c r="G671">
        <v>0.75494410335846995</v>
      </c>
      <c r="H671">
        <v>3.5651826815792702E-2</v>
      </c>
      <c r="I671" t="s">
        <v>14</v>
      </c>
      <c r="J671">
        <v>2.3174769878387398</v>
      </c>
    </row>
    <row r="672" spans="1:10" x14ac:dyDescent="0.2">
      <c r="A672" t="s">
        <v>55</v>
      </c>
      <c r="B672" t="s">
        <v>27</v>
      </c>
      <c r="C672" t="s">
        <v>27</v>
      </c>
      <c r="D672">
        <v>4</v>
      </c>
      <c r="E672" t="s">
        <v>31</v>
      </c>
      <c r="F672" t="s">
        <v>13</v>
      </c>
      <c r="G672">
        <v>0.75078431372549004</v>
      </c>
      <c r="H672">
        <v>0</v>
      </c>
      <c r="I672" t="s">
        <v>14</v>
      </c>
      <c r="J672">
        <v>0.13793897628784099</v>
      </c>
    </row>
    <row r="673" spans="1:10" x14ac:dyDescent="0.2">
      <c r="A673" t="s">
        <v>55</v>
      </c>
      <c r="B673" t="s">
        <v>27</v>
      </c>
      <c r="C673" t="s">
        <v>27</v>
      </c>
      <c r="D673">
        <v>4</v>
      </c>
      <c r="E673" t="s">
        <v>31</v>
      </c>
      <c r="F673" t="s">
        <v>15</v>
      </c>
      <c r="G673">
        <v>0.76588592545323497</v>
      </c>
      <c r="H673">
        <v>2.45067822287563E-2</v>
      </c>
      <c r="I673" t="s">
        <v>14</v>
      </c>
      <c r="J673">
        <v>2.2782511711120601</v>
      </c>
    </row>
    <row r="674" spans="1:10" x14ac:dyDescent="0.2">
      <c r="A674" t="s">
        <v>55</v>
      </c>
      <c r="B674" t="s">
        <v>27</v>
      </c>
      <c r="C674" t="s">
        <v>27</v>
      </c>
      <c r="D674">
        <v>5</v>
      </c>
      <c r="E674" t="s">
        <v>32</v>
      </c>
      <c r="F674" t="s">
        <v>13</v>
      </c>
      <c r="G674">
        <v>0.74452441226107702</v>
      </c>
      <c r="H674">
        <v>0</v>
      </c>
      <c r="I674" t="s">
        <v>14</v>
      </c>
      <c r="J674">
        <v>0.153101921081542</v>
      </c>
    </row>
    <row r="675" spans="1:10" x14ac:dyDescent="0.2">
      <c r="A675" t="s">
        <v>55</v>
      </c>
      <c r="B675" t="s">
        <v>27</v>
      </c>
      <c r="C675" t="s">
        <v>27</v>
      </c>
      <c r="D675">
        <v>5</v>
      </c>
      <c r="E675" t="s">
        <v>32</v>
      </c>
      <c r="F675" t="s">
        <v>15</v>
      </c>
      <c r="G675">
        <v>0.77625419925422001</v>
      </c>
      <c r="H675">
        <v>4.3115967576787498E-2</v>
      </c>
      <c r="I675" t="s">
        <v>14</v>
      </c>
      <c r="J675">
        <v>2.9282920360565101</v>
      </c>
    </row>
    <row r="676" spans="1:10" x14ac:dyDescent="0.2">
      <c r="A676" t="s">
        <v>55</v>
      </c>
      <c r="B676" t="s">
        <v>27</v>
      </c>
      <c r="C676" t="s">
        <v>27</v>
      </c>
      <c r="D676">
        <v>6</v>
      </c>
      <c r="E676" t="s">
        <v>33</v>
      </c>
      <c r="F676" t="s">
        <v>13</v>
      </c>
      <c r="G676">
        <v>0.73824245757385198</v>
      </c>
      <c r="H676">
        <v>0</v>
      </c>
      <c r="I676" t="s">
        <v>14</v>
      </c>
      <c r="J676">
        <v>0.163294792175292</v>
      </c>
    </row>
    <row r="677" spans="1:10" x14ac:dyDescent="0.2">
      <c r="A677" t="s">
        <v>55</v>
      </c>
      <c r="B677" t="s">
        <v>27</v>
      </c>
      <c r="C677" t="s">
        <v>27</v>
      </c>
      <c r="D677">
        <v>6</v>
      </c>
      <c r="E677" t="s">
        <v>33</v>
      </c>
      <c r="F677" t="s">
        <v>15</v>
      </c>
      <c r="G677">
        <v>0.76524705178362795</v>
      </c>
      <c r="H677">
        <v>2.9360320278984199E-2</v>
      </c>
      <c r="I677" t="s">
        <v>14</v>
      </c>
      <c r="J677">
        <v>2.8303561210632302</v>
      </c>
    </row>
    <row r="678" spans="1:10" x14ac:dyDescent="0.2">
      <c r="A678" t="s">
        <v>55</v>
      </c>
      <c r="B678" t="s">
        <v>27</v>
      </c>
      <c r="C678" t="s">
        <v>27</v>
      </c>
      <c r="D678">
        <v>7</v>
      </c>
      <c r="E678" t="s">
        <v>34</v>
      </c>
      <c r="F678" t="s">
        <v>13</v>
      </c>
      <c r="G678">
        <v>0.76317174732872395</v>
      </c>
      <c r="H678">
        <v>0</v>
      </c>
      <c r="I678" t="s">
        <v>14</v>
      </c>
      <c r="J678">
        <v>0.152053117752075</v>
      </c>
    </row>
    <row r="679" spans="1:10" x14ac:dyDescent="0.2">
      <c r="A679" t="s">
        <v>55</v>
      </c>
      <c r="B679" t="s">
        <v>27</v>
      </c>
      <c r="C679" t="s">
        <v>27</v>
      </c>
      <c r="D679">
        <v>7</v>
      </c>
      <c r="E679" t="s">
        <v>34</v>
      </c>
      <c r="F679" t="s">
        <v>15</v>
      </c>
      <c r="G679">
        <v>0.77949463479243597</v>
      </c>
      <c r="H679">
        <v>3.5955868994230998E-2</v>
      </c>
      <c r="I679" t="s">
        <v>14</v>
      </c>
      <c r="J679">
        <v>2.8261649608611998</v>
      </c>
    </row>
    <row r="680" spans="1:10" x14ac:dyDescent="0.2">
      <c r="A680" t="s">
        <v>55</v>
      </c>
      <c r="B680" t="s">
        <v>27</v>
      </c>
      <c r="C680" t="s">
        <v>27</v>
      </c>
      <c r="D680">
        <v>8</v>
      </c>
      <c r="E680" t="s">
        <v>35</v>
      </c>
      <c r="F680" t="s">
        <v>13</v>
      </c>
      <c r="G680">
        <v>0.77549249530956799</v>
      </c>
      <c r="H680">
        <v>0</v>
      </c>
      <c r="I680" t="s">
        <v>14</v>
      </c>
      <c r="J680">
        <v>0.162010192871093</v>
      </c>
    </row>
    <row r="681" spans="1:10" x14ac:dyDescent="0.2">
      <c r="A681" t="s">
        <v>55</v>
      </c>
      <c r="B681" t="s">
        <v>27</v>
      </c>
      <c r="C681" t="s">
        <v>27</v>
      </c>
      <c r="D681">
        <v>8</v>
      </c>
      <c r="E681" t="s">
        <v>35</v>
      </c>
      <c r="F681" t="s">
        <v>15</v>
      </c>
      <c r="G681">
        <v>0.77508602282996297</v>
      </c>
      <c r="H681">
        <v>3.5999506099646597E-2</v>
      </c>
      <c r="I681" t="s">
        <v>14</v>
      </c>
      <c r="J681">
        <v>2.8151090145111</v>
      </c>
    </row>
    <row r="682" spans="1:10" x14ac:dyDescent="0.2">
      <c r="A682" t="s">
        <v>55</v>
      </c>
      <c r="B682" t="s">
        <v>27</v>
      </c>
      <c r="C682" t="s">
        <v>27</v>
      </c>
      <c r="D682">
        <v>9</v>
      </c>
      <c r="E682" t="s">
        <v>36</v>
      </c>
      <c r="F682" t="s">
        <v>13</v>
      </c>
      <c r="G682">
        <v>0.75698663605322003</v>
      </c>
      <c r="H682">
        <v>0</v>
      </c>
      <c r="I682" t="s">
        <v>14</v>
      </c>
      <c r="J682">
        <v>0.14844608306884699</v>
      </c>
    </row>
    <row r="683" spans="1:10" x14ac:dyDescent="0.2">
      <c r="A683" t="s">
        <v>55</v>
      </c>
      <c r="B683" t="s">
        <v>27</v>
      </c>
      <c r="C683" t="s">
        <v>27</v>
      </c>
      <c r="D683">
        <v>9</v>
      </c>
      <c r="E683" t="s">
        <v>36</v>
      </c>
      <c r="F683" t="s">
        <v>15</v>
      </c>
      <c r="G683">
        <v>0.75767028852767404</v>
      </c>
      <c r="H683">
        <v>3.06072602936165E-2</v>
      </c>
      <c r="I683" t="s">
        <v>14</v>
      </c>
      <c r="J683">
        <v>2.8283398151397701</v>
      </c>
    </row>
    <row r="684" spans="1:10" x14ac:dyDescent="0.2">
      <c r="A684" t="s">
        <v>55</v>
      </c>
      <c r="B684" t="s">
        <v>27</v>
      </c>
      <c r="C684" t="s">
        <v>27</v>
      </c>
      <c r="D684">
        <v>10</v>
      </c>
      <c r="E684" t="s">
        <v>37</v>
      </c>
      <c r="F684" t="s">
        <v>13</v>
      </c>
      <c r="G684">
        <v>0.73824245757385198</v>
      </c>
      <c r="H684">
        <v>0</v>
      </c>
      <c r="I684" t="s">
        <v>14</v>
      </c>
      <c r="J684">
        <v>0.15568923950195299</v>
      </c>
    </row>
    <row r="685" spans="1:10" x14ac:dyDescent="0.2">
      <c r="A685" t="s">
        <v>55</v>
      </c>
      <c r="B685" t="s">
        <v>27</v>
      </c>
      <c r="C685" t="s">
        <v>27</v>
      </c>
      <c r="D685">
        <v>10</v>
      </c>
      <c r="E685" t="s">
        <v>37</v>
      </c>
      <c r="F685" t="s">
        <v>15</v>
      </c>
      <c r="G685">
        <v>0.76506271601650899</v>
      </c>
      <c r="H685">
        <v>3.0496260435927101E-2</v>
      </c>
      <c r="I685" t="s">
        <v>14</v>
      </c>
      <c r="J685">
        <v>2.8074698448181099</v>
      </c>
    </row>
    <row r="686" spans="1:10" x14ac:dyDescent="0.2">
      <c r="A686" t="s">
        <v>55</v>
      </c>
      <c r="B686" t="s">
        <v>27</v>
      </c>
      <c r="C686" t="s">
        <v>27</v>
      </c>
      <c r="D686">
        <v>11</v>
      </c>
      <c r="E686" t="s">
        <v>38</v>
      </c>
      <c r="F686" t="s">
        <v>13</v>
      </c>
      <c r="G686">
        <v>0.74420443349753695</v>
      </c>
      <c r="H686">
        <v>0</v>
      </c>
      <c r="I686" t="s">
        <v>14</v>
      </c>
      <c r="J686">
        <v>0.15865302085876401</v>
      </c>
    </row>
    <row r="687" spans="1:10" x14ac:dyDescent="0.2">
      <c r="A687" t="s">
        <v>55</v>
      </c>
      <c r="B687" t="s">
        <v>27</v>
      </c>
      <c r="C687" t="s">
        <v>27</v>
      </c>
      <c r="D687">
        <v>11</v>
      </c>
      <c r="E687" t="s">
        <v>38</v>
      </c>
      <c r="F687" t="s">
        <v>15</v>
      </c>
      <c r="G687">
        <v>0.762667804034171</v>
      </c>
      <c r="H687">
        <v>3.1374695660379703E-2</v>
      </c>
      <c r="I687" t="s">
        <v>14</v>
      </c>
      <c r="J687">
        <v>2.8675792217254599</v>
      </c>
    </row>
    <row r="688" spans="1:10" x14ac:dyDescent="0.2">
      <c r="A688" t="s">
        <v>55</v>
      </c>
      <c r="B688" t="s">
        <v>27</v>
      </c>
      <c r="C688" t="s">
        <v>27</v>
      </c>
      <c r="D688">
        <v>12</v>
      </c>
      <c r="E688" t="s">
        <v>39</v>
      </c>
      <c r="F688" t="s">
        <v>13</v>
      </c>
      <c r="G688">
        <v>0.79440465927348203</v>
      </c>
      <c r="H688">
        <v>0</v>
      </c>
      <c r="I688" t="s">
        <v>14</v>
      </c>
      <c r="J688">
        <v>0.153273105621337</v>
      </c>
    </row>
    <row r="689" spans="1:10" x14ac:dyDescent="0.2">
      <c r="A689" t="s">
        <v>55</v>
      </c>
      <c r="B689" t="s">
        <v>27</v>
      </c>
      <c r="C689" t="s">
        <v>27</v>
      </c>
      <c r="D689">
        <v>12</v>
      </c>
      <c r="E689" t="s">
        <v>39</v>
      </c>
      <c r="F689" t="s">
        <v>15</v>
      </c>
      <c r="G689">
        <v>0.76637751209386695</v>
      </c>
      <c r="H689">
        <v>2.4735944240376999E-2</v>
      </c>
      <c r="I689" t="s">
        <v>14</v>
      </c>
      <c r="J689">
        <v>2.7936210632324201</v>
      </c>
    </row>
    <row r="690" spans="1:10" x14ac:dyDescent="0.2">
      <c r="A690" t="s">
        <v>55</v>
      </c>
      <c r="B690" t="s">
        <v>40</v>
      </c>
      <c r="C690" t="s">
        <v>40</v>
      </c>
      <c r="D690">
        <v>1</v>
      </c>
      <c r="E690" t="s">
        <v>41</v>
      </c>
      <c r="F690" t="s">
        <v>13</v>
      </c>
      <c r="G690">
        <v>0.70830971659918995</v>
      </c>
      <c r="H690">
        <v>0</v>
      </c>
      <c r="I690" t="s">
        <v>14</v>
      </c>
      <c r="J690">
        <v>3.5173788070678702</v>
      </c>
    </row>
    <row r="691" spans="1:10" x14ac:dyDescent="0.2">
      <c r="A691" t="s">
        <v>55</v>
      </c>
      <c r="B691" t="s">
        <v>40</v>
      </c>
      <c r="C691" t="s">
        <v>40</v>
      </c>
      <c r="D691">
        <v>1</v>
      </c>
      <c r="E691" t="s">
        <v>41</v>
      </c>
      <c r="F691" t="s">
        <v>15</v>
      </c>
      <c r="G691">
        <v>0.766036941779207</v>
      </c>
      <c r="H691">
        <v>3.5776467563310897E-2</v>
      </c>
      <c r="I691" t="s">
        <v>14</v>
      </c>
      <c r="J691">
        <v>31.001513957977199</v>
      </c>
    </row>
    <row r="692" spans="1:10" x14ac:dyDescent="0.2">
      <c r="A692" t="s">
        <v>55</v>
      </c>
      <c r="B692" t="s">
        <v>40</v>
      </c>
      <c r="C692" t="s">
        <v>40</v>
      </c>
      <c r="D692">
        <v>2</v>
      </c>
      <c r="E692" t="s">
        <v>42</v>
      </c>
      <c r="F692" t="s">
        <v>13</v>
      </c>
      <c r="G692">
        <v>0.69056135121708895</v>
      </c>
      <c r="H692">
        <v>0</v>
      </c>
      <c r="I692" t="s">
        <v>14</v>
      </c>
      <c r="J692">
        <v>4.5219612121581996</v>
      </c>
    </row>
    <row r="693" spans="1:10" x14ac:dyDescent="0.2">
      <c r="A693" t="s">
        <v>55</v>
      </c>
      <c r="B693" t="s">
        <v>40</v>
      </c>
      <c r="C693" t="s">
        <v>40</v>
      </c>
      <c r="D693">
        <v>2</v>
      </c>
      <c r="E693" t="s">
        <v>42</v>
      </c>
      <c r="F693" t="s">
        <v>15</v>
      </c>
      <c r="G693">
        <v>0.726182486440062</v>
      </c>
      <c r="H693">
        <v>2.96613626912649E-2</v>
      </c>
      <c r="I693" t="s">
        <v>14</v>
      </c>
      <c r="J693">
        <v>42.916796922683702</v>
      </c>
    </row>
    <row r="694" spans="1:10" x14ac:dyDescent="0.2">
      <c r="A694" t="s">
        <v>55</v>
      </c>
      <c r="B694" t="s">
        <v>40</v>
      </c>
      <c r="C694" t="s">
        <v>40</v>
      </c>
      <c r="D694">
        <v>3</v>
      </c>
      <c r="E694" t="s">
        <v>43</v>
      </c>
      <c r="F694" t="s">
        <v>13</v>
      </c>
      <c r="G694">
        <v>0.72924118231495205</v>
      </c>
      <c r="H694">
        <v>0</v>
      </c>
      <c r="I694" t="s">
        <v>14</v>
      </c>
      <c r="J694">
        <v>5.5555379390716499</v>
      </c>
    </row>
    <row r="695" spans="1:10" x14ac:dyDescent="0.2">
      <c r="A695" t="s">
        <v>55</v>
      </c>
      <c r="B695" t="s">
        <v>40</v>
      </c>
      <c r="C695" t="s">
        <v>40</v>
      </c>
      <c r="D695">
        <v>3</v>
      </c>
      <c r="E695" t="s">
        <v>43</v>
      </c>
      <c r="F695" t="s">
        <v>15</v>
      </c>
      <c r="G695">
        <v>0.74038022049360797</v>
      </c>
      <c r="H695">
        <v>3.6233756775471603E-2</v>
      </c>
      <c r="I695" t="s">
        <v>14</v>
      </c>
      <c r="J695">
        <v>52.8802297115325</v>
      </c>
    </row>
    <row r="696" spans="1:10" x14ac:dyDescent="0.2">
      <c r="A696" t="s">
        <v>55</v>
      </c>
      <c r="B696" t="s">
        <v>40</v>
      </c>
      <c r="C696" t="s">
        <v>40</v>
      </c>
      <c r="D696">
        <v>4</v>
      </c>
      <c r="E696" t="s">
        <v>44</v>
      </c>
      <c r="F696" t="s">
        <v>13</v>
      </c>
      <c r="G696">
        <v>0.72924118231495205</v>
      </c>
      <c r="H696">
        <v>0</v>
      </c>
      <c r="I696" t="s">
        <v>14</v>
      </c>
      <c r="J696">
        <v>8.45312404632568</v>
      </c>
    </row>
    <row r="697" spans="1:10" x14ac:dyDescent="0.2">
      <c r="A697" t="s">
        <v>55</v>
      </c>
      <c r="B697" t="s">
        <v>40</v>
      </c>
      <c r="C697" t="s">
        <v>40</v>
      </c>
      <c r="D697">
        <v>4</v>
      </c>
      <c r="E697" t="s">
        <v>44</v>
      </c>
      <c r="F697" t="s">
        <v>15</v>
      </c>
      <c r="G697">
        <v>0.744958746952741</v>
      </c>
      <c r="H697">
        <v>3.6582309558279097E-2</v>
      </c>
      <c r="I697" t="s">
        <v>14</v>
      </c>
      <c r="J697">
        <v>85.710744142532306</v>
      </c>
    </row>
    <row r="698" spans="1:10" x14ac:dyDescent="0.2">
      <c r="A698" t="s">
        <v>55</v>
      </c>
      <c r="B698" t="s">
        <v>45</v>
      </c>
      <c r="C698" t="s">
        <v>45</v>
      </c>
      <c r="D698">
        <v>1</v>
      </c>
      <c r="E698" t="s">
        <v>41</v>
      </c>
      <c r="F698" t="s">
        <v>13</v>
      </c>
      <c r="G698">
        <v>0.77421165790730995</v>
      </c>
      <c r="H698">
        <v>0</v>
      </c>
      <c r="I698" t="s">
        <v>14</v>
      </c>
      <c r="J698">
        <v>10.2559187412261</v>
      </c>
    </row>
    <row r="699" spans="1:10" x14ac:dyDescent="0.2">
      <c r="A699" t="s">
        <v>55</v>
      </c>
      <c r="B699" t="s">
        <v>45</v>
      </c>
      <c r="C699" t="s">
        <v>45</v>
      </c>
      <c r="D699">
        <v>1</v>
      </c>
      <c r="E699" t="s">
        <v>41</v>
      </c>
      <c r="F699" t="s">
        <v>15</v>
      </c>
      <c r="G699">
        <v>0.78513174964625199</v>
      </c>
      <c r="H699">
        <v>2.6721128225961101E-2</v>
      </c>
      <c r="I699" t="s">
        <v>14</v>
      </c>
      <c r="J699">
        <v>139.032024145126</v>
      </c>
    </row>
    <row r="700" spans="1:10" x14ac:dyDescent="0.2">
      <c r="A700" t="s">
        <v>55</v>
      </c>
      <c r="B700" t="s">
        <v>45</v>
      </c>
      <c r="C700" t="s">
        <v>45</v>
      </c>
      <c r="D700">
        <v>2</v>
      </c>
      <c r="E700" t="s">
        <v>42</v>
      </c>
      <c r="F700" t="s">
        <v>13</v>
      </c>
      <c r="G700">
        <v>0.75982027724048995</v>
      </c>
      <c r="H700">
        <v>0</v>
      </c>
      <c r="I700" t="s">
        <v>14</v>
      </c>
      <c r="J700">
        <v>12.741652965545599</v>
      </c>
    </row>
    <row r="701" spans="1:10" x14ac:dyDescent="0.2">
      <c r="A701" t="s">
        <v>55</v>
      </c>
      <c r="B701" t="s">
        <v>45</v>
      </c>
      <c r="C701" t="s">
        <v>45</v>
      </c>
      <c r="D701">
        <v>2</v>
      </c>
      <c r="E701" t="s">
        <v>42</v>
      </c>
      <c r="F701" t="s">
        <v>15</v>
      </c>
      <c r="G701">
        <v>0.78696942162065198</v>
      </c>
      <c r="H701">
        <v>2.8638682030281401E-2</v>
      </c>
      <c r="I701" t="s">
        <v>14</v>
      </c>
      <c r="J701">
        <v>212.663638830184</v>
      </c>
    </row>
    <row r="702" spans="1:10" x14ac:dyDescent="0.2">
      <c r="A702" t="s">
        <v>55</v>
      </c>
      <c r="B702" t="s">
        <v>45</v>
      </c>
      <c r="C702" t="s">
        <v>45</v>
      </c>
      <c r="D702">
        <v>3</v>
      </c>
      <c r="E702" t="s">
        <v>43</v>
      </c>
      <c r="F702" t="s">
        <v>13</v>
      </c>
      <c r="G702">
        <v>0.74310833101474605</v>
      </c>
      <c r="H702">
        <v>0</v>
      </c>
      <c r="I702" t="s">
        <v>14</v>
      </c>
      <c r="J702">
        <v>14.4311909675598</v>
      </c>
    </row>
    <row r="703" spans="1:10" x14ac:dyDescent="0.2">
      <c r="A703" t="s">
        <v>55</v>
      </c>
      <c r="B703" t="s">
        <v>45</v>
      </c>
      <c r="C703" t="s">
        <v>45</v>
      </c>
      <c r="D703">
        <v>3</v>
      </c>
      <c r="E703" t="s">
        <v>43</v>
      </c>
      <c r="F703" t="s">
        <v>15</v>
      </c>
      <c r="G703">
        <v>0.78748386859755404</v>
      </c>
      <c r="H703">
        <v>2.8567314692836802E-2</v>
      </c>
      <c r="I703" t="s">
        <v>14</v>
      </c>
      <c r="J703">
        <v>279.50037574767998</v>
      </c>
    </row>
    <row r="704" spans="1:10" x14ac:dyDescent="0.2">
      <c r="A704" t="s">
        <v>55</v>
      </c>
      <c r="B704" t="s">
        <v>45</v>
      </c>
      <c r="C704" t="s">
        <v>45</v>
      </c>
      <c r="D704">
        <v>4</v>
      </c>
      <c r="E704" t="s">
        <v>44</v>
      </c>
      <c r="F704" t="s">
        <v>13</v>
      </c>
      <c r="G704">
        <v>0.76279987373737301</v>
      </c>
      <c r="H704">
        <v>0</v>
      </c>
      <c r="I704" t="s">
        <v>14</v>
      </c>
      <c r="J704">
        <v>21.936922311782801</v>
      </c>
    </row>
    <row r="705" spans="1:10" x14ac:dyDescent="0.2">
      <c r="A705" t="s">
        <v>55</v>
      </c>
      <c r="B705" t="s">
        <v>45</v>
      </c>
      <c r="C705" t="s">
        <v>45</v>
      </c>
      <c r="D705">
        <v>4</v>
      </c>
      <c r="E705" t="s">
        <v>44</v>
      </c>
      <c r="F705" t="s">
        <v>15</v>
      </c>
      <c r="G705">
        <v>0.77949324505024598</v>
      </c>
      <c r="H705">
        <v>3.0293933123799702E-2</v>
      </c>
      <c r="I705" t="s">
        <v>14</v>
      </c>
      <c r="J705">
        <v>439.4775390625</v>
      </c>
    </row>
    <row r="706" spans="1:10" x14ac:dyDescent="0.2">
      <c r="A706" t="s">
        <v>56</v>
      </c>
      <c r="B706" t="s">
        <v>11</v>
      </c>
      <c r="C706" t="s">
        <v>11</v>
      </c>
      <c r="D706">
        <v>1</v>
      </c>
      <c r="E706" t="s">
        <v>12</v>
      </c>
      <c r="F706" t="s">
        <v>13</v>
      </c>
      <c r="G706">
        <v>0.62872441391726297</v>
      </c>
      <c r="H706">
        <v>0</v>
      </c>
      <c r="I706" t="s">
        <v>14</v>
      </c>
      <c r="J706">
        <v>6.1672925949096603E-2</v>
      </c>
    </row>
    <row r="707" spans="1:10" x14ac:dyDescent="0.2">
      <c r="A707" t="s">
        <v>56</v>
      </c>
      <c r="B707" t="s">
        <v>11</v>
      </c>
      <c r="C707" t="s">
        <v>11</v>
      </c>
      <c r="D707">
        <v>1</v>
      </c>
      <c r="E707" t="s">
        <v>12</v>
      </c>
      <c r="F707" t="s">
        <v>15</v>
      </c>
      <c r="G707">
        <v>0.64343391550243101</v>
      </c>
      <c r="H707">
        <v>4.48085693957413E-2</v>
      </c>
      <c r="I707" t="s">
        <v>14</v>
      </c>
      <c r="J707">
        <v>0.85092782974243097</v>
      </c>
    </row>
    <row r="708" spans="1:10" x14ac:dyDescent="0.2">
      <c r="A708" t="s">
        <v>56</v>
      </c>
      <c r="B708" t="s">
        <v>11</v>
      </c>
      <c r="C708" t="s">
        <v>11</v>
      </c>
      <c r="D708">
        <v>2</v>
      </c>
      <c r="E708" t="s">
        <v>16</v>
      </c>
      <c r="F708" t="s">
        <v>13</v>
      </c>
      <c r="G708">
        <v>0.660598889062744</v>
      </c>
      <c r="H708">
        <v>0</v>
      </c>
      <c r="I708" t="s">
        <v>14</v>
      </c>
      <c r="J708">
        <v>8.3325862884521401E-2</v>
      </c>
    </row>
    <row r="709" spans="1:10" x14ac:dyDescent="0.2">
      <c r="A709" t="s">
        <v>56</v>
      </c>
      <c r="B709" t="s">
        <v>11</v>
      </c>
      <c r="C709" t="s">
        <v>11</v>
      </c>
      <c r="D709">
        <v>2</v>
      </c>
      <c r="E709" t="s">
        <v>16</v>
      </c>
      <c r="F709" t="s">
        <v>15</v>
      </c>
      <c r="G709">
        <v>0.64960068807718097</v>
      </c>
      <c r="H709">
        <v>5.0892986949211801E-2</v>
      </c>
      <c r="I709" t="s">
        <v>14</v>
      </c>
      <c r="J709">
        <v>1.9034910202026301</v>
      </c>
    </row>
    <row r="710" spans="1:10" x14ac:dyDescent="0.2">
      <c r="A710" t="s">
        <v>56</v>
      </c>
      <c r="B710" t="s">
        <v>11</v>
      </c>
      <c r="C710" t="s">
        <v>11</v>
      </c>
      <c r="D710">
        <v>3</v>
      </c>
      <c r="E710" t="s">
        <v>17</v>
      </c>
      <c r="F710" t="s">
        <v>13</v>
      </c>
      <c r="G710">
        <v>0.62872441391726297</v>
      </c>
      <c r="H710">
        <v>0</v>
      </c>
      <c r="I710" t="s">
        <v>14</v>
      </c>
      <c r="J710">
        <v>0.11633110046386699</v>
      </c>
    </row>
    <row r="711" spans="1:10" x14ac:dyDescent="0.2">
      <c r="A711" t="s">
        <v>56</v>
      </c>
      <c r="B711" t="s">
        <v>11</v>
      </c>
      <c r="C711" t="s">
        <v>11</v>
      </c>
      <c r="D711">
        <v>3</v>
      </c>
      <c r="E711" t="s">
        <v>17</v>
      </c>
      <c r="F711" t="s">
        <v>15</v>
      </c>
      <c r="G711">
        <v>0.63755291531840097</v>
      </c>
      <c r="H711">
        <v>4.77124289712181E-2</v>
      </c>
      <c r="I711" t="s">
        <v>14</v>
      </c>
      <c r="J711">
        <v>2.1683771610260001</v>
      </c>
    </row>
    <row r="712" spans="1:10" x14ac:dyDescent="0.2">
      <c r="A712" t="s">
        <v>56</v>
      </c>
      <c r="B712" t="s">
        <v>11</v>
      </c>
      <c r="C712" t="s">
        <v>11</v>
      </c>
      <c r="D712">
        <v>4</v>
      </c>
      <c r="E712" t="s">
        <v>18</v>
      </c>
      <c r="F712" t="s">
        <v>13</v>
      </c>
      <c r="G712">
        <v>0.75698663605322003</v>
      </c>
      <c r="H712">
        <v>0</v>
      </c>
      <c r="I712" t="s">
        <v>14</v>
      </c>
      <c r="J712">
        <v>6.9762945175170898E-2</v>
      </c>
    </row>
    <row r="713" spans="1:10" x14ac:dyDescent="0.2">
      <c r="A713" t="s">
        <v>56</v>
      </c>
      <c r="B713" t="s">
        <v>11</v>
      </c>
      <c r="C713" t="s">
        <v>11</v>
      </c>
      <c r="D713">
        <v>4</v>
      </c>
      <c r="E713" t="s">
        <v>18</v>
      </c>
      <c r="F713" t="s">
        <v>15</v>
      </c>
      <c r="G713">
        <v>0.71915031484887504</v>
      </c>
      <c r="H713">
        <v>4.4367791247289498E-2</v>
      </c>
      <c r="I713" t="s">
        <v>14</v>
      </c>
      <c r="J713">
        <v>0.77337217330932595</v>
      </c>
    </row>
    <row r="714" spans="1:10" x14ac:dyDescent="0.2">
      <c r="A714" t="s">
        <v>56</v>
      </c>
      <c r="B714" t="s">
        <v>11</v>
      </c>
      <c r="C714" t="s">
        <v>11</v>
      </c>
      <c r="D714">
        <v>5</v>
      </c>
      <c r="E714" t="s">
        <v>19</v>
      </c>
      <c r="F714" t="s">
        <v>13</v>
      </c>
      <c r="G714">
        <v>0.80062656641604002</v>
      </c>
      <c r="H714">
        <v>0</v>
      </c>
      <c r="I714" t="s">
        <v>14</v>
      </c>
      <c r="J714">
        <v>8.9587926864623996E-2</v>
      </c>
    </row>
    <row r="715" spans="1:10" x14ac:dyDescent="0.2">
      <c r="A715" t="s">
        <v>56</v>
      </c>
      <c r="B715" t="s">
        <v>11</v>
      </c>
      <c r="C715" t="s">
        <v>11</v>
      </c>
      <c r="D715">
        <v>5</v>
      </c>
      <c r="E715" t="s">
        <v>19</v>
      </c>
      <c r="F715" t="s">
        <v>15</v>
      </c>
      <c r="G715">
        <v>0.74795245242880903</v>
      </c>
      <c r="H715">
        <v>6.0166954768339297E-2</v>
      </c>
      <c r="I715" t="s">
        <v>14</v>
      </c>
      <c r="J715">
        <v>1.36234903335571</v>
      </c>
    </row>
    <row r="716" spans="1:10" x14ac:dyDescent="0.2">
      <c r="A716" t="s">
        <v>56</v>
      </c>
      <c r="B716" t="s">
        <v>11</v>
      </c>
      <c r="C716" t="s">
        <v>11</v>
      </c>
      <c r="D716">
        <v>6</v>
      </c>
      <c r="E716" t="s">
        <v>20</v>
      </c>
      <c r="F716" t="s">
        <v>13</v>
      </c>
      <c r="G716">
        <v>0.788165726817042</v>
      </c>
      <c r="H716">
        <v>0</v>
      </c>
      <c r="I716" t="s">
        <v>14</v>
      </c>
      <c r="J716">
        <v>0.12622404098510701</v>
      </c>
    </row>
    <row r="717" spans="1:10" x14ac:dyDescent="0.2">
      <c r="A717" t="s">
        <v>56</v>
      </c>
      <c r="B717" t="s">
        <v>11</v>
      </c>
      <c r="C717" t="s">
        <v>11</v>
      </c>
      <c r="D717">
        <v>6</v>
      </c>
      <c r="E717" t="s">
        <v>20</v>
      </c>
      <c r="F717" t="s">
        <v>15</v>
      </c>
      <c r="G717">
        <v>0.75653158513570795</v>
      </c>
      <c r="H717">
        <v>5.2861223461310003E-2</v>
      </c>
      <c r="I717" t="s">
        <v>14</v>
      </c>
      <c r="J717">
        <v>1.8640050888061499</v>
      </c>
    </row>
    <row r="718" spans="1:10" x14ac:dyDescent="0.2">
      <c r="A718" t="s">
        <v>56</v>
      </c>
      <c r="B718" t="s">
        <v>11</v>
      </c>
      <c r="C718" t="s">
        <v>11</v>
      </c>
      <c r="D718">
        <v>7</v>
      </c>
      <c r="E718" t="s">
        <v>21</v>
      </c>
      <c r="F718" t="s">
        <v>13</v>
      </c>
      <c r="G718">
        <v>0.73658026755852801</v>
      </c>
      <c r="H718">
        <v>0</v>
      </c>
      <c r="I718" t="s">
        <v>14</v>
      </c>
      <c r="J718">
        <v>4.36749458312988E-2</v>
      </c>
    </row>
    <row r="719" spans="1:10" x14ac:dyDescent="0.2">
      <c r="A719" t="s">
        <v>56</v>
      </c>
      <c r="B719" t="s">
        <v>11</v>
      </c>
      <c r="C719" t="s">
        <v>11</v>
      </c>
      <c r="D719">
        <v>7</v>
      </c>
      <c r="E719" t="s">
        <v>21</v>
      </c>
      <c r="F719" t="s">
        <v>15</v>
      </c>
      <c r="G719">
        <v>0.70599833973944004</v>
      </c>
      <c r="H719">
        <v>3.6429227580618097E-2</v>
      </c>
      <c r="I719" t="s">
        <v>14</v>
      </c>
      <c r="J719">
        <v>0.48544979095458901</v>
      </c>
    </row>
    <row r="720" spans="1:10" x14ac:dyDescent="0.2">
      <c r="A720" t="s">
        <v>56</v>
      </c>
      <c r="B720" t="s">
        <v>11</v>
      </c>
      <c r="C720" t="s">
        <v>11</v>
      </c>
      <c r="D720">
        <v>8</v>
      </c>
      <c r="E720" t="s">
        <v>22</v>
      </c>
      <c r="F720" t="s">
        <v>13</v>
      </c>
      <c r="G720">
        <v>0.754542042042042</v>
      </c>
      <c r="H720">
        <v>0</v>
      </c>
      <c r="I720" t="s">
        <v>14</v>
      </c>
      <c r="J720">
        <v>4.7529935836791902E-2</v>
      </c>
    </row>
    <row r="721" spans="1:10" x14ac:dyDescent="0.2">
      <c r="A721" t="s">
        <v>56</v>
      </c>
      <c r="B721" t="s">
        <v>11</v>
      </c>
      <c r="C721" t="s">
        <v>11</v>
      </c>
      <c r="D721">
        <v>8</v>
      </c>
      <c r="E721" t="s">
        <v>22</v>
      </c>
      <c r="F721" t="s">
        <v>15</v>
      </c>
      <c r="G721">
        <v>0.69805935446441802</v>
      </c>
      <c r="H721">
        <v>3.6927857289095999E-2</v>
      </c>
      <c r="I721" t="s">
        <v>14</v>
      </c>
      <c r="J721">
        <v>0.77352499961853005</v>
      </c>
    </row>
    <row r="722" spans="1:10" x14ac:dyDescent="0.2">
      <c r="A722" t="s">
        <v>56</v>
      </c>
      <c r="B722" t="s">
        <v>11</v>
      </c>
      <c r="C722" t="s">
        <v>11</v>
      </c>
      <c r="D722">
        <v>9</v>
      </c>
      <c r="E722" t="s">
        <v>23</v>
      </c>
      <c r="F722" t="s">
        <v>13</v>
      </c>
      <c r="G722">
        <v>0.73658026755852801</v>
      </c>
      <c r="H722">
        <v>0</v>
      </c>
      <c r="I722" t="s">
        <v>14</v>
      </c>
      <c r="J722">
        <v>7.1219205856323201E-2</v>
      </c>
    </row>
    <row r="723" spans="1:10" x14ac:dyDescent="0.2">
      <c r="A723" t="s">
        <v>56</v>
      </c>
      <c r="B723" t="s">
        <v>11</v>
      </c>
      <c r="C723" t="s">
        <v>11</v>
      </c>
      <c r="D723">
        <v>9</v>
      </c>
      <c r="E723" t="s">
        <v>23</v>
      </c>
      <c r="F723" t="s">
        <v>15</v>
      </c>
      <c r="G723">
        <v>0.69668633153910398</v>
      </c>
      <c r="H723">
        <v>4.1590179720368901E-2</v>
      </c>
      <c r="I723" t="s">
        <v>14</v>
      </c>
      <c r="J723">
        <v>1.05771684646606</v>
      </c>
    </row>
    <row r="724" spans="1:10" x14ac:dyDescent="0.2">
      <c r="A724" t="s">
        <v>56</v>
      </c>
      <c r="B724" t="s">
        <v>11</v>
      </c>
      <c r="C724" t="s">
        <v>11</v>
      </c>
      <c r="D724">
        <v>10</v>
      </c>
      <c r="E724" t="s">
        <v>24</v>
      </c>
      <c r="F724" t="s">
        <v>13</v>
      </c>
      <c r="G724">
        <v>0.76916009852216705</v>
      </c>
      <c r="H724">
        <v>0</v>
      </c>
      <c r="I724" t="s">
        <v>14</v>
      </c>
      <c r="J724">
        <v>5.4975290298461896</v>
      </c>
    </row>
    <row r="725" spans="1:10" x14ac:dyDescent="0.2">
      <c r="A725" t="s">
        <v>56</v>
      </c>
      <c r="B725" t="s">
        <v>11</v>
      </c>
      <c r="C725" t="s">
        <v>11</v>
      </c>
      <c r="D725">
        <v>10</v>
      </c>
      <c r="E725" t="s">
        <v>24</v>
      </c>
      <c r="F725" t="s">
        <v>15</v>
      </c>
      <c r="G725">
        <v>0.74150220628341001</v>
      </c>
      <c r="H725">
        <v>5.3972633419330403E-2</v>
      </c>
      <c r="I725" t="s">
        <v>14</v>
      </c>
      <c r="J725">
        <v>135.19075298309301</v>
      </c>
    </row>
    <row r="726" spans="1:10" x14ac:dyDescent="0.2">
      <c r="A726" t="s">
        <v>56</v>
      </c>
      <c r="B726" t="s">
        <v>11</v>
      </c>
      <c r="C726" t="s">
        <v>11</v>
      </c>
      <c r="D726">
        <v>11</v>
      </c>
      <c r="E726" t="s">
        <v>25</v>
      </c>
      <c r="F726" t="s">
        <v>13</v>
      </c>
      <c r="G726">
        <v>0.75698663605322003</v>
      </c>
      <c r="H726">
        <v>0</v>
      </c>
      <c r="I726" t="s">
        <v>14</v>
      </c>
      <c r="J726">
        <v>9.5509269237518293</v>
      </c>
    </row>
    <row r="727" spans="1:10" x14ac:dyDescent="0.2">
      <c r="A727" t="s">
        <v>56</v>
      </c>
      <c r="B727" t="s">
        <v>11</v>
      </c>
      <c r="C727" t="s">
        <v>11</v>
      </c>
      <c r="D727">
        <v>11</v>
      </c>
      <c r="E727" t="s">
        <v>25</v>
      </c>
      <c r="F727" t="s">
        <v>15</v>
      </c>
      <c r="G727">
        <v>0.74272714299614495</v>
      </c>
      <c r="H727">
        <v>5.7079934031973797E-2</v>
      </c>
      <c r="I727" t="s">
        <v>14</v>
      </c>
      <c r="J727">
        <v>279.7165517807</v>
      </c>
    </row>
    <row r="728" spans="1:10" x14ac:dyDescent="0.2">
      <c r="A728" t="s">
        <v>56</v>
      </c>
      <c r="B728" t="s">
        <v>11</v>
      </c>
      <c r="C728" t="s">
        <v>11</v>
      </c>
      <c r="D728">
        <v>12</v>
      </c>
      <c r="E728" t="s">
        <v>26</v>
      </c>
      <c r="F728" t="s">
        <v>13</v>
      </c>
      <c r="G728">
        <v>0.76934106012347103</v>
      </c>
      <c r="H728">
        <v>0</v>
      </c>
      <c r="I728" t="s">
        <v>14</v>
      </c>
      <c r="J728">
        <v>12.6184659004211</v>
      </c>
    </row>
    <row r="729" spans="1:10" x14ac:dyDescent="0.2">
      <c r="A729" t="s">
        <v>56</v>
      </c>
      <c r="B729" t="s">
        <v>11</v>
      </c>
      <c r="C729" t="s">
        <v>11</v>
      </c>
      <c r="D729">
        <v>12</v>
      </c>
      <c r="E729" t="s">
        <v>26</v>
      </c>
      <c r="F729" t="s">
        <v>15</v>
      </c>
      <c r="G729">
        <v>0.745294547180679</v>
      </c>
      <c r="H729">
        <v>5.7076596933423998E-2</v>
      </c>
      <c r="I729" t="s">
        <v>14</v>
      </c>
      <c r="J729">
        <v>409.14205288887001</v>
      </c>
    </row>
    <row r="730" spans="1:10" x14ac:dyDescent="0.2">
      <c r="A730" t="s">
        <v>56</v>
      </c>
      <c r="B730" t="s">
        <v>27</v>
      </c>
      <c r="C730" t="s">
        <v>27</v>
      </c>
      <c r="D730">
        <v>1</v>
      </c>
      <c r="E730" t="s">
        <v>28</v>
      </c>
      <c r="F730" t="s">
        <v>13</v>
      </c>
      <c r="G730">
        <v>0.76933773216031198</v>
      </c>
      <c r="H730">
        <v>0</v>
      </c>
      <c r="I730" t="s">
        <v>14</v>
      </c>
      <c r="J730">
        <v>9.6490144729614202E-2</v>
      </c>
    </row>
    <row r="731" spans="1:10" x14ac:dyDescent="0.2">
      <c r="A731" t="s">
        <v>56</v>
      </c>
      <c r="B731" t="s">
        <v>27</v>
      </c>
      <c r="C731" t="s">
        <v>27</v>
      </c>
      <c r="D731">
        <v>1</v>
      </c>
      <c r="E731" t="s">
        <v>28</v>
      </c>
      <c r="F731" t="s">
        <v>15</v>
      </c>
      <c r="G731">
        <v>0.74736326737693004</v>
      </c>
      <c r="H731">
        <v>5.6393040720326103E-2</v>
      </c>
      <c r="I731" t="s">
        <v>14</v>
      </c>
      <c r="J731">
        <v>1.76256704330444</v>
      </c>
    </row>
    <row r="732" spans="1:10" x14ac:dyDescent="0.2">
      <c r="A732" t="s">
        <v>56</v>
      </c>
      <c r="B732" t="s">
        <v>27</v>
      </c>
      <c r="C732" t="s">
        <v>27</v>
      </c>
      <c r="D732">
        <v>2</v>
      </c>
      <c r="E732" t="s">
        <v>29</v>
      </c>
      <c r="F732" t="s">
        <v>13</v>
      </c>
      <c r="G732">
        <v>0.80056329212955701</v>
      </c>
      <c r="H732">
        <v>0</v>
      </c>
      <c r="I732" t="s">
        <v>14</v>
      </c>
      <c r="J732">
        <v>9.41030979156494E-2</v>
      </c>
    </row>
    <row r="733" spans="1:10" x14ac:dyDescent="0.2">
      <c r="A733" t="s">
        <v>56</v>
      </c>
      <c r="B733" t="s">
        <v>27</v>
      </c>
      <c r="C733" t="s">
        <v>27</v>
      </c>
      <c r="D733">
        <v>2</v>
      </c>
      <c r="E733" t="s">
        <v>29</v>
      </c>
      <c r="F733" t="s">
        <v>15</v>
      </c>
      <c r="G733">
        <v>0.75260773979987305</v>
      </c>
      <c r="H733">
        <v>4.9256242639696302E-2</v>
      </c>
      <c r="I733" t="s">
        <v>14</v>
      </c>
      <c r="J733">
        <v>1.68361496925354</v>
      </c>
    </row>
    <row r="734" spans="1:10" x14ac:dyDescent="0.2">
      <c r="A734" t="s">
        <v>56</v>
      </c>
      <c r="B734" t="s">
        <v>27</v>
      </c>
      <c r="C734" t="s">
        <v>27</v>
      </c>
      <c r="D734">
        <v>3</v>
      </c>
      <c r="E734" t="s">
        <v>30</v>
      </c>
      <c r="F734" t="s">
        <v>13</v>
      </c>
      <c r="G734">
        <v>0.77549249530956799</v>
      </c>
      <c r="H734">
        <v>0</v>
      </c>
      <c r="I734" t="s">
        <v>14</v>
      </c>
      <c r="J734">
        <v>9.3904018402099595E-2</v>
      </c>
    </row>
    <row r="735" spans="1:10" x14ac:dyDescent="0.2">
      <c r="A735" t="s">
        <v>56</v>
      </c>
      <c r="B735" t="s">
        <v>27</v>
      </c>
      <c r="C735" t="s">
        <v>27</v>
      </c>
      <c r="D735">
        <v>3</v>
      </c>
      <c r="E735" t="s">
        <v>30</v>
      </c>
      <c r="F735" t="s">
        <v>15</v>
      </c>
      <c r="G735">
        <v>0.73802956217461801</v>
      </c>
      <c r="H735">
        <v>5.1969744158524601E-2</v>
      </c>
      <c r="I735" t="s">
        <v>14</v>
      </c>
      <c r="J735">
        <v>1.73680591583251</v>
      </c>
    </row>
    <row r="736" spans="1:10" x14ac:dyDescent="0.2">
      <c r="A736" t="s">
        <v>56</v>
      </c>
      <c r="B736" t="s">
        <v>27</v>
      </c>
      <c r="C736" t="s">
        <v>27</v>
      </c>
      <c r="D736">
        <v>4</v>
      </c>
      <c r="E736" t="s">
        <v>31</v>
      </c>
      <c r="F736" t="s">
        <v>13</v>
      </c>
      <c r="G736">
        <v>0.77570488721804498</v>
      </c>
      <c r="H736">
        <v>0</v>
      </c>
      <c r="I736" t="s">
        <v>14</v>
      </c>
      <c r="J736">
        <v>9.6858978271484306E-2</v>
      </c>
    </row>
    <row r="737" spans="1:10" x14ac:dyDescent="0.2">
      <c r="A737" t="s">
        <v>56</v>
      </c>
      <c r="B737" t="s">
        <v>27</v>
      </c>
      <c r="C737" t="s">
        <v>27</v>
      </c>
      <c r="D737">
        <v>4</v>
      </c>
      <c r="E737" t="s">
        <v>31</v>
      </c>
      <c r="F737" t="s">
        <v>15</v>
      </c>
      <c r="G737">
        <v>0.74393124449985704</v>
      </c>
      <c r="H737">
        <v>5.2249120083914101E-2</v>
      </c>
      <c r="I737" t="s">
        <v>14</v>
      </c>
      <c r="J737">
        <v>1.69408202171325</v>
      </c>
    </row>
    <row r="738" spans="1:10" x14ac:dyDescent="0.2">
      <c r="A738" t="s">
        <v>56</v>
      </c>
      <c r="B738" t="s">
        <v>27</v>
      </c>
      <c r="C738" t="s">
        <v>27</v>
      </c>
      <c r="D738">
        <v>5</v>
      </c>
      <c r="E738" t="s">
        <v>32</v>
      </c>
      <c r="F738" t="s">
        <v>13</v>
      </c>
      <c r="G738">
        <v>0.76944689053266002</v>
      </c>
      <c r="H738">
        <v>0</v>
      </c>
      <c r="I738" t="s">
        <v>14</v>
      </c>
      <c r="J738">
        <v>9.1202020645141602E-2</v>
      </c>
    </row>
    <row r="739" spans="1:10" x14ac:dyDescent="0.2">
      <c r="A739" t="s">
        <v>56</v>
      </c>
      <c r="B739" t="s">
        <v>27</v>
      </c>
      <c r="C739" t="s">
        <v>27</v>
      </c>
      <c r="D739">
        <v>5</v>
      </c>
      <c r="E739" t="s">
        <v>32</v>
      </c>
      <c r="F739" t="s">
        <v>15</v>
      </c>
      <c r="G739">
        <v>0.75157071172818302</v>
      </c>
      <c r="H739">
        <v>5.2581655873947003E-2</v>
      </c>
      <c r="I739" t="s">
        <v>14</v>
      </c>
      <c r="J739">
        <v>1.7511861324310301</v>
      </c>
    </row>
    <row r="740" spans="1:10" x14ac:dyDescent="0.2">
      <c r="A740" t="s">
        <v>56</v>
      </c>
      <c r="B740" t="s">
        <v>27</v>
      </c>
      <c r="C740" t="s">
        <v>27</v>
      </c>
      <c r="D740">
        <v>6</v>
      </c>
      <c r="E740" t="s">
        <v>33</v>
      </c>
      <c r="F740" t="s">
        <v>13</v>
      </c>
      <c r="G740">
        <v>0.788165726817042</v>
      </c>
      <c r="H740">
        <v>0</v>
      </c>
      <c r="I740" t="s">
        <v>14</v>
      </c>
      <c r="J740">
        <v>0.100641727447509</v>
      </c>
    </row>
    <row r="741" spans="1:10" x14ac:dyDescent="0.2">
      <c r="A741" t="s">
        <v>56</v>
      </c>
      <c r="B741" t="s">
        <v>27</v>
      </c>
      <c r="C741" t="s">
        <v>27</v>
      </c>
      <c r="D741">
        <v>6</v>
      </c>
      <c r="E741" t="s">
        <v>33</v>
      </c>
      <c r="F741" t="s">
        <v>15</v>
      </c>
      <c r="G741">
        <v>0.74930733657342596</v>
      </c>
      <c r="H741">
        <v>5.2948310224397999E-2</v>
      </c>
      <c r="I741" t="s">
        <v>14</v>
      </c>
      <c r="J741">
        <v>1.74174308776855</v>
      </c>
    </row>
    <row r="742" spans="1:10" x14ac:dyDescent="0.2">
      <c r="A742" t="s">
        <v>56</v>
      </c>
      <c r="B742" t="s">
        <v>27</v>
      </c>
      <c r="C742" t="s">
        <v>27</v>
      </c>
      <c r="D742">
        <v>7</v>
      </c>
      <c r="E742" t="s">
        <v>34</v>
      </c>
      <c r="F742" t="s">
        <v>13</v>
      </c>
      <c r="G742">
        <v>0.78809849788765396</v>
      </c>
      <c r="H742">
        <v>0</v>
      </c>
      <c r="I742" t="s">
        <v>14</v>
      </c>
      <c r="J742">
        <v>9.4274997711181599E-2</v>
      </c>
    </row>
    <row r="743" spans="1:10" x14ac:dyDescent="0.2">
      <c r="A743" t="s">
        <v>56</v>
      </c>
      <c r="B743" t="s">
        <v>27</v>
      </c>
      <c r="C743" t="s">
        <v>27</v>
      </c>
      <c r="D743">
        <v>7</v>
      </c>
      <c r="E743" t="s">
        <v>34</v>
      </c>
      <c r="F743" t="s">
        <v>15</v>
      </c>
      <c r="G743">
        <v>0.75409246632182503</v>
      </c>
      <c r="H743">
        <v>6.3594064217933205E-2</v>
      </c>
      <c r="I743" t="s">
        <v>14</v>
      </c>
      <c r="J743">
        <v>1.76769375801086</v>
      </c>
    </row>
    <row r="744" spans="1:10" x14ac:dyDescent="0.2">
      <c r="A744" t="s">
        <v>56</v>
      </c>
      <c r="B744" t="s">
        <v>27</v>
      </c>
      <c r="C744" t="s">
        <v>27</v>
      </c>
      <c r="D744">
        <v>8</v>
      </c>
      <c r="E744" t="s">
        <v>35</v>
      </c>
      <c r="F744" t="s">
        <v>13</v>
      </c>
      <c r="G744">
        <v>0.75702368823229704</v>
      </c>
      <c r="H744">
        <v>0</v>
      </c>
      <c r="I744" t="s">
        <v>14</v>
      </c>
      <c r="J744">
        <v>9.6606969833373996E-2</v>
      </c>
    </row>
    <row r="745" spans="1:10" x14ac:dyDescent="0.2">
      <c r="A745" t="s">
        <v>56</v>
      </c>
      <c r="B745" t="s">
        <v>27</v>
      </c>
      <c r="C745" t="s">
        <v>27</v>
      </c>
      <c r="D745">
        <v>8</v>
      </c>
      <c r="E745" t="s">
        <v>35</v>
      </c>
      <c r="F745" t="s">
        <v>15</v>
      </c>
      <c r="G745">
        <v>0.75803600734361898</v>
      </c>
      <c r="H745">
        <v>5.53911794293152E-2</v>
      </c>
      <c r="I745" t="s">
        <v>14</v>
      </c>
      <c r="J745">
        <v>1.7914576530456501</v>
      </c>
    </row>
    <row r="746" spans="1:10" x14ac:dyDescent="0.2">
      <c r="A746" t="s">
        <v>56</v>
      </c>
      <c r="B746" t="s">
        <v>27</v>
      </c>
      <c r="C746" t="s">
        <v>27</v>
      </c>
      <c r="D746">
        <v>9</v>
      </c>
      <c r="E746" t="s">
        <v>36</v>
      </c>
      <c r="F746" t="s">
        <v>13</v>
      </c>
      <c r="G746">
        <v>0.77563370364575102</v>
      </c>
      <c r="H746">
        <v>0</v>
      </c>
      <c r="I746" t="s">
        <v>14</v>
      </c>
      <c r="J746">
        <v>9.51712131500244E-2</v>
      </c>
    </row>
    <row r="747" spans="1:10" x14ac:dyDescent="0.2">
      <c r="A747" t="s">
        <v>56</v>
      </c>
      <c r="B747" t="s">
        <v>27</v>
      </c>
      <c r="C747" t="s">
        <v>27</v>
      </c>
      <c r="D747">
        <v>9</v>
      </c>
      <c r="E747" t="s">
        <v>36</v>
      </c>
      <c r="F747" t="s">
        <v>15</v>
      </c>
      <c r="G747">
        <v>0.74163990249044698</v>
      </c>
      <c r="H747">
        <v>5.6662676637838E-2</v>
      </c>
      <c r="I747" t="s">
        <v>14</v>
      </c>
      <c r="J747">
        <v>1.7611000537872299</v>
      </c>
    </row>
    <row r="748" spans="1:10" x14ac:dyDescent="0.2">
      <c r="A748" t="s">
        <v>56</v>
      </c>
      <c r="B748" t="s">
        <v>27</v>
      </c>
      <c r="C748" t="s">
        <v>27</v>
      </c>
      <c r="D748">
        <v>10</v>
      </c>
      <c r="E748" t="s">
        <v>37</v>
      </c>
      <c r="F748" t="s">
        <v>13</v>
      </c>
      <c r="G748">
        <v>0.78180596285435</v>
      </c>
      <c r="H748">
        <v>0</v>
      </c>
      <c r="I748" t="s">
        <v>14</v>
      </c>
      <c r="J748">
        <v>9.62109565734863E-2</v>
      </c>
    </row>
    <row r="749" spans="1:10" x14ac:dyDescent="0.2">
      <c r="A749" t="s">
        <v>56</v>
      </c>
      <c r="B749" t="s">
        <v>27</v>
      </c>
      <c r="C749" t="s">
        <v>27</v>
      </c>
      <c r="D749">
        <v>10</v>
      </c>
      <c r="E749" t="s">
        <v>37</v>
      </c>
      <c r="F749" t="s">
        <v>15</v>
      </c>
      <c r="G749">
        <v>0.74407771663881095</v>
      </c>
      <c r="H749">
        <v>5.6224914027943503E-2</v>
      </c>
      <c r="I749" t="s">
        <v>14</v>
      </c>
      <c r="J749">
        <v>1.73144006729125</v>
      </c>
    </row>
    <row r="750" spans="1:10" x14ac:dyDescent="0.2">
      <c r="A750" t="s">
        <v>56</v>
      </c>
      <c r="B750" t="s">
        <v>27</v>
      </c>
      <c r="C750" t="s">
        <v>27</v>
      </c>
      <c r="D750">
        <v>11</v>
      </c>
      <c r="E750" t="s">
        <v>38</v>
      </c>
      <c r="F750" t="s">
        <v>13</v>
      </c>
      <c r="G750">
        <v>0.77563370364575102</v>
      </c>
      <c r="H750">
        <v>0</v>
      </c>
      <c r="I750" t="s">
        <v>14</v>
      </c>
      <c r="J750">
        <v>9.6683025360107394E-2</v>
      </c>
    </row>
    <row r="751" spans="1:10" x14ac:dyDescent="0.2">
      <c r="A751" t="s">
        <v>56</v>
      </c>
      <c r="B751" t="s">
        <v>27</v>
      </c>
      <c r="C751" t="s">
        <v>27</v>
      </c>
      <c r="D751">
        <v>11</v>
      </c>
      <c r="E751" t="s">
        <v>38</v>
      </c>
      <c r="F751" t="s">
        <v>15</v>
      </c>
      <c r="G751">
        <v>0.750331644939225</v>
      </c>
      <c r="H751">
        <v>4.9339686702329202E-2</v>
      </c>
      <c r="I751" t="s">
        <v>14</v>
      </c>
      <c r="J751">
        <v>1.77783107757568</v>
      </c>
    </row>
    <row r="752" spans="1:10" x14ac:dyDescent="0.2">
      <c r="A752" t="s">
        <v>56</v>
      </c>
      <c r="B752" t="s">
        <v>27</v>
      </c>
      <c r="C752" t="s">
        <v>27</v>
      </c>
      <c r="D752">
        <v>12</v>
      </c>
      <c r="E752" t="s">
        <v>39</v>
      </c>
      <c r="F752" t="s">
        <v>13</v>
      </c>
      <c r="G752">
        <v>0.78180596285435</v>
      </c>
      <c r="H752">
        <v>0</v>
      </c>
      <c r="I752" t="s">
        <v>14</v>
      </c>
      <c r="J752">
        <v>9.8970890045166002E-2</v>
      </c>
    </row>
    <row r="753" spans="1:10" x14ac:dyDescent="0.2">
      <c r="A753" t="s">
        <v>56</v>
      </c>
      <c r="B753" t="s">
        <v>27</v>
      </c>
      <c r="C753" t="s">
        <v>27</v>
      </c>
      <c r="D753">
        <v>12</v>
      </c>
      <c r="E753" t="s">
        <v>39</v>
      </c>
      <c r="F753" t="s">
        <v>15</v>
      </c>
      <c r="G753">
        <v>0.74916183604729703</v>
      </c>
      <c r="H753">
        <v>5.1283020854940797E-2</v>
      </c>
      <c r="I753" t="s">
        <v>14</v>
      </c>
      <c r="J753">
        <v>1.74594926834106</v>
      </c>
    </row>
    <row r="754" spans="1:10" x14ac:dyDescent="0.2">
      <c r="A754" t="s">
        <v>56</v>
      </c>
      <c r="B754" t="s">
        <v>40</v>
      </c>
      <c r="C754" t="s">
        <v>40</v>
      </c>
      <c r="D754">
        <v>1</v>
      </c>
      <c r="E754" t="s">
        <v>41</v>
      </c>
      <c r="F754" t="s">
        <v>13</v>
      </c>
      <c r="G754">
        <v>0.78809849788765396</v>
      </c>
      <c r="H754">
        <v>0</v>
      </c>
      <c r="I754" t="s">
        <v>14</v>
      </c>
      <c r="J754">
        <v>0.75136399269104004</v>
      </c>
    </row>
    <row r="755" spans="1:10" x14ac:dyDescent="0.2">
      <c r="A755" t="s">
        <v>56</v>
      </c>
      <c r="B755" t="s">
        <v>40</v>
      </c>
      <c r="C755" t="s">
        <v>40</v>
      </c>
      <c r="D755">
        <v>1</v>
      </c>
      <c r="E755" t="s">
        <v>41</v>
      </c>
      <c r="F755" t="s">
        <v>15</v>
      </c>
      <c r="G755">
        <v>0.73779809736703295</v>
      </c>
      <c r="H755">
        <v>5.2758928724565599E-2</v>
      </c>
      <c r="I755" t="s">
        <v>14</v>
      </c>
      <c r="J755">
        <v>24.510234117507899</v>
      </c>
    </row>
    <row r="756" spans="1:10" x14ac:dyDescent="0.2">
      <c r="A756" t="s">
        <v>56</v>
      </c>
      <c r="B756" t="s">
        <v>40</v>
      </c>
      <c r="C756" t="s">
        <v>40</v>
      </c>
      <c r="D756">
        <v>2</v>
      </c>
      <c r="E756" t="s">
        <v>42</v>
      </c>
      <c r="F756" t="s">
        <v>13</v>
      </c>
      <c r="G756">
        <v>0.75031254883575504</v>
      </c>
      <c r="H756">
        <v>0</v>
      </c>
      <c r="I756" t="s">
        <v>14</v>
      </c>
      <c r="J756">
        <v>1.0114219188690099</v>
      </c>
    </row>
    <row r="757" spans="1:10" x14ac:dyDescent="0.2">
      <c r="A757" t="s">
        <v>56</v>
      </c>
      <c r="B757" t="s">
        <v>40</v>
      </c>
      <c r="C757" t="s">
        <v>40</v>
      </c>
      <c r="D757">
        <v>2</v>
      </c>
      <c r="E757" t="s">
        <v>42</v>
      </c>
      <c r="F757" t="s">
        <v>15</v>
      </c>
      <c r="G757">
        <v>0.71938258885427397</v>
      </c>
      <c r="H757">
        <v>6.20155254401243E-2</v>
      </c>
      <c r="I757" t="s">
        <v>14</v>
      </c>
      <c r="J757">
        <v>30.419192075729299</v>
      </c>
    </row>
    <row r="758" spans="1:10" x14ac:dyDescent="0.2">
      <c r="A758" t="s">
        <v>56</v>
      </c>
      <c r="B758" t="s">
        <v>40</v>
      </c>
      <c r="C758" t="s">
        <v>40</v>
      </c>
      <c r="D758">
        <v>3</v>
      </c>
      <c r="E758" t="s">
        <v>43</v>
      </c>
      <c r="F758" t="s">
        <v>13</v>
      </c>
      <c r="G758">
        <v>0.756069084729872</v>
      </c>
      <c r="H758">
        <v>0</v>
      </c>
      <c r="I758" t="s">
        <v>14</v>
      </c>
      <c r="J758">
        <v>1.23337602615356</v>
      </c>
    </row>
    <row r="759" spans="1:10" x14ac:dyDescent="0.2">
      <c r="A759" t="s">
        <v>56</v>
      </c>
      <c r="B759" t="s">
        <v>40</v>
      </c>
      <c r="C759" t="s">
        <v>40</v>
      </c>
      <c r="D759">
        <v>3</v>
      </c>
      <c r="E759" t="s">
        <v>43</v>
      </c>
      <c r="F759" t="s">
        <v>15</v>
      </c>
      <c r="G759">
        <v>0.72736632568611004</v>
      </c>
      <c r="H759">
        <v>5.2964002818063002E-2</v>
      </c>
      <c r="I759" t="s">
        <v>14</v>
      </c>
      <c r="J759">
        <v>35.690931320190401</v>
      </c>
    </row>
    <row r="760" spans="1:10" x14ac:dyDescent="0.2">
      <c r="A760" t="s">
        <v>56</v>
      </c>
      <c r="B760" t="s">
        <v>40</v>
      </c>
      <c r="C760" t="s">
        <v>40</v>
      </c>
      <c r="D760">
        <v>4</v>
      </c>
      <c r="E760" t="s">
        <v>44</v>
      </c>
      <c r="F760" t="s">
        <v>13</v>
      </c>
      <c r="G760">
        <v>0.75031254883575504</v>
      </c>
      <c r="H760">
        <v>0</v>
      </c>
      <c r="I760" t="s">
        <v>14</v>
      </c>
      <c r="J760">
        <v>2.0723178386688201</v>
      </c>
    </row>
    <row r="761" spans="1:10" x14ac:dyDescent="0.2">
      <c r="A761" t="s">
        <v>56</v>
      </c>
      <c r="B761" t="s">
        <v>40</v>
      </c>
      <c r="C761" t="s">
        <v>40</v>
      </c>
      <c r="D761">
        <v>4</v>
      </c>
      <c r="E761" t="s">
        <v>44</v>
      </c>
      <c r="F761" t="s">
        <v>15</v>
      </c>
      <c r="G761">
        <v>0.74006387023192</v>
      </c>
      <c r="H761">
        <v>6.1929397413928097E-2</v>
      </c>
      <c r="I761" t="s">
        <v>14</v>
      </c>
      <c r="J761">
        <v>46.7961459159851</v>
      </c>
    </row>
    <row r="762" spans="1:10" x14ac:dyDescent="0.2">
      <c r="A762" t="s">
        <v>56</v>
      </c>
      <c r="B762" t="s">
        <v>45</v>
      </c>
      <c r="C762" t="s">
        <v>45</v>
      </c>
      <c r="D762">
        <v>1</v>
      </c>
      <c r="E762" t="s">
        <v>41</v>
      </c>
      <c r="F762" t="s">
        <v>13</v>
      </c>
      <c r="G762">
        <v>0.756984560291182</v>
      </c>
      <c r="H762">
        <v>0</v>
      </c>
      <c r="I762" t="s">
        <v>14</v>
      </c>
      <c r="J762">
        <v>5.9193212985992396</v>
      </c>
    </row>
    <row r="763" spans="1:10" x14ac:dyDescent="0.2">
      <c r="A763" t="s">
        <v>56</v>
      </c>
      <c r="B763" t="s">
        <v>45</v>
      </c>
      <c r="C763" t="s">
        <v>45</v>
      </c>
      <c r="D763">
        <v>1</v>
      </c>
      <c r="E763" t="s">
        <v>41</v>
      </c>
      <c r="F763" t="s">
        <v>15</v>
      </c>
      <c r="G763">
        <v>0.73756906576510595</v>
      </c>
      <c r="H763">
        <v>6.7780191342325005E-2</v>
      </c>
      <c r="I763" t="s">
        <v>14</v>
      </c>
      <c r="J763">
        <v>125.577377796173</v>
      </c>
    </row>
    <row r="764" spans="1:10" x14ac:dyDescent="0.2">
      <c r="A764" t="s">
        <v>56</v>
      </c>
      <c r="B764" t="s">
        <v>45</v>
      </c>
      <c r="C764" t="s">
        <v>45</v>
      </c>
      <c r="D764">
        <v>2</v>
      </c>
      <c r="E764" t="s">
        <v>42</v>
      </c>
      <c r="F764" t="s">
        <v>13</v>
      </c>
      <c r="G764">
        <v>0.74440495851519795</v>
      </c>
      <c r="H764">
        <v>0</v>
      </c>
      <c r="I764" t="s">
        <v>14</v>
      </c>
      <c r="J764">
        <v>6.9915800094604403</v>
      </c>
    </row>
    <row r="765" spans="1:10" x14ac:dyDescent="0.2">
      <c r="A765" t="s">
        <v>56</v>
      </c>
      <c r="B765" t="s">
        <v>45</v>
      </c>
      <c r="C765" t="s">
        <v>45</v>
      </c>
      <c r="D765">
        <v>2</v>
      </c>
      <c r="E765" t="s">
        <v>42</v>
      </c>
      <c r="F765" t="s">
        <v>15</v>
      </c>
      <c r="G765">
        <v>0.73669512683726701</v>
      </c>
      <c r="H765">
        <v>6.4489560714474398E-2</v>
      </c>
      <c r="I765" t="s">
        <v>14</v>
      </c>
      <c r="J765">
        <v>156.03731989860501</v>
      </c>
    </row>
    <row r="766" spans="1:10" x14ac:dyDescent="0.2">
      <c r="A766" t="s">
        <v>56</v>
      </c>
      <c r="B766" t="s">
        <v>45</v>
      </c>
      <c r="C766" t="s">
        <v>45</v>
      </c>
      <c r="D766">
        <v>3</v>
      </c>
      <c r="E766" t="s">
        <v>43</v>
      </c>
      <c r="F766" t="s">
        <v>13</v>
      </c>
      <c r="G766">
        <v>0.75687300931933399</v>
      </c>
      <c r="H766">
        <v>0</v>
      </c>
      <c r="I766" t="s">
        <v>14</v>
      </c>
      <c r="J766">
        <v>7.7955949306488002</v>
      </c>
    </row>
    <row r="767" spans="1:10" x14ac:dyDescent="0.2">
      <c r="A767" t="s">
        <v>56</v>
      </c>
      <c r="B767" t="s">
        <v>45</v>
      </c>
      <c r="C767" t="s">
        <v>45</v>
      </c>
      <c r="D767">
        <v>3</v>
      </c>
      <c r="E767" t="s">
        <v>43</v>
      </c>
      <c r="F767" t="s">
        <v>15</v>
      </c>
      <c r="G767">
        <v>0.72739787367027497</v>
      </c>
      <c r="H767">
        <v>5.9882780667113999E-2</v>
      </c>
      <c r="I767" t="s">
        <v>14</v>
      </c>
      <c r="J767">
        <v>182.97848200798001</v>
      </c>
    </row>
    <row r="768" spans="1:10" x14ac:dyDescent="0.2">
      <c r="A768" t="s">
        <v>56</v>
      </c>
      <c r="B768" t="s">
        <v>45</v>
      </c>
      <c r="C768" t="s">
        <v>45</v>
      </c>
      <c r="D768">
        <v>4</v>
      </c>
      <c r="E768" t="s">
        <v>44</v>
      </c>
      <c r="F768" t="s">
        <v>13</v>
      </c>
      <c r="G768">
        <v>0.73193690771106101</v>
      </c>
      <c r="H768">
        <v>0</v>
      </c>
      <c r="I768" t="s">
        <v>14</v>
      </c>
      <c r="J768">
        <v>10.477772235870299</v>
      </c>
    </row>
    <row r="769" spans="1:10" x14ac:dyDescent="0.2">
      <c r="A769" t="s">
        <v>56</v>
      </c>
      <c r="B769" t="s">
        <v>45</v>
      </c>
      <c r="C769" t="s">
        <v>45</v>
      </c>
      <c r="D769">
        <v>4</v>
      </c>
      <c r="E769" t="s">
        <v>44</v>
      </c>
      <c r="F769" t="s">
        <v>15</v>
      </c>
      <c r="G769">
        <v>0.74262585750676102</v>
      </c>
      <c r="H769">
        <v>5.3901453188200499E-2</v>
      </c>
      <c r="I769" t="s">
        <v>14</v>
      </c>
      <c r="J769">
        <v>245.41456103324799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Planilhas</vt:lpstr>
      </vt:variant>
      <vt:variant>
        <vt:i4>6</vt:i4>
      </vt:variant>
      <vt:variant>
        <vt:lpstr>Intervalos Nomeados</vt:lpstr>
      </vt:variant>
      <vt:variant>
        <vt:i4>1</vt:i4>
      </vt:variant>
    </vt:vector>
  </HeadingPairs>
  <TitlesOfParts>
    <vt:vector size="7" baseType="lpstr">
      <vt:lpstr>Bagging</vt:lpstr>
      <vt:lpstr>RandomForest</vt:lpstr>
      <vt:lpstr>Voting</vt:lpstr>
      <vt:lpstr>Stacking</vt:lpstr>
      <vt:lpstr>Top1Configs</vt:lpstr>
      <vt:lpstr>DadosCrus</vt:lpstr>
      <vt:lpstr>DadosCrus!resultados_todos_modelos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 César Faria</dc:creator>
  <cp:lastModifiedBy>Gil César Faria</cp:lastModifiedBy>
  <dcterms:created xsi:type="dcterms:W3CDTF">2025-11-10T02:48:29Z</dcterms:created>
  <dcterms:modified xsi:type="dcterms:W3CDTF">2025-11-13T18:19:11Z</dcterms:modified>
</cp:coreProperties>
</file>