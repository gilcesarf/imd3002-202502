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535B58E6-58D9-484B-A12D-2900260FD5E6}" xr6:coauthVersionLast="47" xr6:coauthVersionMax="47" xr10:uidLastSave="{00000000-0000-0000-0000-000000000000}"/>
  <bookViews>
    <workbookView xWindow="-38400" yWindow="3980" windowWidth="38400" windowHeight="18360" xr2:uid="{4D4EBF4B-F967-A043-969D-38DBD308B808}"/>
  </bookViews>
  <sheets>
    <sheet name="Attributos" sheetId="2" r:id="rId1"/>
    <sheet name="Selecao MLP - Base top 1" sheetId="3" r:id="rId2"/>
    <sheet name="Selecao MLP - Base mais attrb" sheetId="4" r:id="rId3"/>
    <sheet name="MLP - Selecionadas" sheetId="6" r:id="rId4"/>
  </sheets>
  <definedNames>
    <definedName name="_xlnm._FilterDatabase" localSheetId="3" hidden="1">'MLP - Selecionadas'!$B$1:$G$11</definedName>
    <definedName name="_xlnm._FilterDatabase" localSheetId="2" hidden="1">'Selecao MLP - Base mais attrb'!$A$1:$D$479</definedName>
    <definedName name="_xlnm._FilterDatabase" localSheetId="1" hidden="1">'Selecao MLP - Base top 1'!$A$1:$D$557</definedName>
    <definedName name="all_configs" localSheetId="1">'Selecao MLP - Base top 1'!$A$1:$C$557</definedName>
    <definedName name="all_configs_3" localSheetId="2">'Selecao MLP - Base mais attrb'!$A$1:$C$479</definedName>
    <definedName name="tabela_f1_scores_para_excel" localSheetId="0">Attributos!$B$5:$P$37</definedName>
  </definedNames>
  <calcPr calcId="191029"/>
  <pivotCaches>
    <pivotCache cacheId="11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2" i="3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3" i="4"/>
  <c r="E2" i="4"/>
  <c r="D3" i="4"/>
  <c r="D2" i="4"/>
  <c r="D7" i="4"/>
  <c r="D5" i="4"/>
  <c r="D8" i="4"/>
  <c r="D6" i="4"/>
  <c r="D9" i="4"/>
  <c r="D11" i="4"/>
  <c r="D10" i="4"/>
  <c r="D13" i="4"/>
  <c r="D12" i="4"/>
  <c r="D14" i="4"/>
  <c r="D17" i="4"/>
  <c r="D16" i="4"/>
  <c r="D15" i="4"/>
  <c r="D19" i="4"/>
  <c r="D18" i="4"/>
  <c r="D20" i="4"/>
  <c r="D24" i="4"/>
  <c r="D25" i="4"/>
  <c r="D22" i="4"/>
  <c r="D23" i="4"/>
  <c r="D21" i="4"/>
  <c r="D31" i="4"/>
  <c r="D30" i="4"/>
  <c r="D32" i="4"/>
  <c r="D28" i="4"/>
  <c r="D34" i="4"/>
  <c r="D35" i="4"/>
  <c r="D27" i="4"/>
  <c r="D33" i="4"/>
  <c r="D29" i="4"/>
  <c r="D26" i="4"/>
  <c r="D37" i="4"/>
  <c r="D42" i="4"/>
  <c r="D43" i="4"/>
  <c r="D44" i="4"/>
  <c r="D36" i="4"/>
  <c r="D39" i="4"/>
  <c r="D38" i="4"/>
  <c r="D41" i="4"/>
  <c r="D40" i="4"/>
  <c r="D50" i="4"/>
  <c r="D46" i="4"/>
  <c r="D49" i="4"/>
  <c r="D45" i="4"/>
  <c r="D48" i="4"/>
  <c r="D47" i="4"/>
  <c r="D51" i="4"/>
  <c r="D52" i="4"/>
  <c r="D55" i="4"/>
  <c r="D54" i="4"/>
  <c r="D56" i="4"/>
  <c r="D53" i="4"/>
  <c r="D59" i="4"/>
  <c r="D57" i="4"/>
  <c r="D58" i="4"/>
  <c r="D61" i="4"/>
  <c r="D60" i="4"/>
  <c r="D62" i="4"/>
  <c r="D63" i="4"/>
  <c r="D66" i="4"/>
  <c r="D65" i="4"/>
  <c r="D67" i="4"/>
  <c r="D64" i="4"/>
  <c r="D70" i="4"/>
  <c r="D68" i="4"/>
  <c r="D69" i="4"/>
  <c r="D76" i="4"/>
  <c r="D72" i="4"/>
  <c r="D73" i="4"/>
  <c r="D75" i="4"/>
  <c r="D71" i="4"/>
  <c r="D74" i="4"/>
  <c r="D77" i="4"/>
  <c r="D79" i="4"/>
  <c r="D78" i="4"/>
  <c r="D82" i="4"/>
  <c r="D80" i="4"/>
  <c r="D81" i="4"/>
  <c r="D121" i="4"/>
  <c r="D118" i="4"/>
  <c r="D114" i="4"/>
  <c r="D116" i="4"/>
  <c r="D117" i="4"/>
  <c r="D110" i="4"/>
  <c r="D119" i="4"/>
  <c r="D120" i="4"/>
  <c r="D97" i="4"/>
  <c r="D95" i="4"/>
  <c r="D108" i="4"/>
  <c r="D112" i="4"/>
  <c r="D111" i="4"/>
  <c r="D96" i="4"/>
  <c r="D102" i="4"/>
  <c r="D107" i="4"/>
  <c r="D87" i="4"/>
  <c r="D101" i="4"/>
  <c r="D103" i="4"/>
  <c r="D99" i="4"/>
  <c r="D98" i="4"/>
  <c r="D100" i="4"/>
  <c r="D105" i="4"/>
  <c r="D104" i="4"/>
  <c r="D106" i="4"/>
  <c r="D85" i="4"/>
  <c r="D83" i="4"/>
  <c r="D84" i="4"/>
  <c r="D86" i="4"/>
  <c r="D88" i="4"/>
  <c r="D92" i="4"/>
  <c r="D89" i="4"/>
  <c r="D93" i="4"/>
  <c r="D94" i="4"/>
  <c r="D90" i="4"/>
  <c r="D109" i="4"/>
  <c r="D113" i="4"/>
  <c r="D91" i="4"/>
  <c r="D115" i="4"/>
  <c r="D127" i="4"/>
  <c r="D131" i="4"/>
  <c r="D130" i="4"/>
  <c r="D126" i="4"/>
  <c r="D125" i="4"/>
  <c r="D134" i="4"/>
  <c r="D133" i="4"/>
  <c r="D135" i="4"/>
  <c r="D132" i="4"/>
  <c r="D124" i="4"/>
  <c r="D123" i="4"/>
  <c r="D129" i="4"/>
  <c r="D128" i="4"/>
  <c r="D122" i="4"/>
  <c r="D137" i="4"/>
  <c r="D136" i="4"/>
  <c r="D138" i="4"/>
  <c r="D142" i="4"/>
  <c r="D140" i="4"/>
  <c r="D144" i="4"/>
  <c r="D139" i="4"/>
  <c r="D141" i="4"/>
  <c r="D143" i="4"/>
  <c r="D148" i="4"/>
  <c r="D145" i="4"/>
  <c r="D149" i="4"/>
  <c r="D147" i="4"/>
  <c r="D155" i="4"/>
  <c r="D154" i="4"/>
  <c r="D156" i="4"/>
  <c r="D152" i="4"/>
  <c r="D151" i="4"/>
  <c r="D153" i="4"/>
  <c r="D150" i="4"/>
  <c r="D146" i="4"/>
  <c r="D157" i="4"/>
  <c r="D158" i="4"/>
  <c r="D159" i="4"/>
  <c r="D162" i="4"/>
  <c r="D160" i="4"/>
  <c r="D161" i="4"/>
  <c r="D174" i="4"/>
  <c r="D172" i="4"/>
  <c r="D170" i="4"/>
  <c r="D163" i="4"/>
  <c r="D176" i="4"/>
  <c r="D165" i="4"/>
  <c r="D169" i="4"/>
  <c r="D171" i="4"/>
  <c r="D173" i="4"/>
  <c r="D167" i="4"/>
  <c r="D166" i="4"/>
  <c r="D168" i="4"/>
  <c r="D164" i="4"/>
  <c r="D175" i="4"/>
  <c r="D199" i="4"/>
  <c r="D198" i="4"/>
  <c r="D200" i="4"/>
  <c r="D201" i="4"/>
  <c r="D190" i="4"/>
  <c r="D203" i="4"/>
  <c r="D202" i="4"/>
  <c r="D195" i="4"/>
  <c r="D193" i="4"/>
  <c r="D194" i="4"/>
  <c r="D197" i="4"/>
  <c r="D196" i="4"/>
  <c r="D192" i="4"/>
  <c r="D182" i="4"/>
  <c r="D183" i="4"/>
  <c r="D180" i="4"/>
  <c r="D179" i="4"/>
  <c r="D177" i="4"/>
  <c r="D178" i="4"/>
  <c r="D188" i="4"/>
  <c r="D185" i="4"/>
  <c r="D184" i="4"/>
  <c r="D189" i="4"/>
  <c r="D186" i="4"/>
  <c r="D191" i="4"/>
  <c r="D181" i="4"/>
  <c r="D187" i="4"/>
  <c r="D205" i="4"/>
  <c r="D212" i="4"/>
  <c r="D227" i="4"/>
  <c r="D211" i="4"/>
  <c r="D232" i="4"/>
  <c r="D210" i="4"/>
  <c r="D217" i="4"/>
  <c r="D216" i="4"/>
  <c r="D225" i="4"/>
  <c r="D218" i="4"/>
  <c r="D234" i="4"/>
  <c r="D206" i="4"/>
  <c r="D219" i="4"/>
  <c r="D204" i="4"/>
  <c r="D233" i="4"/>
  <c r="D221" i="4"/>
  <c r="D222" i="4"/>
  <c r="D224" i="4"/>
  <c r="D213" i="4"/>
  <c r="D215" i="4"/>
  <c r="D208" i="4"/>
  <c r="D209" i="4"/>
  <c r="D220" i="4"/>
  <c r="D229" i="4"/>
  <c r="D223" i="4"/>
  <c r="D231" i="4"/>
  <c r="D226" i="4"/>
  <c r="D230" i="4"/>
  <c r="D207" i="4"/>
  <c r="D214" i="4"/>
  <c r="D228" i="4"/>
  <c r="D246" i="4"/>
  <c r="D247" i="4"/>
  <c r="D248" i="4"/>
  <c r="D245" i="4"/>
  <c r="D242" i="4"/>
  <c r="D243" i="4"/>
  <c r="D241" i="4"/>
  <c r="D237" i="4"/>
  <c r="D236" i="4"/>
  <c r="D249" i="4"/>
  <c r="D239" i="4"/>
  <c r="D238" i="4"/>
  <c r="D240" i="4"/>
  <c r="D235" i="4"/>
  <c r="D244" i="4"/>
  <c r="D250" i="4"/>
  <c r="D252" i="4"/>
  <c r="D251" i="4"/>
  <c r="D257" i="4"/>
  <c r="D258" i="4"/>
  <c r="D256" i="4"/>
  <c r="D255" i="4"/>
  <c r="D253" i="4"/>
  <c r="D254" i="4"/>
  <c r="D261" i="4"/>
  <c r="D263" i="4"/>
  <c r="D264" i="4"/>
  <c r="D259" i="4"/>
  <c r="D260" i="4"/>
  <c r="D262" i="4"/>
  <c r="D266" i="4"/>
  <c r="D265" i="4"/>
  <c r="D267" i="4"/>
  <c r="D268" i="4"/>
  <c r="D270" i="4"/>
  <c r="D269" i="4"/>
  <c r="D281" i="4"/>
  <c r="D282" i="4"/>
  <c r="D277" i="4"/>
  <c r="D283" i="4"/>
  <c r="D280" i="4"/>
  <c r="D279" i="4"/>
  <c r="D271" i="4"/>
  <c r="D272" i="4"/>
  <c r="D275" i="4"/>
  <c r="D278" i="4"/>
  <c r="D273" i="4"/>
  <c r="D274" i="4"/>
  <c r="D276" i="4"/>
  <c r="D286" i="4"/>
  <c r="D293" i="4"/>
  <c r="D285" i="4"/>
  <c r="D289" i="4"/>
  <c r="D287" i="4"/>
  <c r="D288" i="4"/>
  <c r="D291" i="4"/>
  <c r="D284" i="4"/>
  <c r="D292" i="4"/>
  <c r="D290" i="4"/>
  <c r="D294" i="4"/>
  <c r="D295" i="4"/>
  <c r="D298" i="4"/>
  <c r="D304" i="4"/>
  <c r="D308" i="4"/>
  <c r="D310" i="4"/>
  <c r="D305" i="4"/>
  <c r="D301" i="4"/>
  <c r="D303" i="4"/>
  <c r="D296" i="4"/>
  <c r="D300" i="4"/>
  <c r="D299" i="4"/>
  <c r="D302" i="4"/>
  <c r="D297" i="4"/>
  <c r="D309" i="4"/>
  <c r="D306" i="4"/>
  <c r="D307" i="4"/>
  <c r="D318" i="4"/>
  <c r="D315" i="4"/>
  <c r="D317" i="4"/>
  <c r="D314" i="4"/>
  <c r="D312" i="4"/>
  <c r="D311" i="4"/>
  <c r="D316" i="4"/>
  <c r="D319" i="4"/>
  <c r="D313" i="4"/>
  <c r="D320" i="4"/>
  <c r="D322" i="4"/>
  <c r="D321" i="4"/>
  <c r="D324" i="4"/>
  <c r="D323" i="4"/>
  <c r="D325" i="4"/>
  <c r="D327" i="4"/>
  <c r="D326" i="4"/>
  <c r="D328" i="4"/>
  <c r="D330" i="4"/>
  <c r="D329" i="4"/>
  <c r="D331" i="4"/>
  <c r="D332" i="4"/>
  <c r="D333" i="4"/>
  <c r="D336" i="4"/>
  <c r="D334" i="4"/>
  <c r="D335" i="4"/>
  <c r="D337" i="4"/>
  <c r="D350" i="4"/>
  <c r="D355" i="4"/>
  <c r="D353" i="4"/>
  <c r="D354" i="4"/>
  <c r="D351" i="4"/>
  <c r="D352" i="4"/>
  <c r="D348" i="4"/>
  <c r="D347" i="4"/>
  <c r="D349" i="4"/>
  <c r="D343" i="4"/>
  <c r="D346" i="4"/>
  <c r="D362" i="4"/>
  <c r="D344" i="4"/>
  <c r="D338" i="4"/>
  <c r="D339" i="4"/>
  <c r="D360" i="4"/>
  <c r="D359" i="4"/>
  <c r="D361" i="4"/>
  <c r="D357" i="4"/>
  <c r="D356" i="4"/>
  <c r="D358" i="4"/>
  <c r="D342" i="4"/>
  <c r="D345" i="4"/>
  <c r="D340" i="4"/>
  <c r="D341" i="4"/>
  <c r="D363" i="4"/>
  <c r="D367" i="4"/>
  <c r="D368" i="4"/>
  <c r="D364" i="4"/>
  <c r="D366" i="4"/>
  <c r="D365" i="4"/>
  <c r="D371" i="4"/>
  <c r="D370" i="4"/>
  <c r="D374" i="4"/>
  <c r="D373" i="4"/>
  <c r="D372" i="4"/>
  <c r="D369" i="4"/>
  <c r="D377" i="4"/>
  <c r="D376" i="4"/>
  <c r="D375" i="4"/>
  <c r="D379" i="4"/>
  <c r="D380" i="4"/>
  <c r="D378" i="4"/>
  <c r="D383" i="4"/>
  <c r="D381" i="4"/>
  <c r="D382" i="4"/>
  <c r="D386" i="4"/>
  <c r="D384" i="4"/>
  <c r="D385" i="4"/>
  <c r="D389" i="4"/>
  <c r="D395" i="4"/>
  <c r="D391" i="4"/>
  <c r="D388" i="4"/>
  <c r="D392" i="4"/>
  <c r="D393" i="4"/>
  <c r="D390" i="4"/>
  <c r="D394" i="4"/>
  <c r="D387" i="4"/>
  <c r="D396" i="4"/>
  <c r="D397" i="4"/>
  <c r="D398" i="4"/>
  <c r="D401" i="4"/>
  <c r="D399" i="4"/>
  <c r="D400" i="4"/>
  <c r="D402" i="4"/>
  <c r="D403" i="4"/>
  <c r="D407" i="4"/>
  <c r="D404" i="4"/>
  <c r="D406" i="4"/>
  <c r="D405" i="4"/>
  <c r="D410" i="4"/>
  <c r="D408" i="4"/>
  <c r="D409" i="4"/>
  <c r="D412" i="4"/>
  <c r="D411" i="4"/>
  <c r="D413" i="4"/>
  <c r="D416" i="4"/>
  <c r="D415" i="4"/>
  <c r="D414" i="4"/>
  <c r="D417" i="4"/>
  <c r="D418" i="4"/>
  <c r="D419" i="4"/>
  <c r="D421" i="4"/>
  <c r="D422" i="4"/>
  <c r="D420" i="4"/>
  <c r="D423" i="4"/>
  <c r="D424" i="4"/>
  <c r="D425" i="4"/>
  <c r="D428" i="4"/>
  <c r="D426" i="4"/>
  <c r="D427" i="4"/>
  <c r="D462" i="4"/>
  <c r="D456" i="4"/>
  <c r="D470" i="4"/>
  <c r="D445" i="4"/>
  <c r="D466" i="4"/>
  <c r="D465" i="4"/>
  <c r="D457" i="4"/>
  <c r="D464" i="4"/>
  <c r="D467" i="4"/>
  <c r="D468" i="4"/>
  <c r="D461" i="4"/>
  <c r="D459" i="4"/>
  <c r="D463" i="4"/>
  <c r="D460" i="4"/>
  <c r="D444" i="4"/>
  <c r="D478" i="4"/>
  <c r="D446" i="4"/>
  <c r="D474" i="4"/>
  <c r="D432" i="4"/>
  <c r="D434" i="4"/>
  <c r="D430" i="4"/>
  <c r="D429" i="4"/>
  <c r="D431" i="4"/>
  <c r="D475" i="4"/>
  <c r="D476" i="4"/>
  <c r="D437" i="4"/>
  <c r="D472" i="4"/>
  <c r="D471" i="4"/>
  <c r="D473" i="4"/>
  <c r="D479" i="4"/>
  <c r="D458" i="4"/>
  <c r="D477" i="4"/>
  <c r="D433" i="4"/>
  <c r="D435" i="4"/>
  <c r="D469" i="4"/>
  <c r="D442" i="4"/>
  <c r="D449" i="4"/>
  <c r="D447" i="4"/>
  <c r="D448" i="4"/>
  <c r="D452" i="4"/>
  <c r="D450" i="4"/>
  <c r="D451" i="4"/>
  <c r="D455" i="4"/>
  <c r="D436" i="4"/>
  <c r="D441" i="4"/>
  <c r="D443" i="4"/>
  <c r="D439" i="4"/>
  <c r="D454" i="4"/>
  <c r="D438" i="4"/>
  <c r="D440" i="4"/>
  <c r="D453" i="4"/>
  <c r="D4" i="4"/>
  <c r="D3" i="3"/>
  <c r="D4" i="3"/>
  <c r="D5" i="3"/>
  <c r="D7" i="3"/>
  <c r="D6" i="3"/>
  <c r="D16" i="3"/>
  <c r="D14" i="3"/>
  <c r="D15" i="3"/>
  <c r="D9" i="3"/>
  <c r="D10" i="3"/>
  <c r="D8" i="3"/>
  <c r="D12" i="3"/>
  <c r="D11" i="3"/>
  <c r="D13" i="3"/>
  <c r="D19" i="3"/>
  <c r="D17" i="3"/>
  <c r="D18" i="3"/>
  <c r="D20" i="3"/>
  <c r="D21" i="3"/>
  <c r="D22" i="3"/>
  <c r="D24" i="3"/>
  <c r="D23" i="3"/>
  <c r="D25" i="3"/>
  <c r="D26" i="3"/>
  <c r="D28" i="3"/>
  <c r="D27" i="3"/>
  <c r="D30" i="3"/>
  <c r="D32" i="3"/>
  <c r="D33" i="3"/>
  <c r="D34" i="3"/>
  <c r="D29" i="3"/>
  <c r="D31" i="3"/>
  <c r="D36" i="3"/>
  <c r="D38" i="3"/>
  <c r="D39" i="3"/>
  <c r="D40" i="3"/>
  <c r="D37" i="3"/>
  <c r="D35" i="3"/>
  <c r="D41" i="3"/>
  <c r="D43" i="3"/>
  <c r="D42" i="3"/>
  <c r="D52" i="3"/>
  <c r="D46" i="3"/>
  <c r="D44" i="3"/>
  <c r="D50" i="3"/>
  <c r="D45" i="3"/>
  <c r="D49" i="3"/>
  <c r="D51" i="3"/>
  <c r="D47" i="3"/>
  <c r="D48" i="3"/>
  <c r="D56" i="3"/>
  <c r="D54" i="3"/>
  <c r="D57" i="3"/>
  <c r="D53" i="3"/>
  <c r="D58" i="3"/>
  <c r="D55" i="3"/>
  <c r="D61" i="3"/>
  <c r="D59" i="3"/>
  <c r="D60" i="3"/>
  <c r="D63" i="3"/>
  <c r="D62" i="3"/>
  <c r="D64" i="3"/>
  <c r="D67" i="3"/>
  <c r="D65" i="3"/>
  <c r="D66" i="3"/>
  <c r="D73" i="3"/>
  <c r="D68" i="3"/>
  <c r="D71" i="3"/>
  <c r="D72" i="3"/>
  <c r="D70" i="3"/>
  <c r="D69" i="3"/>
  <c r="D85" i="3"/>
  <c r="D88" i="3"/>
  <c r="D75" i="3"/>
  <c r="D74" i="3"/>
  <c r="D83" i="3"/>
  <c r="D81" i="3"/>
  <c r="D87" i="3"/>
  <c r="D86" i="3"/>
  <c r="D76" i="3"/>
  <c r="D84" i="3"/>
  <c r="D80" i="3"/>
  <c r="D78" i="3"/>
  <c r="D77" i="3"/>
  <c r="D79" i="3"/>
  <c r="D82" i="3"/>
  <c r="D99" i="3"/>
  <c r="D93" i="3"/>
  <c r="D101" i="3"/>
  <c r="D92" i="3"/>
  <c r="D94" i="3"/>
  <c r="D97" i="3"/>
  <c r="D98" i="3"/>
  <c r="D100" i="3"/>
  <c r="D96" i="3"/>
  <c r="D95" i="3"/>
  <c r="D91" i="3"/>
  <c r="D89" i="3"/>
  <c r="D90" i="3"/>
  <c r="D102" i="3"/>
  <c r="D104" i="3"/>
  <c r="D103" i="3"/>
  <c r="D105" i="3"/>
  <c r="D107" i="3"/>
  <c r="D106" i="3"/>
  <c r="D113" i="3"/>
  <c r="D112" i="3"/>
  <c r="D111" i="3"/>
  <c r="D110" i="3"/>
  <c r="D109" i="3"/>
  <c r="D108" i="3"/>
  <c r="D115" i="3"/>
  <c r="D114" i="3"/>
  <c r="D117" i="3"/>
  <c r="D119" i="3"/>
  <c r="D118" i="3"/>
  <c r="D116" i="3"/>
  <c r="D124" i="3"/>
  <c r="D122" i="3"/>
  <c r="D120" i="3"/>
  <c r="D121" i="3"/>
  <c r="D123" i="3"/>
  <c r="D127" i="3"/>
  <c r="D133" i="3"/>
  <c r="D125" i="3"/>
  <c r="D128" i="3"/>
  <c r="D135" i="3"/>
  <c r="D136" i="3"/>
  <c r="D134" i="3"/>
  <c r="D129" i="3"/>
  <c r="D131" i="3"/>
  <c r="D132" i="3"/>
  <c r="D130" i="3"/>
  <c r="D126" i="3"/>
  <c r="D143" i="3"/>
  <c r="D138" i="3"/>
  <c r="D141" i="3"/>
  <c r="D140" i="3"/>
  <c r="D142" i="3"/>
  <c r="D139" i="3"/>
  <c r="D144" i="3"/>
  <c r="D137" i="3"/>
  <c r="D145" i="3"/>
  <c r="D148" i="3"/>
  <c r="D149" i="3"/>
  <c r="D147" i="3"/>
  <c r="D150" i="3"/>
  <c r="D146" i="3"/>
  <c r="D151" i="3"/>
  <c r="D153" i="3"/>
  <c r="D154" i="3"/>
  <c r="D152" i="3"/>
  <c r="D156" i="3"/>
  <c r="D157" i="3"/>
  <c r="D155" i="3"/>
  <c r="D161" i="3"/>
  <c r="D159" i="3"/>
  <c r="D165" i="3"/>
  <c r="D160" i="3"/>
  <c r="D164" i="3"/>
  <c r="D166" i="3"/>
  <c r="D162" i="3"/>
  <c r="D158" i="3"/>
  <c r="D163" i="3"/>
  <c r="D168" i="3"/>
  <c r="D171" i="3"/>
  <c r="D175" i="3"/>
  <c r="D170" i="3"/>
  <c r="D172" i="3"/>
  <c r="D173" i="3"/>
  <c r="D181" i="3"/>
  <c r="D179" i="3"/>
  <c r="D180" i="3"/>
  <c r="D169" i="3"/>
  <c r="D177" i="3"/>
  <c r="D176" i="3"/>
  <c r="D178" i="3"/>
  <c r="D174" i="3"/>
  <c r="D167" i="3"/>
  <c r="D190" i="3"/>
  <c r="D185" i="3"/>
  <c r="D183" i="3"/>
  <c r="D186" i="3"/>
  <c r="D188" i="3"/>
  <c r="D184" i="3"/>
  <c r="D189" i="3"/>
  <c r="D182" i="3"/>
  <c r="D187" i="3"/>
  <c r="D200" i="3"/>
  <c r="D201" i="3"/>
  <c r="D204" i="3"/>
  <c r="D202" i="3"/>
  <c r="D203" i="3"/>
  <c r="D199" i="3"/>
  <c r="D197" i="3"/>
  <c r="D198" i="3"/>
  <c r="D208" i="3"/>
  <c r="D194" i="3"/>
  <c r="D205" i="3"/>
  <c r="D196" i="3"/>
  <c r="D210" i="3"/>
  <c r="D193" i="3"/>
  <c r="D209" i="3"/>
  <c r="D191" i="3"/>
  <c r="D211" i="3"/>
  <c r="D192" i="3"/>
  <c r="D207" i="3"/>
  <c r="D206" i="3"/>
  <c r="D195" i="3"/>
  <c r="D216" i="3"/>
  <c r="D215" i="3"/>
  <c r="D217" i="3"/>
  <c r="D213" i="3"/>
  <c r="D212" i="3"/>
  <c r="D214" i="3"/>
  <c r="D218" i="3"/>
  <c r="D220" i="3"/>
  <c r="D219" i="3"/>
  <c r="D223" i="3"/>
  <c r="D222" i="3"/>
  <c r="D221" i="3"/>
  <c r="D227" i="3"/>
  <c r="D228" i="3"/>
  <c r="D224" i="3"/>
  <c r="D225" i="3"/>
  <c r="D229" i="3"/>
  <c r="D230" i="3"/>
  <c r="D226" i="3"/>
  <c r="D231" i="3"/>
  <c r="D232" i="3"/>
  <c r="D238" i="3"/>
  <c r="D235" i="3"/>
  <c r="D236" i="3"/>
  <c r="D233" i="3"/>
  <c r="D237" i="3"/>
  <c r="D241" i="3"/>
  <c r="D234" i="3"/>
  <c r="D239" i="3"/>
  <c r="D240" i="3"/>
  <c r="D256" i="3"/>
  <c r="D254" i="3"/>
  <c r="D255" i="3"/>
  <c r="D253" i="3"/>
  <c r="D243" i="3"/>
  <c r="D248" i="3"/>
  <c r="D276" i="3"/>
  <c r="D274" i="3"/>
  <c r="D272" i="3"/>
  <c r="D268" i="3"/>
  <c r="D266" i="3"/>
  <c r="D267" i="3"/>
  <c r="D271" i="3"/>
  <c r="D269" i="3"/>
  <c r="D270" i="3"/>
  <c r="D247" i="3"/>
  <c r="D245" i="3"/>
  <c r="D246" i="3"/>
  <c r="D244" i="3"/>
  <c r="D242" i="3"/>
  <c r="D262" i="3"/>
  <c r="D275" i="3"/>
  <c r="D277" i="3"/>
  <c r="D273" i="3"/>
  <c r="D261" i="3"/>
  <c r="D249" i="3"/>
  <c r="D257" i="3"/>
  <c r="D250" i="3"/>
  <c r="D264" i="3"/>
  <c r="D252" i="3"/>
  <c r="D265" i="3"/>
  <c r="D260" i="3"/>
  <c r="D251" i="3"/>
  <c r="D259" i="3"/>
  <c r="D263" i="3"/>
  <c r="D258" i="3"/>
  <c r="D288" i="3"/>
  <c r="D283" i="3"/>
  <c r="D282" i="3"/>
  <c r="D287" i="3"/>
  <c r="D279" i="3"/>
  <c r="D290" i="3"/>
  <c r="D278" i="3"/>
  <c r="D285" i="3"/>
  <c r="D289" i="3"/>
  <c r="D281" i="3"/>
  <c r="D280" i="3"/>
  <c r="D284" i="3"/>
  <c r="D286" i="3"/>
  <c r="D299" i="3"/>
  <c r="D297" i="3"/>
  <c r="D298" i="3"/>
  <c r="D293" i="3"/>
  <c r="D294" i="3"/>
  <c r="D304" i="3"/>
  <c r="D303" i="3"/>
  <c r="D296" i="3"/>
  <c r="D302" i="3"/>
  <c r="D300" i="3"/>
  <c r="D301" i="3"/>
  <c r="D295" i="3"/>
  <c r="D305" i="3"/>
  <c r="D291" i="3"/>
  <c r="D292" i="3"/>
  <c r="D311" i="3"/>
  <c r="D309" i="3"/>
  <c r="D306" i="3"/>
  <c r="D307" i="3"/>
  <c r="D308" i="3"/>
  <c r="D310" i="3"/>
  <c r="D313" i="3"/>
  <c r="D312" i="3"/>
  <c r="D317" i="3"/>
  <c r="D316" i="3"/>
  <c r="D315" i="3"/>
  <c r="D314" i="3"/>
  <c r="D320" i="3"/>
  <c r="D318" i="3"/>
  <c r="D319" i="3"/>
  <c r="D321" i="3"/>
  <c r="D322" i="3"/>
  <c r="D323" i="3"/>
  <c r="D335" i="3"/>
  <c r="D326" i="3"/>
  <c r="D333" i="3"/>
  <c r="D334" i="3"/>
  <c r="D337" i="3"/>
  <c r="D336" i="3"/>
  <c r="D332" i="3"/>
  <c r="D324" i="3"/>
  <c r="D338" i="3"/>
  <c r="D331" i="3"/>
  <c r="D325" i="3"/>
  <c r="D330" i="3"/>
  <c r="D327" i="3"/>
  <c r="D329" i="3"/>
  <c r="D328" i="3"/>
  <c r="D341" i="3"/>
  <c r="D339" i="3"/>
  <c r="D340" i="3"/>
  <c r="D346" i="3"/>
  <c r="D344" i="3"/>
  <c r="D345" i="3"/>
  <c r="D347" i="3"/>
  <c r="D355" i="3"/>
  <c r="D354" i="3"/>
  <c r="D356" i="3"/>
  <c r="D343" i="3"/>
  <c r="D342" i="3"/>
  <c r="D352" i="3"/>
  <c r="D358" i="3"/>
  <c r="D351" i="3"/>
  <c r="D357" i="3"/>
  <c r="D361" i="3"/>
  <c r="D359" i="3"/>
  <c r="D360" i="3"/>
  <c r="D349" i="3"/>
  <c r="D362" i="3"/>
  <c r="D348" i="3"/>
  <c r="D350" i="3"/>
  <c r="D353" i="3"/>
  <c r="D363" i="3"/>
  <c r="D365" i="3"/>
  <c r="D368" i="3"/>
  <c r="D364" i="3"/>
  <c r="D366" i="3"/>
  <c r="D369" i="3"/>
  <c r="D371" i="3"/>
  <c r="D367" i="3"/>
  <c r="D370" i="3"/>
  <c r="D373" i="3"/>
  <c r="D375" i="3"/>
  <c r="D372" i="3"/>
  <c r="D376" i="3"/>
  <c r="D374" i="3"/>
  <c r="D377" i="3"/>
  <c r="D392" i="3"/>
  <c r="D383" i="3"/>
  <c r="D381" i="3"/>
  <c r="D382" i="3"/>
  <c r="D379" i="3"/>
  <c r="D389" i="3"/>
  <c r="D387" i="3"/>
  <c r="D390" i="3"/>
  <c r="D388" i="3"/>
  <c r="D391" i="3"/>
  <c r="D386" i="3"/>
  <c r="D385" i="3"/>
  <c r="D380" i="3"/>
  <c r="D384" i="3"/>
  <c r="D378" i="3"/>
  <c r="D396" i="3"/>
  <c r="D398" i="3"/>
  <c r="D395" i="3"/>
  <c r="D397" i="3"/>
  <c r="D393" i="3"/>
  <c r="D394" i="3"/>
  <c r="D401" i="3"/>
  <c r="D399" i="3"/>
  <c r="D405" i="3"/>
  <c r="D400" i="3"/>
  <c r="D403" i="3"/>
  <c r="D404" i="3"/>
  <c r="D407" i="3"/>
  <c r="D406" i="3"/>
  <c r="D402" i="3"/>
  <c r="D410" i="3"/>
  <c r="D417" i="3"/>
  <c r="D416" i="3"/>
  <c r="D414" i="3"/>
  <c r="D418" i="3"/>
  <c r="D411" i="3"/>
  <c r="D415" i="3"/>
  <c r="D412" i="3"/>
  <c r="D413" i="3"/>
  <c r="D409" i="3"/>
  <c r="D408" i="3"/>
  <c r="D420" i="3"/>
  <c r="D421" i="3"/>
  <c r="D422" i="3"/>
  <c r="D424" i="3"/>
  <c r="D419" i="3"/>
  <c r="D423" i="3"/>
  <c r="D425" i="3"/>
  <c r="D430" i="3"/>
  <c r="D429" i="3"/>
  <c r="D428" i="3"/>
  <c r="D432" i="3"/>
  <c r="D431" i="3"/>
  <c r="D427" i="3"/>
  <c r="D426" i="3"/>
  <c r="D435" i="3"/>
  <c r="D433" i="3"/>
  <c r="D434" i="3"/>
  <c r="D445" i="3"/>
  <c r="D446" i="3"/>
  <c r="D447" i="3"/>
  <c r="D443" i="3"/>
  <c r="D437" i="3"/>
  <c r="D442" i="3"/>
  <c r="D441" i="3"/>
  <c r="D439" i="3"/>
  <c r="D438" i="3"/>
  <c r="D436" i="3"/>
  <c r="D444" i="3"/>
  <c r="D440" i="3"/>
  <c r="D449" i="3"/>
  <c r="D448" i="3"/>
  <c r="D450" i="3"/>
  <c r="D452" i="3"/>
  <c r="D456" i="3"/>
  <c r="D454" i="3"/>
  <c r="D455" i="3"/>
  <c r="D451" i="3"/>
  <c r="D453" i="3"/>
  <c r="D457" i="3"/>
  <c r="D458" i="3"/>
  <c r="D459" i="3"/>
  <c r="D464" i="3"/>
  <c r="D463" i="3"/>
  <c r="D462" i="3"/>
  <c r="D461" i="3"/>
  <c r="D460" i="3"/>
  <c r="D465" i="3"/>
  <c r="D467" i="3"/>
  <c r="D466" i="3"/>
  <c r="D473" i="3"/>
  <c r="D472" i="3"/>
  <c r="D476" i="3"/>
  <c r="D469" i="3"/>
  <c r="D468" i="3"/>
  <c r="D470" i="3"/>
  <c r="D471" i="3"/>
  <c r="D474" i="3"/>
  <c r="D475" i="3"/>
  <c r="D480" i="3"/>
  <c r="D481" i="3"/>
  <c r="D482" i="3"/>
  <c r="D479" i="3"/>
  <c r="D477" i="3"/>
  <c r="D478" i="3"/>
  <c r="D485" i="3"/>
  <c r="D483" i="3"/>
  <c r="D490" i="3"/>
  <c r="D489" i="3"/>
  <c r="D484" i="3"/>
  <c r="D487" i="3"/>
  <c r="D491" i="3"/>
  <c r="D488" i="3"/>
  <c r="D486" i="3"/>
  <c r="D494" i="3"/>
  <c r="D492" i="3"/>
  <c r="D493" i="3"/>
  <c r="D499" i="3"/>
  <c r="D497" i="3"/>
  <c r="D495" i="3"/>
  <c r="D498" i="3"/>
  <c r="D496" i="3"/>
  <c r="D500" i="3"/>
  <c r="D503" i="3"/>
  <c r="D501" i="3"/>
  <c r="D502" i="3"/>
  <c r="D506" i="3"/>
  <c r="D505" i="3"/>
  <c r="D504" i="3"/>
  <c r="D513" i="3"/>
  <c r="D510" i="3"/>
  <c r="D507" i="3"/>
  <c r="D509" i="3"/>
  <c r="D515" i="3"/>
  <c r="D512" i="3"/>
  <c r="D514" i="3"/>
  <c r="D511" i="3"/>
  <c r="D508" i="3"/>
  <c r="D518" i="3"/>
  <c r="D520" i="3"/>
  <c r="D517" i="3"/>
  <c r="D521" i="3"/>
  <c r="D519" i="3"/>
  <c r="D516" i="3"/>
  <c r="D523" i="3"/>
  <c r="D522" i="3"/>
  <c r="D524" i="3"/>
  <c r="D525" i="3"/>
  <c r="D527" i="3"/>
  <c r="D526" i="3"/>
  <c r="D530" i="3"/>
  <c r="D529" i="3"/>
  <c r="D528" i="3"/>
  <c r="D532" i="3"/>
  <c r="D531" i="3"/>
  <c r="D533" i="3"/>
  <c r="D535" i="3"/>
  <c r="D534" i="3"/>
  <c r="D536" i="3"/>
  <c r="D538" i="3"/>
  <c r="D537" i="3"/>
  <c r="D539" i="3"/>
  <c r="D542" i="3"/>
  <c r="D540" i="3"/>
  <c r="D541" i="3"/>
  <c r="D543" i="3"/>
  <c r="D544" i="3"/>
  <c r="D545" i="3"/>
  <c r="D550" i="3"/>
  <c r="D557" i="3"/>
  <c r="D555" i="3"/>
  <c r="D556" i="3"/>
  <c r="D548" i="3"/>
  <c r="D546" i="3"/>
  <c r="D553" i="3"/>
  <c r="D552" i="3"/>
  <c r="D554" i="3"/>
  <c r="D547" i="3"/>
  <c r="D551" i="3"/>
  <c r="D549" i="3"/>
  <c r="D2" i="3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E17" i="2"/>
  <c r="F17" i="2"/>
  <c r="E13" i="2"/>
  <c r="F13" i="2"/>
  <c r="E15" i="2"/>
  <c r="F15" i="2"/>
  <c r="E14" i="2"/>
  <c r="F14" i="2"/>
  <c r="E16" i="2"/>
  <c r="F16" i="2"/>
  <c r="E8" i="2"/>
  <c r="F8" i="2"/>
  <c r="E10" i="2"/>
  <c r="F10" i="2"/>
  <c r="E12" i="2"/>
  <c r="F12" i="2"/>
  <c r="E7" i="2"/>
  <c r="F7" i="2"/>
  <c r="E11" i="2"/>
  <c r="F11" i="2"/>
  <c r="E9" i="2"/>
  <c r="F9" i="2"/>
  <c r="E6" i="2"/>
  <c r="F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2E3388-173A-E542-9F2A-9CB0595B0A1B}" name="all_configs" type="6" refreshedVersion="8" background="1" saveData="1">
    <textPr codePage="10000" sourceFile="/Users/gilcesarf/git/repositories/imd/imd3002-202502/Projeto/all_configs.csv" tab="0" comma="1">
      <textFields count="3">
        <textField/>
        <textField/>
        <textField/>
      </textFields>
    </textPr>
  </connection>
  <connection id="2" xr16:uid="{C4C75C76-A35D-2E47-A111-A5DC263B2775}" name="all_configs_3" type="6" refreshedVersion="8" background="1" saveData="1">
    <textPr codePage="10000" sourceFile="/Users/gilcesarf/git/repositories/imd/imd3002-202502/Projeto/all_configs_3.csv" tab="0" comma="1">
      <textFields count="3">
        <textField/>
        <textField/>
        <textField/>
      </textFields>
    </textPr>
  </connection>
  <connection id="3" xr16:uid="{56F30932-CF2E-EA45-B2F4-967237960254}" name="tabela_f1_scores_para_excel" type="6" refreshedVersion="8" background="1" saveData="1">
    <textPr sourceFile="/Users/gilcesarf/git/repositories/imd/imd3002-202502/Aula14/tabela_f1_scores_para_excel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<sst xmlns="http://schemas.openxmlformats.org/spreadsheetml/2006/main" count="3237" uniqueCount="655">
  <si>
    <t>Dataset</t>
  </si>
  <si>
    <t>K=1</t>
  </si>
  <si>
    <t>K=2</t>
  </si>
  <si>
    <t>K=3</t>
  </si>
  <si>
    <t>K=4</t>
  </si>
  <si>
    <t>K=5</t>
  </si>
  <si>
    <t>K=6</t>
  </si>
  <si>
    <t>K=7</t>
  </si>
  <si>
    <t>K=8</t>
  </si>
  <si>
    <t>K=9</t>
  </si>
  <si>
    <t>K=10</t>
  </si>
  <si>
    <t>hogfeat_128_16_2_9_pca</t>
  </si>
  <si>
    <t>hogfeat_128_32_2_9</t>
  </si>
  <si>
    <t>hogfeat_256_32_2_9</t>
  </si>
  <si>
    <t>hogfeat_256_64_2_9</t>
  </si>
  <si>
    <t>lbpfeat_256_12_96</t>
  </si>
  <si>
    <t>hogfeat_128_16_2_9</t>
  </si>
  <si>
    <t>lbpfeat_256_24_192</t>
  </si>
  <si>
    <t>hogfeat_128_16_4_9_pca</t>
  </si>
  <si>
    <t>hogfeat_128_16_4_9</t>
  </si>
  <si>
    <t>hogfeat_256_32_2_9_pca</t>
  </si>
  <si>
    <t>hogfeat_256_64_2_18</t>
  </si>
  <si>
    <t>lbpfeat_256_6_48</t>
  </si>
  <si>
    <t>Média</t>
  </si>
  <si>
    <t>Desvio Padrao</t>
  </si>
  <si>
    <t>Holdout (90/10)</t>
  </si>
  <si>
    <t xml:space="preserve"> (800, 117)</t>
  </si>
  <si>
    <t xml:space="preserve"> (800, 324)</t>
  </si>
  <si>
    <t xml:space="preserve"> (800, 1764)</t>
  </si>
  <si>
    <t xml:space="preserve"> (800, 98)</t>
  </si>
  <si>
    <t xml:space="preserve"> (800, 194)</t>
  </si>
  <si>
    <t xml:space="preserve"> (800, 103)</t>
  </si>
  <si>
    <t xml:space="preserve"> (800, 3600)</t>
  </si>
  <si>
    <t xml:space="preserve"> (800, 93)</t>
  </si>
  <si>
    <t xml:space="preserve"> (800, 648)</t>
  </si>
  <si>
    <t xml:space="preserve"> (800, 50)</t>
  </si>
  <si>
    <t>128/16/4/9/pca</t>
  </si>
  <si>
    <t>256/64/2/18</t>
  </si>
  <si>
    <t>256/64/2/9</t>
  </si>
  <si>
    <t>128/16/4/9</t>
  </si>
  <si>
    <t>256/32/2/9/pca</t>
  </si>
  <si>
    <t>128/16/2/9/pca</t>
  </si>
  <si>
    <t>128/32/2/9</t>
  </si>
  <si>
    <t>256/6/48</t>
  </si>
  <si>
    <t>256/12/96</t>
  </si>
  <si>
    <t>256/32/2/9</t>
  </si>
  <si>
    <t>128/16/2/9</t>
  </si>
  <si>
    <t>256/24/192</t>
  </si>
  <si>
    <t>Atributos (linhas, colunas)</t>
  </si>
  <si>
    <t>kFold (n=10 folds)</t>
  </si>
  <si>
    <t>Variando K de 1 a 10, com holdout a 90/10 e kFold com 10 folds.</t>
  </si>
  <si>
    <t>Caracteristicas da extração de features *</t>
  </si>
  <si>
    <t>*LBP: Resolução da imagem/Raio/Pontos</t>
  </si>
  <si>
    <t>*HOG: Resolução da imagem/Pixels per Cell/Cells per Block/Orientations/PCA (75%)</t>
  </si>
  <si>
    <t>PCA a 75%, quando aplicado.</t>
  </si>
  <si>
    <t>Avaliação de Datasets com algoritmo KNN de classificação (gatos/cachorros)</t>
  </si>
  <si>
    <t>Posição**</t>
  </si>
  <si>
    <t>Tipo (F1-Score)</t>
  </si>
  <si>
    <t>** ordenados pela média geral de F1-Score</t>
  </si>
  <si>
    <t>params</t>
  </si>
  <si>
    <t>f1_score</t>
  </si>
  <si>
    <t>status</t>
  </si>
  <si>
    <t>sucesso</t>
  </si>
  <si>
    <t>{'activation': 'relu', 'hidden_layer_sizes': (200, 100), 'learning_rate_init': 0.005, 'max_iter': 1500, 'solver': 'adam'}</t>
  </si>
  <si>
    <t>{'activation': 'relu', 'hidden_layer_sizes': 50, 'learning_rate_init': 0.01, 'max_iter': 1500, 'solver': 'sgd'}</t>
  </si>
  <si>
    <t>{'activation': 'identity', 'hidden_layer_sizes': 150, 'learning_rate_init': 0.01, 'max_iter': 1500, 'solver': 'adam'}</t>
  </si>
  <si>
    <t>{'activation': 'tanh', 'hidden_layer_sizes': (100, 50), 'learning_rate_init': 0.01, 'max_iter': 1500, 'solver': 'sgd'}</t>
  </si>
  <si>
    <t>{'activation': 'logistic', 'hidden_layer_sizes': (200, 100, 50), 'learning_rate_init': 0.005, 'max_iter': 1500, 'solver': 'adam'}</t>
  </si>
  <si>
    <t>{'activation': 'relu', 'hidden_layer_sizes': 50, 'learning_rate_init': 0.01, 'max_iter': 1500, 'solver': 'adam'}</t>
  </si>
  <si>
    <t>{'activation': 'tanh', 'hidden_layer_sizes': (100, 50), 'learning_rate_init': 0.005, 'max_iter': 1500, 'solver': 'sgd'}</t>
  </si>
  <si>
    <t>{'activation': 'relu', 'hidden_layer_sizes': (200, 100), 'learning_rate_init': 0.01, 'max_iter': 1500, 'solver': 'adam'}</t>
  </si>
  <si>
    <t>{'activation': 'tanh', 'hidden_layer_sizes': (200, 100, 50), 'learning_rate_init': 0.005, 'max_iter': 1500, 'solver': 'sgd'}</t>
  </si>
  <si>
    <t>{'activation': 'tanh', 'hidden_layer_sizes': (200, 100, 50), 'learning_rate_init': 0.01, 'max_iter': 1500, 'solver': 'sgd'}</t>
  </si>
  <si>
    <t>{'activation': 'relu', 'hidden_layer_sizes': (200, 100, 50), 'learning_rate_init': 0.01, 'max_iter': 1500, 'solver': 'sgd'}</t>
  </si>
  <si>
    <t>{'activation': 'logistic', 'hidden_layer_sizes': 50, 'learning_rate_init': 0.01, 'max_iter': 1500, 'solver': 'sgd'}</t>
  </si>
  <si>
    <t>{'activation': 'tanh', 'hidden_layer_sizes': 100, 'learning_rate_init': 0.01, 'max_iter': 1500, 'solver': 'sgd'}</t>
  </si>
  <si>
    <t>{'activation': 'tanh', 'hidden_layer_sizes': (100, 50), 'learning_rate_init': 0.001, 'max_iter': 1500, 'solver': 'sgd'}</t>
  </si>
  <si>
    <t>{'activation': 'identity', 'hidden_layer_sizes': (150, 75), 'learning_rate_init': 0.01, 'max_iter': 1500, 'solver': 'adam'}</t>
  </si>
  <si>
    <t>{'activation': 'tanh', 'hidden_layer_sizes': (100, 50), 'learning_rate_init': 0.001, 'max_iter': 1500, 'solver': 'adam'}</t>
  </si>
  <si>
    <t>{'activation': 'identity', 'hidden_layer_sizes': 100, 'learning_rate_init': 0.01, 'max_iter': 1500, 'solver': 'sgd'}</t>
  </si>
  <si>
    <t>{'activation': 'identity', 'hidden_layer_sizes': 150, 'learning_rate_init': 0.01, 'max_iter': 1500, 'solver': 'sgd'}</t>
  </si>
  <si>
    <t>{'activation': 'identity', 'hidden_layer_sizes': 150, 'learning_rate_init': 0.005, 'max_iter': 1500, 'solver': 'adam'}</t>
  </si>
  <si>
    <t>{'activation': 'identity', 'hidden_layer_sizes': (200, 100), 'learning_rate_init': 0.001, 'max_iter': 1500, 'solver': 'sgd'}</t>
  </si>
  <si>
    <t>{'activation': 'tanh', 'hidden_layer_sizes': (200, 100, 50), 'learning_rate_init': 0.001, 'max_iter': 1500, 'solver': 'sgd'}</t>
  </si>
  <si>
    <t>{'activation': 'relu', 'hidden_layer_sizes': (200, 100, 50), 'learning_rate_init': 0.001, 'max_iter': 1500, 'solver': 'adam'}</t>
  </si>
  <si>
    <t>{'activation': 'relu', 'hidden_layer_sizes': (200, 100, 50), 'learning_rate_init': 0.001, 'max_iter': 1500, 'solver': 'sgd'}</t>
  </si>
  <si>
    <t>{'activation': 'logistic', 'hidden_layer_sizes': 50, 'learning_rate_init': 0.005, 'max_iter': 1500, 'solver': 'adam'}</t>
  </si>
  <si>
    <t>{'activation': 'relu', 'hidden_layer_sizes': 100, 'learning_rate_init': 0.005, 'max_iter': 1500, 'solver': 'sgd'}</t>
  </si>
  <si>
    <t>{'activation': 'logistic', 'hidden_layer_sizes': (200, 100, 50), 'learning_rate_init': 0.01, 'max_iter': 1500, 'solver': 'adam'}</t>
  </si>
  <si>
    <t>{'activation': 'identity', 'hidden_layer_sizes': (200, 100, 50), 'learning_rate_init': 0.005, 'max_iter': 1500, 'solver': 'sgd'}</t>
  </si>
  <si>
    <t>{'activation': 'relu', 'hidden_layer_sizes': 100, 'learning_rate_init': 0.01, 'max_iter': 1500, 'solver': 'sgd'}</t>
  </si>
  <si>
    <t>{'activation': 'logistic', 'hidden_layer_sizes': 50, 'learning_rate_init': 0.005, 'max_iter': 1500, 'solver': 'sgd'}</t>
  </si>
  <si>
    <t>{'activation': 'identity', 'hidden_layer_sizes': (200, 75, 25), 'learning_rate_init': 0.01, 'max_iter': 1500, 'solver': 'sgd'}</t>
  </si>
  <si>
    <t>{'activation': 'tanh', 'hidden_layer_sizes': 100, 'learning_rate_init': 0.001, 'max_iter': 1500, 'solver': 'adam'}</t>
  </si>
  <si>
    <t>{'activation': 'identity', 'hidden_layer_sizes': (150, 75), 'learning_rate_init': 0.001, 'max_iter': 1500, 'solver': 'sgd'}</t>
  </si>
  <si>
    <t>{'activation': 'logistic', 'hidden_layer_sizes': 50, 'learning_rate_init': 0.001, 'max_iter': 1500, 'solver': 'sgd'}</t>
  </si>
  <si>
    <t>{'activation': 'relu', 'hidden_layer_sizes': (200, 100, 50), 'learning_rate_init': 0.005, 'max_iter': 1500, 'solver': 'adam'}</t>
  </si>
  <si>
    <t>{'activation': 'identity', 'hidden_layer_sizes': 150, 'learning_rate_init': 0.005, 'max_iter': 1500, 'solver': 'sgd'}</t>
  </si>
  <si>
    <t>{'activation': 'relu', 'hidden_layer_sizes': 50, 'learning_rate_init': 0.005, 'max_iter': 1500, 'solver': 'sgd'}</t>
  </si>
  <si>
    <t>{'activation': 'relu', 'hidden_layer_sizes': (150, 75), 'learning_rate_init': 0.01, 'max_iter': 1500, 'solver': 'adam'}</t>
  </si>
  <si>
    <t>{'activation': 'identity', 'hidden_layer_sizes': (200, 75, 25), 'learning_rate_init': 0.005, 'max_iter': 1500, 'solver': 'sgd'}</t>
  </si>
  <si>
    <t>{'activation': 'tanh', 'hidden_layer_sizes': (200, 100, 50), 'learning_rate_init': 0.001, 'max_iter': 1500, 'solver': 'adam'}</t>
  </si>
  <si>
    <t>{'activation': 'relu', 'hidden_layer_sizes': (200, 100, 50), 'learning_rate_init': 0.005, 'max_iter': 1500, 'solver': 'sgd'}</t>
  </si>
  <si>
    <t>{'activation': 'logistic', 'hidden_layer_sizes': (100, 50), 'learning_rate_init': 0.005, 'max_iter': 1500, 'solver': 'sgd'}</t>
  </si>
  <si>
    <t>{'activation': 'relu', 'hidden_layer_sizes': (200, 100, 50), 'learning_rate_init': 0.01, 'max_iter': 1500, 'solver': 'adam'}</t>
  </si>
  <si>
    <t>{'activation': 'identity', 'hidden_layer_sizes': (150, 75), 'learning_rate_init': 0.005, 'max_iter': 1500, 'solver': 'adam'}</t>
  </si>
  <si>
    <t>{'activation': 'relu', 'hidden_layer_sizes': (100, 50), 'learning_rate_init': 0.01, 'max_iter': 1500, 'solver': 'sgd'}</t>
  </si>
  <si>
    <t>{'activation': 'identity', 'hidden_layer_sizes': 150, 'learning_rate_init': 0.001, 'max_iter': 1500, 'solver': 'adam'}</t>
  </si>
  <si>
    <t>{'activation': 'logistic', 'hidden_layer_sizes': (200, 100, 50), 'learning_rate_init': 0.01, 'max_iter': 1500, 'solver': 'sgd'}</t>
  </si>
  <si>
    <t>{'activation': 'identity', 'hidden_layer_sizes': (100, 50), 'learning_rate_init': 0.005, 'max_iter': 1500, 'solver': 'adam'}</t>
  </si>
  <si>
    <t>{'activation': 'identity', 'hidden_layer_sizes': (200, 100), 'learning_rate_init': 0.01, 'max_iter': 1500, 'solver': 'adam'}</t>
  </si>
  <si>
    <t>{'activation': 'tanh', 'hidden_layer_sizes': (200, 100, 50), 'learning_rate_init': 0.005, 'max_iter': 1500, 'solver': 'adam'}</t>
  </si>
  <si>
    <t>{'activation': 'relu', 'hidden_layer_sizes': 50, 'learning_rate_init': 0.005, 'max_iter': 1500, 'solver': 'adam'}</t>
  </si>
  <si>
    <t>{'activation': 'identity', 'hidden_layer_sizes': 150, 'learning_rate_init': 0.001, 'max_iter': 1500, 'solver': 'sgd'}</t>
  </si>
  <si>
    <t>{'activation': 'relu', 'hidden_layer_sizes': (200, 75, 25), 'learning_rate_init': 0.005, 'max_iter': 1500, 'solver': 'adam'}</t>
  </si>
  <si>
    <t>{'activation': 'tanh', 'hidden_layer_sizes': (100, 50), 'learning_rate_init': 0.005, 'max_iter': 1500, 'solver': 'adam'}</t>
  </si>
  <si>
    <t>{'activation': 'identity', 'hidden_layer_sizes': (200, 100, 50), 'learning_rate_init': 0.001, 'max_iter': 1500, 'solver': 'adam'}</t>
  </si>
  <si>
    <t>{'activation': 'tanh', 'hidden_layer_sizes': 100, 'learning_rate_init': 0.005, 'max_iter': 1500, 'solver': 'sgd'}</t>
  </si>
  <si>
    <t>{'activation': 'identity', 'hidden_layer_sizes': 50, 'learning_rate_init': 0.01, 'max_iter': 1500, 'solver': 'sgd'}</t>
  </si>
  <si>
    <t>{'activation': 'tanh', 'hidden_layer_sizes': (200, 75, 25), 'learning_rate_init': 0.005, 'max_iter': 1500, 'solver': 'sgd'}</t>
  </si>
  <si>
    <t>{'activation': 'logistic', 'hidden_layer_sizes': 100, 'learning_rate_init': 0.005, 'max_iter': 1500, 'solver': 'adam'}</t>
  </si>
  <si>
    <t>{'activation': 'tanh', 'hidden_layer_sizes': 150, 'learning_rate_init': 0.001, 'max_iter': 1500, 'solver': 'sgd'}</t>
  </si>
  <si>
    <t>{'activation': 'logistic', 'hidden_layer_sizes': (100, 50), 'learning_rate_init': 0.001, 'max_iter': 1500, 'solver': 'adam'}</t>
  </si>
  <si>
    <t>{'activation': 'tanh', 'hidden_layer_sizes': (200, 75, 25), 'learning_rate_init': 0.01, 'max_iter': 1500, 'solver': 'sgd'}</t>
  </si>
  <si>
    <t>{'activation': 'identity', 'hidden_layer_sizes': 50, 'learning_rate_init': 0.001, 'max_iter': 1500, 'solver': 'adam'}</t>
  </si>
  <si>
    <t>{'activation': 'identity', 'hidden_layer_sizes': 100, 'learning_rate_init': 0.001, 'max_iter': 1500, 'solver': 'sgd'}</t>
  </si>
  <si>
    <t>{'activation': 'identity', 'hidden_layer_sizes': (100, 50), 'learning_rate_init': 0.001, 'max_iter': 1500, 'solver': 'sgd'}</t>
  </si>
  <si>
    <t>{'activation': 'identity', 'hidden_layer_sizes': (200, 100, 50), 'learning_rate_init': 0.001, 'max_iter': 1500, 'solver': 'sgd'}</t>
  </si>
  <si>
    <t>{'activation': 'logistic', 'hidden_layer_sizes': (200, 100), 'learning_rate_init': 0.01, 'max_iter': 1500, 'solver': 'sgd'}</t>
  </si>
  <si>
    <t>{'activation': 'identity', 'hidden_layer_sizes': (150, 75), 'learning_rate_init': 0.005, 'max_iter': 1500, 'solver': 'sgd'}</t>
  </si>
  <si>
    <t>{'activation': 'logistic', 'hidden_layer_sizes': (200, 100), 'learning_rate_init': 0.005, 'max_iter': 1500, 'solver': 'sgd'}</t>
  </si>
  <si>
    <t>{'activation': 'logistic', 'hidden_layer_sizes': 150, 'learning_rate_init': 0.005, 'max_iter': 1500, 'solver': 'sgd'}</t>
  </si>
  <si>
    <t>{'activation': 'logistic', 'hidden_layer_sizes': 150, 'learning_rate_init': 0.01, 'max_iter': 1500, 'solver': 'sgd'}</t>
  </si>
  <si>
    <t>{'activation': 'identity', 'hidden_layer_sizes': 100, 'learning_rate_init': 0.005, 'max_iter': 1500, 'solver': 'sgd'}</t>
  </si>
  <si>
    <t>{'activation': 'logistic', 'hidden_layer_sizes': 150, 'learning_rate_init': 0.001, 'max_iter': 1500, 'solver': 'sgd'}</t>
  </si>
  <si>
    <t>{'activation': 'logistic', 'hidden_layer_sizes': 150, 'learning_rate_init': 0.01, 'max_iter': 1500, 'solver': 'adam'}</t>
  </si>
  <si>
    <t>{'activation': 'tanh', 'hidden_layer_sizes': 50, 'learning_rate_init': 0.005, 'max_iter': 1500, 'solver': 'adam'}</t>
  </si>
  <si>
    <t>{'activation': 'tanh', 'hidden_layer_sizes': 50, 'learning_rate_init': 0.001, 'max_iter': 1500, 'solver': 'adam'}</t>
  </si>
  <si>
    <t>{'activation': 'relu', 'hidden_layer_sizes': (100, 50), 'learning_rate_init': 0.01, 'max_iter': 1500, 'solver': 'adam'}</t>
  </si>
  <si>
    <t>{'activation': 'relu', 'hidden_layer_sizes': (200, 75, 25), 'learning_rate_init': 0.001, 'max_iter': 1500, 'solver': 'sgd'}</t>
  </si>
  <si>
    <t>{'activation': 'relu', 'hidden_layer_sizes': (200, 75, 25), 'learning_rate_init': 0.005, 'max_iter': 1500, 'solver': 'sgd'}</t>
  </si>
  <si>
    <t>{'activation': 'relu', 'hidden_layer_sizes': (200, 100), 'learning_rate_init': 0.01, 'max_iter': 1500, 'solver': 'sgd'}</t>
  </si>
  <si>
    <t>{'activation': 'logistic', 'hidden_layer_sizes': (200, 75, 25), 'learning_rate_init': 0.01, 'max_iter': 1500, 'solver': 'sgd'}</t>
  </si>
  <si>
    <t>{'activation': 'logistic', 'hidden_layer_sizes': (200, 100), 'learning_rate_init': 0.001, 'max_iter': 1500, 'solver': 'adam'}</t>
  </si>
  <si>
    <t>{'activation': 'logistic', 'hidden_layer_sizes': 100, 'learning_rate_init': 0.001, 'max_iter': 1500, 'solver': 'adam'}</t>
  </si>
  <si>
    <t>{'activation': 'logistic', 'hidden_layer_sizes': 100, 'learning_rate_init': 0.01, 'max_iter': 1500, 'solver': 'sgd'}</t>
  </si>
  <si>
    <t>{'activation': 'logistic', 'hidden_layer_sizes': 100, 'learning_rate_init': 0.01, 'max_iter': 1500, 'solver': 'adam'}</t>
  </si>
  <si>
    <t>{'activation': 'tanh', 'hidden_layer_sizes': 150, 'learning_rate_init': 0.01, 'max_iter': 1500, 'solver': 'sgd'}</t>
  </si>
  <si>
    <t>{'activation': 'logistic', 'hidden_layer_sizes': 100, 'learning_rate_init': 0.005, 'max_iter': 1500, 'solver': 'sgd'}</t>
  </si>
  <si>
    <t>{'activation': 'identity', 'hidden_layer_sizes': (200, 100, 50), 'learning_rate_init': 0.01, 'max_iter': 1500, 'solver': 'sgd'}</t>
  </si>
  <si>
    <t>{'activation': 'identity', 'hidden_layer_sizes': (200, 75, 25), 'learning_rate_init': 0.01, 'max_iter': 1500, 'solver': 'adam'}</t>
  </si>
  <si>
    <t>{'activation': 'tanh', 'hidden_layer_sizes': 150, 'learning_rate_init': 0.005, 'max_iter': 1500, 'solver': 'sgd'}</t>
  </si>
  <si>
    <t>{'activation': 'identity', 'hidden_layer_sizes': 50, 'learning_rate_init': 0.01, 'max_iter': 1500, 'solver': 'adam'}</t>
  </si>
  <si>
    <t>{'activation': 'tanh', 'hidden_layer_sizes': (200, 75, 25), 'learning_rate_init': 0.005, 'max_iter': 1500, 'solver': 'adam'}</t>
  </si>
  <si>
    <t>{'activation': 'logistic', 'hidden_layer_sizes': (100, 50), 'learning_rate_init': 0.01, 'max_iter': 1500, 'solver': 'sgd'}</t>
  </si>
  <si>
    <t>{'activation': 'relu', 'hidden_layer_sizes': (200, 75, 25), 'learning_rate_init': 0.001, 'max_iter': 1500, 'solver': 'adam'}</t>
  </si>
  <si>
    <t>{'activation': 'tanh', 'hidden_layer_sizes': (200, 75, 25), 'learning_rate_init': 0.001, 'max_iter': 1500, 'solver': 'sgd'}</t>
  </si>
  <si>
    <t>{'activation': 'identity', 'hidden_layer_sizes': (200, 75, 25), 'learning_rate_init': 0.001, 'max_iter': 1500, 'solver': 'adam'}</t>
  </si>
  <si>
    <t>{'activation': 'logistic', 'hidden_layer_sizes': 100, 'learning_rate_init': 0.001, 'max_iter': 1500, 'solver': 'sgd'}</t>
  </si>
  <si>
    <t>{'activation': 'tanh', 'hidden_layer_sizes': 150, 'learning_rate_init': 0.005, 'max_iter': 1500, 'solver': 'adam'}</t>
  </si>
  <si>
    <t>{'activation': 'identity', 'hidden_layer_sizes': (100, 50), 'learning_rate_init': 0.01, 'max_iter': 1500, 'solver': 'adam'}</t>
  </si>
  <si>
    <t>{'activation': 'logistic', 'hidden_layer_sizes': (200, 75, 25), 'learning_rate_init': 0.005, 'max_iter': 1500, 'solver': 'adam'}</t>
  </si>
  <si>
    <t>{'activation': 'tanh', 'hidden_layer_sizes': 100, 'learning_rate_init': 0.005, 'max_iter': 1500, 'solver': 'adam'}</t>
  </si>
  <si>
    <t>{'activation': 'tanh', 'hidden_layer_sizes': (200, 75, 25), 'learning_rate_init': 0.001, 'max_iter': 1500, 'solver': 'adam'}</t>
  </si>
  <si>
    <t>{'activation': 'identity', 'hidden_layer_sizes': (200, 75, 25), 'learning_rate_init': 0.001, 'max_iter': 1500, 'solver': 'sgd'}</t>
  </si>
  <si>
    <t>{'activation': 'identity', 'hidden_layer_sizes': 50, 'learning_rate_init': 0.001, 'max_iter': 1500, 'solver': 'sgd'}</t>
  </si>
  <si>
    <t>{'activation': 'logistic', 'hidden_layer_sizes': (200, 75, 25), 'learning_rate_init': 0.01, 'max_iter': 1500, 'solver': 'adam'}</t>
  </si>
  <si>
    <t>{'activation': 'relu', 'hidden_layer_sizes': 50, 'learning_rate_init': 0.001, 'max_iter': 1500, 'solver': 'sgd'}</t>
  </si>
  <si>
    <t>{'activation': 'tanh', 'hidden_layer_sizes': 50, 'learning_rate_init': 0.01, 'max_iter': 1500, 'solver': 'adam'}</t>
  </si>
  <si>
    <t>{'activation': 'relu', 'hidden_layer_sizes': (150, 75), 'learning_rate_init': 0.005, 'max_iter': 1500, 'solver': 'adam'}</t>
  </si>
  <si>
    <t>{'activation': 'relu', 'hidden_layer_sizes': 50, 'learning_rate_init': 0.001, 'max_iter': 1500, 'solver': 'adam'}</t>
  </si>
  <si>
    <t>{'activation': 'logistic', 'hidden_layer_sizes': (100, 50), 'learning_rate_init': 0.01, 'max_iter': 1500, 'solver': 'adam'}</t>
  </si>
  <si>
    <t>{'activation': 'logistic', 'hidden_layer_sizes': (100, 50), 'learning_rate_init': 0.005, 'max_iter': 1500, 'solver': 'adam'}</t>
  </si>
  <si>
    <t>{'activation': 'tanh', 'hidden_layer_sizes': (200, 100), 'learning_rate_init': 0.01, 'max_iter': 1500, 'solver': 'adam'}</t>
  </si>
  <si>
    <t>{'activation': 'relu', 'hidden_layer_sizes': (200, 75, 25), 'learning_rate_init': 0.01, 'max_iter': 1500, 'solver': 'sgd'}</t>
  </si>
  <si>
    <t>{'activation': 'relu', 'hidden_layer_sizes': (200, 100), 'learning_rate_init': 0.001, 'max_iter': 1500, 'solver': 'adam'}</t>
  </si>
  <si>
    <t>{'activation': 'identity', 'hidden_layer_sizes': 100, 'learning_rate_init': 0.005, 'max_iter': 1500, 'solver': 'adam'}</t>
  </si>
  <si>
    <t>{'activation': 'relu', 'hidden_layer_sizes': (200, 100), 'learning_rate_init': 0.005, 'max_iter': 1500, 'solver': 'sgd'}</t>
  </si>
  <si>
    <t>{'activation': 'relu', 'hidden_layer_sizes': (100, 50), 'learning_rate_init': 0.001, 'max_iter': 1500, 'solver': 'adam'}</t>
  </si>
  <si>
    <t>{'activation': 'identity', 'hidden_layer_sizes': (200, 100), 'learning_rate_init': 0.01, 'max_iter': 1500, 'solver': 'sgd'}</t>
  </si>
  <si>
    <t>{'activation': 'tanh', 'hidden_layer_sizes': (150, 75), 'learning_rate_init': 0.001, 'max_iter': 1500, 'solver': 'adam'}</t>
  </si>
  <si>
    <t>{'activation': 'relu', 'hidden_layer_sizes': (100, 50), 'learning_rate_init': 0.005, 'max_iter': 1500, 'solver': 'sgd'}</t>
  </si>
  <si>
    <t>{'activation': 'identity', 'hidden_layer_sizes': 50, 'learning_rate_init': 0.005, 'max_iter': 1500, 'solver': 'sgd'}</t>
  </si>
  <si>
    <t>{'activation': 'logistic', 'hidden_layer_sizes': (150, 75), 'learning_rate_init': 0.001, 'max_iter': 1500, 'solver': 'adam'}</t>
  </si>
  <si>
    <t>{'activation': 'logistic', 'hidden_layer_sizes': 50, 'learning_rate_init': 0.001, 'max_iter': 1500, 'solver': 'adam'}</t>
  </si>
  <si>
    <t>{'activation': 'logistic', 'hidden_layer_sizes': 50, 'learning_rate_init': 0.01, 'max_iter': 1500, 'solver': 'adam'}</t>
  </si>
  <si>
    <t>{'activation': 'tanh', 'hidden_layer_sizes': (200, 100), 'learning_rate_init': 0.005, 'max_iter': 1500, 'solver': 'adam'}</t>
  </si>
  <si>
    <t>{'activation': 'identity', 'hidden_layer_sizes': 100, 'learning_rate_init': 0.01, 'max_iter': 1500, 'solver': 'adam'}</t>
  </si>
  <si>
    <t>{'activation': 'relu', 'hidden_layer_sizes': 150, 'learning_rate_init': 0.001, 'max_iter': 1500, 'solver': 'adam'}</t>
  </si>
  <si>
    <t>{'activation': 'tanh', 'hidden_layer_sizes': 50, 'learning_rate_init': 0.01, 'max_iter': 1500, 'solver': 'sgd'}</t>
  </si>
  <si>
    <t>{'activation': 'relu', 'hidden_layer_sizes': 100, 'learning_rate_init': 0.01, 'max_iter': 1500, 'solver': 'adam'}</t>
  </si>
  <si>
    <t>{'activation': 'identity', 'hidden_layer_sizes': (100, 50), 'learning_rate_init': 0.005, 'max_iter': 1500, 'solver': 'sgd'}</t>
  </si>
  <si>
    <t>{'activation': 'logistic', 'hidden_layer_sizes': 150, 'learning_rate_init': 0.005, 'max_iter': 1500, 'solver': 'adam'}</t>
  </si>
  <si>
    <t>{'activation': 'tanh', 'hidden_layer_sizes': 100, 'learning_rate_init': 0.01, 'max_iter': 1500, 'solver': 'adam'}</t>
  </si>
  <si>
    <t>{'activation': 'logistic', 'hidden_layer_sizes': (150, 75), 'learning_rate_init': 0.005, 'max_iter': 1500, 'solver': 'adam'}</t>
  </si>
  <si>
    <t>{'activation': 'tanh', 'hidden_layer_sizes': (200, 100), 'learning_rate_init': 0.001, 'max_iter': 1500, 'solver': 'adam'}</t>
  </si>
  <si>
    <t>{'activation': 'logistic', 'hidden_layer_sizes': (200, 100, 50), 'learning_rate_init': 0.001, 'max_iter': 1500, 'solver': 'adam'}</t>
  </si>
  <si>
    <t>{'activation': 'relu', 'hidden_layer_sizes': (100, 50), 'learning_rate_init': 0.001, 'max_iter': 1500, 'solver': 'sgd'}</t>
  </si>
  <si>
    <t>{'activation': 'relu', 'hidden_layer_sizes': 150, 'learning_rate_init': 0.01, 'max_iter': 1500, 'solver': 'adam'}</t>
  </si>
  <si>
    <t>{'activation': 'identity', 'hidden_layer_sizes': 50, 'learning_rate_init': 0.005, 'max_iter': 1500, 'solver': 'adam'}</t>
  </si>
  <si>
    <t>{'activation': 'identity', 'hidden_layer_sizes': (200, 100, 50), 'learning_rate_init': 0.005, 'max_iter': 1500, 'solver': 'adam'}</t>
  </si>
  <si>
    <t>{'activation': 'identity', 'hidden_layer_sizes': 100, 'learning_rate_init': 0.001, 'max_iter': 1500, 'solver': 'adam'}</t>
  </si>
  <si>
    <t>{'activation': 'relu', 'hidden_layer_sizes': 100, 'learning_rate_init': 0.001, 'max_iter': 1500, 'solver': 'sgd'}</t>
  </si>
  <si>
    <t>{'activation': 'logistic', 'hidden_layer_sizes': (200, 100), 'learning_rate_init': 0.01, 'max_iter': 1500, 'solver': 'adam'}</t>
  </si>
  <si>
    <t>{'activation': 'logistic', 'hidden_layer_sizes': (150, 75), 'learning_rate_init': 0.005, 'max_iter': 1500, 'solver': 'sgd'}</t>
  </si>
  <si>
    <t>{'activation': 'logistic', 'hidden_layer_sizes': 150, 'learning_rate_init': 0.001, 'max_iter': 1500, 'solver': 'adam'}</t>
  </si>
  <si>
    <t>{'activation': 'tanh', 'hidden_layer_sizes': 150, 'learning_rate_init': 0.001, 'max_iter': 1500, 'solver': 'adam'}</t>
  </si>
  <si>
    <t>{'activation': 'logistic', 'hidden_layer_sizes': (200, 75, 25), 'learning_rate_init': 0.001, 'max_iter': 1500, 'solver': 'adam'}</t>
  </si>
  <si>
    <t>{'activation': 'tanh', 'hidden_layer_sizes': 50, 'learning_rate_init': 0.001, 'max_iter': 1500, 'solver': 'sgd'}</t>
  </si>
  <si>
    <t>{'activation': 'identity', 'hidden_layer_sizes': (150, 75), 'learning_rate_init': 0.01, 'max_iter': 1500, 'solver': 'sgd'}</t>
  </si>
  <si>
    <t>{'activation': 'logistic', 'hidden_layer_sizes': (200, 100), 'learning_rate_init': 0.005, 'max_iter': 1500, 'solver': 'adam'}</t>
  </si>
  <si>
    <t>{'activation': 'tanh', 'hidden_layer_sizes': 150, 'learning_rate_init': 0.01, 'max_iter': 1500, 'solver': 'adam'}</t>
  </si>
  <si>
    <t>{'activation': 'logistic', 'hidden_layer_sizes': (150, 75), 'learning_rate_init': 0.01, 'max_iter': 1500, 'solver': 'sgd'}</t>
  </si>
  <si>
    <t>{'activation': 'relu', 'hidden_layer_sizes': 100, 'learning_rate_init': 0.005, 'max_iter': 1500, 'solver': 'adam'}</t>
  </si>
  <si>
    <t>{'activation': 'identity', 'hidden_layer_sizes': (100, 50), 'learning_rate_init': 0.001, 'max_iter': 1500, 'solver': 'adam'}</t>
  </si>
  <si>
    <t>{'activation': 'logistic', 'hidden_layer_sizes': (150, 75), 'learning_rate_init': 0.01, 'max_iter': 1500, 'solver': 'adam'}</t>
  </si>
  <si>
    <t>{'activation': 'relu', 'hidden_layer_sizes': (100, 50), 'learning_rate_init': 0.005, 'max_iter': 1500, 'solver': 'adam'}</t>
  </si>
  <si>
    <t>{'activation': 'relu', 'hidden_layer_sizes': (150, 75), 'learning_rate_init': 0.001, 'max_iter': 1500, 'solver': 'sgd'}</t>
  </si>
  <si>
    <t>{'activation': 'identity', 'hidden_layer_sizes': (200, 75, 25), 'learning_rate_init': 0.005, 'max_iter': 1500, 'solver': 'adam'}</t>
  </si>
  <si>
    <t>{'activation': 'tanh', 'hidden_layer_sizes': 100, 'learning_rate_init': 0.001, 'max_iter': 1500, 'solver': 'sgd'}</t>
  </si>
  <si>
    <t>{'activation': 'relu', 'hidden_layer_sizes': (200, 100), 'learning_rate_init': 0.001, 'max_iter': 1500, 'solver': 'sgd'}</t>
  </si>
  <si>
    <t>{'activation': 'tanh', 'hidden_layer_sizes': (100, 50), 'learning_rate_init': 0.01, 'max_iter': 1500, 'solver': 'adam'}</t>
  </si>
  <si>
    <t>{'activation': 'tanh', 'hidden_layer_sizes': (150, 75), 'learning_rate_init': 0.01, 'max_iter': 1500, 'solver': 'adam'}</t>
  </si>
  <si>
    <t>{'activation': 'identity', 'hidden_layer_sizes': (200, 100), 'learning_rate_init': 0.005, 'max_iter': 1500, 'solver': 'sgd'}</t>
  </si>
  <si>
    <t>{'activation': 'identity', 'hidden_layer_sizes': (200, 100, 50), 'learning_rate_init': 0.01, 'max_iter': 1500, 'solver': 'adam'}</t>
  </si>
  <si>
    <t>{'activation': 'tanh', 'hidden_layer_sizes': (200, 100, 50), 'learning_rate_init': 0.01, 'max_iter': 1500, 'solver': 'adam'}</t>
  </si>
  <si>
    <t>{'activation': 'relu', 'hidden_layer_sizes': 150, 'learning_rate_init': 0.001, 'max_iter': 1500, 'solver': 'sgd'}</t>
  </si>
  <si>
    <t>{'activation': 'relu', 'hidden_layer_sizes': (150, 75), 'learning_rate_init': 0.01, 'max_iter': 1500, 'solver': 'sgd'}</t>
  </si>
  <si>
    <t>{'activation': 'tanh', 'hidden_layer_sizes': (200, 100), 'learning_rate_init': 0.01, 'max_iter': 1500, 'solver': 'sgd'}</t>
  </si>
  <si>
    <t>{'activation': 'relu', 'hidden_layer_sizes': 150, 'learning_rate_init': 0.005, 'max_iter': 1500, 'solver': 'adam'}</t>
  </si>
  <si>
    <t>{'activation': 'relu', 'hidden_layer_sizes': (150, 75), 'learning_rate_init': 0.005, 'max_iter': 1500, 'solver': 'sgd'}</t>
  </si>
  <si>
    <t>{'activation': 'relu', 'hidden_layer_sizes': (150, 75), 'learning_rate_init': 0.001, 'max_iter': 1500, 'solver': 'adam'}</t>
  </si>
  <si>
    <t>{'activation': 'identity', 'hidden_layer_sizes': (100, 50), 'learning_rate_init': 0.01, 'max_iter': 1500, 'solver': 'sgd'}</t>
  </si>
  <si>
    <t>{'activation': 'relu', 'hidden_layer_sizes': 100, 'learning_rate_init': 0.001, 'max_iter': 1500, 'solver': 'adam'}</t>
  </si>
  <si>
    <t>{'activation': 'tanh', 'hidden_layer_sizes': (150, 75), 'learning_rate_init': 0.01, 'max_iter': 1500, 'solver': 'sgd'}</t>
  </si>
  <si>
    <t>{'activation': 'relu', 'hidden_layer_sizes': 150, 'learning_rate_init': 0.005, 'max_iter': 1500, 'solver': 'sgd'}</t>
  </si>
  <si>
    <t>{'activation': 'tanh', 'hidden_layer_sizes': 50, 'learning_rate_init': 0.005, 'max_iter': 1500, 'solver': 'sgd'}</t>
  </si>
  <si>
    <t>{'activation': 'tanh', 'hidden_layer_sizes': (150, 75), 'learning_rate_init': 0.005, 'max_iter': 1500, 'solver': 'sgd'}</t>
  </si>
  <si>
    <t>{'activation': 'tanh', 'hidden_layer_sizes': (200, 100), 'learning_rate_init': 0.005, 'max_iter': 1500, 'solver': 'sgd'}</t>
  </si>
  <si>
    <t>{'activation': 'identity', 'hidden_layer_sizes': (150, 75), 'learning_rate_init': 0.001, 'max_iter': 1500, 'solver': 'adam'}</t>
  </si>
  <si>
    <t>{'activation': 'identity', 'hidden_layer_sizes': (200, 100), 'learning_rate_init': 0.001, 'max_iter': 1500, 'solver': 'adam'}</t>
  </si>
  <si>
    <t>{'activation': 'relu', 'hidden_layer_sizes': 150, 'learning_rate_init': 0.01, 'max_iter': 1500, 'solver': 'sgd'}</t>
  </si>
  <si>
    <t>{'activation': 'relu', 'hidden_layer_sizes': (200, 75, 25), 'learning_rate_init': 0.01, 'max_iter': 1500, 'solver': 'adam'}</t>
  </si>
  <si>
    <t>{'activation': 'tanh', 'hidden_layer_sizes': (200, 75, 25), 'learning_rate_init': 0.01, 'max_iter': 1500, 'solver': 'adam'}</t>
  </si>
  <si>
    <t>{'activation': 'tanh', 'hidden_layer_sizes': (150, 75), 'learning_rate_init': 0.001, 'max_iter': 1500, 'solver': 'sgd'}</t>
  </si>
  <si>
    <t>{'activation': 'tanh', 'hidden_layer_sizes': (200, 100), 'learning_rate_init': 0.001, 'max_iter': 1500, 'solver': 'sgd'}</t>
  </si>
  <si>
    <t>{'activation': 'tanh', 'hidden_layer_sizes': (150, 75), 'learning_rate_init': 0.005, 'max_iter': 1500, 'solver': 'adam'}</t>
  </si>
  <si>
    <t>{'activation': 'identity', 'hidden_layer_sizes': (200, 100), 'learning_rate_init': 0.005, 'max_iter': 1500, 'solver': 'adam'}</t>
  </si>
  <si>
    <t>{'activation': 'logistic', 'hidden_layer_sizes': (200, 75, 25), 'learning_rate_init': 0.005, 'max_iter': 1500, 'solver': 'sgd'}</t>
  </si>
  <si>
    <t>{'activation': 'logistic', 'hidden_layer_sizes': (200, 100, 50), 'learning_rate_init': 0.005, 'max_iter': 1500, 'solver': 'sgd'}</t>
  </si>
  <si>
    <t>{'activation': 'logistic', 'hidden_layer_sizes': (200, 75, 25), 'learning_rate_init': 0.001, 'max_iter': 1500, 'solver': 'sgd'}</t>
  </si>
  <si>
    <t>{'activation': 'logistic', 'hidden_layer_sizes': (200, 100, 50), 'learning_rate_init': 0.001, 'max_iter': 1500, 'solver': 'sgd'}</t>
  </si>
  <si>
    <t>{'activation': 'relu', 'hidden_layer_sizes': (200, 100), 'learning_rate_init': 0.005, 'max_iter': 1000, 'solver': 'adam'}</t>
  </si>
  <si>
    <t>{'activation': 'relu', 'hidden_layer_sizes': (200, 100), 'learning_rate_init': 0.005, 'max_iter': 500, 'solver': 'adam'}</t>
  </si>
  <si>
    <t>{'activation': 'relu', 'hidden_layer_sizes': 50, 'learning_rate_init': 0.01, 'max_iter': 1000, 'solver': 'sgd'}</t>
  </si>
  <si>
    <t>{'activation': 'relu', 'hidden_layer_sizes': 50, 'learning_rate_init': 0.01, 'max_iter': 500, 'solver': 'sgd'}</t>
  </si>
  <si>
    <t>{'activation': 'tanh', 'hidden_layer_sizes': (100, 50), 'learning_rate_init': 0.01, 'max_iter': 500, 'solver': 'sgd'}</t>
  </si>
  <si>
    <t>{'activation': 'tanh', 'hidden_layer_sizes': (100, 50), 'learning_rate_init': 0.01, 'max_iter': 1000, 'solver': 'sgd'}</t>
  </si>
  <si>
    <t>{'activation': 'identity', 'hidden_layer_sizes': 150, 'learning_rate_init': 0.01, 'max_iter': 500, 'solver': 'adam'}</t>
  </si>
  <si>
    <t>{'activation': 'identity', 'hidden_layer_sizes': 150, 'learning_rate_init': 0.01, 'max_iter': 1000, 'solver': 'adam'}</t>
  </si>
  <si>
    <t>{'activation': 'logistic', 'hidden_layer_sizes': (200, 100, 50), 'learning_rate_init': 0.005, 'max_iter': 1000, 'solver': 'adam'}</t>
  </si>
  <si>
    <t>{'activation': 'logistic', 'hidden_layer_sizes': (200, 100, 50), 'learning_rate_init': 0.005, 'max_iter': 500, 'solver': 'adam'}</t>
  </si>
  <si>
    <t>{'activation': 'relu', 'hidden_layer_sizes': 50, 'learning_rate_init': 0.01, 'max_iter': 500, 'solver': 'adam'}</t>
  </si>
  <si>
    <t>{'activation': 'relu', 'hidden_layer_sizes': 50, 'learning_rate_init': 0.01, 'max_iter': 1000, 'solver': 'adam'}</t>
  </si>
  <si>
    <t>{'activation': 'tanh', 'hidden_layer_sizes': (100, 50), 'learning_rate_init': 0.005, 'max_iter': 1000, 'solver': 'sgd'}</t>
  </si>
  <si>
    <t>{'activation': 'tanh', 'hidden_layer_sizes': (100, 50), 'learning_rate_init': 0.005, 'max_iter': 500, 'solver': 'sgd'}</t>
  </si>
  <si>
    <t>{'activation': 'relu', 'hidden_layer_sizes': (200, 100), 'learning_rate_init': 0.01, 'max_iter': 1000, 'solver': 'adam'}</t>
  </si>
  <si>
    <t>{'activation': 'relu', 'hidden_layer_sizes': (200, 100), 'learning_rate_init': 0.01, 'max_iter': 500, 'solver': 'adam'}</t>
  </si>
  <si>
    <t>{'activation': 'tanh', 'hidden_layer_sizes': (200, 100, 50), 'learning_rate_init': 0.005, 'max_iter': 1000, 'solver': 'sgd'}</t>
  </si>
  <si>
    <t>{'activation': 'tanh', 'hidden_layer_sizes': (200, 100, 50), 'learning_rate_init': 0.005, 'max_iter': 500, 'solver': 'sgd'}</t>
  </si>
  <si>
    <t>{'activation': 'tanh', 'hidden_layer_sizes': (200, 100, 50), 'learning_rate_init': 0.01, 'max_iter': 1000, 'solver': 'sgd'}</t>
  </si>
  <si>
    <t>{'activation': 'tanh', 'hidden_layer_sizes': (200, 100, 50), 'learning_rate_init': 0.01, 'max_iter': 500, 'solver': 'sgd'}</t>
  </si>
  <si>
    <t>{'activation': 'relu', 'hidden_layer_sizes': (200, 100, 50), 'learning_rate_init': 0.01, 'max_iter': 1000, 'solver': 'sgd'}</t>
  </si>
  <si>
    <t>{'activation': 'relu', 'hidden_layer_sizes': (200, 100, 50), 'learning_rate_init': 0.01, 'max_iter': 500, 'solver': 'sgd'}</t>
  </si>
  <si>
    <t>{'activation': 'tanh', 'hidden_layer_sizes': 100, 'learning_rate_init': 0.01, 'max_iter': 1000, 'solver': 'sgd'}</t>
  </si>
  <si>
    <t>{'activation': 'tanh', 'hidden_layer_sizes': 100, 'learning_rate_init': 0.01, 'max_iter': 500, 'solver': 'sgd'}</t>
  </si>
  <si>
    <t>{'activation': 'logistic', 'hidden_layer_sizes': 50, 'learning_rate_init': 0.01, 'max_iter': 500, 'solver': 'sgd'}</t>
  </si>
  <si>
    <t>{'activation': 'logistic', 'hidden_layer_sizes': 50, 'learning_rate_init': 0.01, 'max_iter': 1000, 'solver': 'sgd'}</t>
  </si>
  <si>
    <t>{'activation': 'tanh', 'hidden_layer_sizes': (100, 50), 'learning_rate_init': 0.001, 'max_iter': 1000, 'solver': 'sgd'}</t>
  </si>
  <si>
    <t>{'activation': 'tanh', 'hidden_layer_sizes': (100, 50), 'learning_rate_init': 0.001, 'max_iter': 500, 'solver': 'sgd'}</t>
  </si>
  <si>
    <t>{'activation': 'tanh', 'hidden_layer_sizes': (100, 50), 'learning_rate_init': 0.001, 'max_iter': 500, 'solver': 'adam'}</t>
  </si>
  <si>
    <t>{'activation': 'identity', 'hidden_layer_sizes': (150, 75), 'learning_rate_init': 0.01, 'max_iter': 500, 'solver': 'adam'}</t>
  </si>
  <si>
    <t>{'activation': 'identity', 'hidden_layer_sizes': (150, 75), 'learning_rate_init': 0.01, 'max_iter': 1000, 'solver': 'adam'}</t>
  </si>
  <si>
    <t>{'activation': 'tanh', 'hidden_layer_sizes': (100, 50), 'learning_rate_init': 0.001, 'max_iter': 1000, 'solver': 'adam'}</t>
  </si>
  <si>
    <t>{'activation': 'identity', 'hidden_layer_sizes': 100, 'learning_rate_init': 0.01, 'max_iter': 500, 'solver': 'sgd'}</t>
  </si>
  <si>
    <t>{'activation': 'identity', 'hidden_layer_sizes': 100, 'learning_rate_init': 0.01, 'max_iter': 1000, 'solver': 'sgd'}</t>
  </si>
  <si>
    <t>{'activation': 'identity', 'hidden_layer_sizes': 150, 'learning_rate_init': 0.01, 'max_iter': 1000, 'solver': 'sgd'}</t>
  </si>
  <si>
    <t>{'activation': 'identity', 'hidden_layer_sizes': 150, 'learning_rate_init': 0.005, 'max_iter': 1000, 'solver': 'adam'}</t>
  </si>
  <si>
    <t>{'activation': 'identity', 'hidden_layer_sizes': 150, 'learning_rate_init': 0.01, 'max_iter': 500, 'solver': 'sgd'}</t>
  </si>
  <si>
    <t>{'activation': 'identity', 'hidden_layer_sizes': 150, 'learning_rate_init': 0.005, 'max_iter': 500, 'solver': 'adam'}</t>
  </si>
  <si>
    <t>{'activation': 'identity', 'hidden_layer_sizes': (200, 100), 'learning_rate_init': 0.001, 'max_iter': 500, 'solver': 'sgd'}</t>
  </si>
  <si>
    <t>{'activation': 'identity', 'hidden_layer_sizes': (200, 100), 'learning_rate_init': 0.001, 'max_iter': 1000, 'solver': 'sgd'}</t>
  </si>
  <si>
    <t>{'activation': 'tanh', 'hidden_layer_sizes': (200, 100, 50), 'learning_rate_init': 0.001, 'max_iter': 1000, 'solver': 'sgd'}</t>
  </si>
  <si>
    <t>{'activation': 'tanh', 'hidden_layer_sizes': (200, 100, 50), 'learning_rate_init': 0.001, 'max_iter': 500, 'solver': 'sgd'}</t>
  </si>
  <si>
    <t>{'activation': 'relu', 'hidden_layer_sizes': (200, 100, 50), 'learning_rate_init': 0.001, 'max_iter': 500, 'solver': 'adam'}</t>
  </si>
  <si>
    <t>{'activation': 'relu', 'hidden_layer_sizes': (200, 100, 50), 'learning_rate_init': 0.001, 'max_iter': 1000, 'solver': 'adam'}</t>
  </si>
  <si>
    <t>{'activation': 'relu', 'hidden_layer_sizes': (200, 100, 50), 'learning_rate_init': 0.001, 'max_iter': 500, 'solver': 'sgd'}</t>
  </si>
  <si>
    <t>{'activation': 'logistic', 'hidden_layer_sizes': 50, 'learning_rate_init': 0.005, 'max_iter': 1000, 'solver': 'adam'}</t>
  </si>
  <si>
    <t>{'activation': 'relu', 'hidden_layer_sizes': (200, 100, 50), 'learning_rate_init': 0.001, 'max_iter': 1000, 'solver': 'sgd'}</t>
  </si>
  <si>
    <t>{'activation': 'logistic', 'hidden_layer_sizes': 50, 'learning_rate_init': 0.005, 'max_iter': 500, 'solver': 'adam'}</t>
  </si>
  <si>
    <t>{'activation': 'relu', 'hidden_layer_sizes': 100, 'learning_rate_init': 0.005, 'max_iter': 500, 'solver': 'sgd'}</t>
  </si>
  <si>
    <t>{'activation': 'relu', 'hidden_layer_sizes': 100, 'learning_rate_init': 0.01, 'max_iter': 500, 'solver': 'sgd'}</t>
  </si>
  <si>
    <t>{'activation': 'identity', 'hidden_layer_sizes': (200, 100, 50), 'learning_rate_init': 0.005, 'max_iter': 1000, 'solver': 'sgd'}</t>
  </si>
  <si>
    <t>{'activation': 'relu', 'hidden_layer_sizes': 100, 'learning_rate_init': 0.005, 'max_iter': 1000, 'solver': 'sgd'}</t>
  </si>
  <si>
    <t>{'activation': 'relu', 'hidden_layer_sizes': 100, 'learning_rate_init': 0.01, 'max_iter': 1000, 'solver': 'sgd'}</t>
  </si>
  <si>
    <t>{'activation': 'identity', 'hidden_layer_sizes': (200, 100, 50), 'learning_rate_init': 0.005, 'max_iter': 500, 'solver': 'sgd'}</t>
  </si>
  <si>
    <t>{'activation': 'logistic', 'hidden_layer_sizes': 50, 'learning_rate_init': 0.005, 'max_iter': 1000, 'solver': 'sgd'}</t>
  </si>
  <si>
    <t>{'activation': 'logistic', 'hidden_layer_sizes': (200, 100, 50), 'learning_rate_init': 0.01, 'max_iter': 1000, 'solver': 'adam'}</t>
  </si>
  <si>
    <t>{'activation': 'logistic', 'hidden_layer_sizes': (200, 100, 50), 'learning_rate_init': 0.01, 'max_iter': 500, 'solver': 'adam'}</t>
  </si>
  <si>
    <t>{'activation': 'logistic', 'hidden_layer_sizes': 50, 'learning_rate_init': 0.005, 'max_iter': 500, 'solver': 'sgd'}</t>
  </si>
  <si>
    <t>{'activation': 'tanh', 'hidden_layer_sizes': 100, 'learning_rate_init': 0.001, 'max_iter': 1000, 'solver': 'adam'}</t>
  </si>
  <si>
    <t>{'activation': 'tanh', 'hidden_layer_sizes': 100, 'learning_rate_init': 0.001, 'max_iter': 500, 'solver': 'adam'}</t>
  </si>
  <si>
    <t>{'activation': 'identity', 'hidden_layer_sizes': (200, 75, 25), 'learning_rate_init': 0.01, 'max_iter': 1000, 'solver': 'sgd'}</t>
  </si>
  <si>
    <t>{'activation': 'identity', 'hidden_layer_sizes': (200, 75, 25), 'learning_rate_init': 0.01, 'max_iter': 500, 'solver': 'sgd'}</t>
  </si>
  <si>
    <t>{'activation': 'relu', 'hidden_layer_sizes': (200, 100, 50), 'learning_rate_init': 0.005, 'max_iter': 500, 'solver': 'adam'}</t>
  </si>
  <si>
    <t>{'activation': 'relu', 'hidden_layer_sizes': (200, 100, 50), 'learning_rate_init': 0.005, 'max_iter': 1000, 'solver': 'adam'}</t>
  </si>
  <si>
    <t>{'activation': 'identity', 'hidden_layer_sizes': (150, 75), 'learning_rate_init': 0.001, 'max_iter': 500, 'solver': 'sgd'}</t>
  </si>
  <si>
    <t>{'activation': 'identity', 'hidden_layer_sizes': (150, 75), 'learning_rate_init': 0.001, 'max_iter': 1000, 'solver': 'sgd'}</t>
  </si>
  <si>
    <t>{'activation': 'identity', 'hidden_layer_sizes': 150, 'learning_rate_init': 0.005, 'max_iter': 1000, 'solver': 'sgd'}</t>
  </si>
  <si>
    <t>{'activation': 'identity', 'hidden_layer_sizes': 150, 'learning_rate_init': 0.005, 'max_iter': 500, 'solver': 'sgd'}</t>
  </si>
  <si>
    <t>{'activation': 'relu', 'hidden_layer_sizes': 50, 'learning_rate_init': 0.005, 'max_iter': 1000, 'solver': 'sgd'}</t>
  </si>
  <si>
    <t>{'activation': 'relu', 'hidden_layer_sizes': 50, 'learning_rate_init': 0.005, 'max_iter': 500, 'solver': 'sgd'}</t>
  </si>
  <si>
    <t>{'activation': 'relu', 'hidden_layer_sizes': (150, 75), 'learning_rate_init': 0.01, 'max_iter': 500, 'solver': 'adam'}</t>
  </si>
  <si>
    <t>{'activation': 'relu', 'hidden_layer_sizes': (150, 75), 'learning_rate_init': 0.01, 'max_iter': 1000, 'solver': 'adam'}</t>
  </si>
  <si>
    <t>{'activation': 'identity', 'hidden_layer_sizes': (200, 75, 25), 'learning_rate_init': 0.005, 'max_iter': 500, 'solver': 'sgd'}</t>
  </si>
  <si>
    <t>{'activation': 'identity', 'hidden_layer_sizes': (200, 75, 25), 'learning_rate_init': 0.005, 'max_iter': 1000, 'solver': 'sgd'}</t>
  </si>
  <si>
    <t>{'activation': 'relu', 'hidden_layer_sizes': (200, 100, 50), 'learning_rate_init': 0.005, 'max_iter': 1000, 'solver': 'sgd'}</t>
  </si>
  <si>
    <t>{'activation': 'tanh', 'hidden_layer_sizes': (200, 100, 50), 'learning_rate_init': 0.001, 'max_iter': 1000, 'solver': 'adam'}</t>
  </si>
  <si>
    <t>{'activation': 'tanh', 'hidden_layer_sizes': (200, 100, 50), 'learning_rate_init': 0.001, 'max_iter': 500, 'solver': 'adam'}</t>
  </si>
  <si>
    <t>{'activation': 'relu', 'hidden_layer_sizes': (200, 100, 50), 'learning_rate_init': 0.005, 'max_iter': 500, 'solver': 'sgd'}</t>
  </si>
  <si>
    <t>{'activation': 'relu', 'hidden_layer_sizes': (200, 100, 50), 'learning_rate_init': 0.01, 'max_iter': 500, 'solver': 'adam'}</t>
  </si>
  <si>
    <t>{'activation': 'relu', 'hidden_layer_sizes': (200, 100, 50), 'learning_rate_init': 0.01, 'max_iter': 1000, 'solver': 'adam'}</t>
  </si>
  <si>
    <t>{'activation': 'logistic', 'hidden_layer_sizes': (100, 50), 'learning_rate_init': 0.005, 'max_iter': 1000, 'solver': 'sgd'}</t>
  </si>
  <si>
    <t>{'activation': 'identity', 'hidden_layer_sizes': (150, 75), 'learning_rate_init': 0.005, 'max_iter': 500, 'solver': 'adam'}</t>
  </si>
  <si>
    <t>{'activation': 'logistic', 'hidden_layer_sizes': (200, 100, 50), 'learning_rate_init': 0.01, 'max_iter': 500, 'solver': 'sgd'}</t>
  </si>
  <si>
    <t>{'activation': 'identity', 'hidden_layer_sizes': (150, 75), 'learning_rate_init': 0.005, 'max_iter': 1000, 'solver': 'adam'}</t>
  </si>
  <si>
    <t>{'activation': 'identity', 'hidden_layer_sizes': 150, 'learning_rate_init': 0.001, 'max_iter': 1000, 'solver': 'adam'}</t>
  </si>
  <si>
    <t>{'activation': 'relu', 'hidden_layer_sizes': (100, 50), 'learning_rate_init': 0.01, 'max_iter': 500, 'solver': 'sgd'}</t>
  </si>
  <si>
    <t>{'activation': 'relu', 'hidden_layer_sizes': (100, 50), 'learning_rate_init': 0.01, 'max_iter': 1000, 'solver': 'sgd'}</t>
  </si>
  <si>
    <t>{'activation': 'logistic', 'hidden_layer_sizes': (200, 100, 50), 'learning_rate_init': 0.01, 'max_iter': 1000, 'solver': 'sgd'}</t>
  </si>
  <si>
    <t>{'activation': 'identity', 'hidden_layer_sizes': 150, 'learning_rate_init': 0.001, 'max_iter': 500, 'solver': 'adam'}</t>
  </si>
  <si>
    <t>{'activation': 'tanh', 'hidden_layer_sizes': (200, 100, 50), 'learning_rate_init': 0.005, 'max_iter': 1000, 'solver': 'adam'}</t>
  </si>
  <si>
    <t>{'activation': 'identity', 'hidden_layer_sizes': (200, 100), 'learning_rate_init': 0.01, 'max_iter': 1000, 'solver': 'adam'}</t>
  </si>
  <si>
    <t>{'activation': 'identity', 'hidden_layer_sizes': (200, 100), 'learning_rate_init': 0.01, 'max_iter': 500, 'solver': 'adam'}</t>
  </si>
  <si>
    <t>{'activation': 'identity', 'hidden_layer_sizes': (100, 50), 'learning_rate_init': 0.005, 'max_iter': 500, 'solver': 'adam'}</t>
  </si>
  <si>
    <t>{'activation': 'identity', 'hidden_layer_sizes': (100, 50), 'learning_rate_init': 0.005, 'max_iter': 1000, 'solver': 'adam'}</t>
  </si>
  <si>
    <t>{'activation': 'tanh', 'hidden_layer_sizes': (200, 100, 50), 'learning_rate_init': 0.005, 'max_iter': 500, 'solver': 'adam'}</t>
  </si>
  <si>
    <t>{'activation': 'identity', 'hidden_layer_sizes': 150, 'learning_rate_init': 0.001, 'max_iter': 500, 'solver': 'sgd'}</t>
  </si>
  <si>
    <t>{'activation': 'relu', 'hidden_layer_sizes': 50, 'learning_rate_init': 0.005, 'max_iter': 1000, 'solver': 'adam'}</t>
  </si>
  <si>
    <t>{'activation': 'identity', 'hidden_layer_sizes': 150, 'learning_rate_init': 0.001, 'max_iter': 1000, 'solver': 'sgd'}</t>
  </si>
  <si>
    <t>{'activation': 'relu', 'hidden_layer_sizes': 50, 'learning_rate_init': 0.005, 'max_iter': 500, 'solver': 'adam'}</t>
  </si>
  <si>
    <t>{'activation': 'relu', 'hidden_layer_sizes': (200, 75, 25), 'learning_rate_init': 0.005, 'max_iter': 500, 'solver': 'adam'}</t>
  </si>
  <si>
    <t>{'activation': 'relu', 'hidden_layer_sizes': (200, 75, 25), 'learning_rate_init': 0.005, 'max_iter': 1000, 'solver': 'adam'}</t>
  </si>
  <si>
    <t>{'activation': 'tanh', 'hidden_layer_sizes': (100, 50), 'learning_rate_init': 0.005, 'max_iter': 500, 'solver': 'adam'}</t>
  </si>
  <si>
    <t>{'activation': 'tanh', 'hidden_layer_sizes': (100, 50), 'learning_rate_init': 0.005, 'max_iter': 1000, 'solver': 'adam'}</t>
  </si>
  <si>
    <t>{'activation': 'identity', 'hidden_layer_sizes': 50, 'learning_rate_init': 0.01, 'max_iter': 1000, 'solver': 'sgd'}</t>
  </si>
  <si>
    <t>{'activation': 'identity', 'hidden_layer_sizes': (200, 100, 50), 'learning_rate_init': 0.001, 'max_iter': 500, 'solver': 'adam'}</t>
  </si>
  <si>
    <t>{'activation': 'tanh', 'hidden_layer_sizes': 100, 'learning_rate_init': 0.005, 'max_iter': 1000, 'solver': 'sgd'}</t>
  </si>
  <si>
    <t>{'activation': 'tanh', 'hidden_layer_sizes': 100, 'learning_rate_init': 0.005, 'max_iter': 500, 'solver': 'sgd'}</t>
  </si>
  <si>
    <t>{'activation': 'identity', 'hidden_layer_sizes': (200, 100, 50), 'learning_rate_init': 0.001, 'max_iter': 1000, 'solver': 'adam'}</t>
  </si>
  <si>
    <t>{'activation': 'identity', 'hidden_layer_sizes': 50, 'learning_rate_init': 0.01, 'max_iter': 500, 'solver': 'sgd'}</t>
  </si>
  <si>
    <t>{'activation': 'tanh', 'hidden_layer_sizes': (200, 75, 25), 'learning_rate_init': 0.005, 'max_iter': 500, 'solver': 'sgd'}</t>
  </si>
  <si>
    <t>{'activation': 'logistic', 'hidden_layer_sizes': 100, 'learning_rate_init': 0.005, 'max_iter': 1000, 'solver': 'adam'}</t>
  </si>
  <si>
    <t>{'activation': 'logistic', 'hidden_layer_sizes': 100, 'learning_rate_init': 0.005, 'max_iter': 500, 'solver': 'adam'}</t>
  </si>
  <si>
    <t>{'activation': 'tanh', 'hidden_layer_sizes': (200, 75, 25), 'learning_rate_init': 0.005, 'max_iter': 1000, 'solver': 'sgd'}</t>
  </si>
  <si>
    <t>{'activation': 'tanh', 'hidden_layer_sizes': 150, 'learning_rate_init': 0.001, 'max_iter': 500, 'solver': 'sgd'}</t>
  </si>
  <si>
    <t>{'activation': 'tanh', 'hidden_layer_sizes': 150, 'learning_rate_init': 0.001, 'max_iter': 1000, 'solver': 'sgd'}</t>
  </si>
  <si>
    <t>{'activation': 'logistic', 'hidden_layer_sizes': (100, 50), 'learning_rate_init': 0.001, 'max_iter': 500, 'solver': 'adam'}</t>
  </si>
  <si>
    <t>{'activation': 'tanh', 'hidden_layer_sizes': (200, 75, 25), 'learning_rate_init': 0.01, 'max_iter': 1000, 'solver': 'sgd'}</t>
  </si>
  <si>
    <t>{'activation': 'tanh', 'hidden_layer_sizes': (200, 75, 25), 'learning_rate_init': 0.01, 'max_iter': 500, 'solver': 'sgd'}</t>
  </si>
  <si>
    <t>{'activation': 'logistic', 'hidden_layer_sizes': (100, 50), 'learning_rate_init': 0.001, 'max_iter': 1000, 'solver': 'adam'}</t>
  </si>
  <si>
    <t>{'activation': 'identity', 'hidden_layer_sizes': 50, 'learning_rate_init': 0.001, 'max_iter': 500, 'solver': 'adam'}</t>
  </si>
  <si>
    <t>{'activation': 'identity', 'hidden_layer_sizes': 100, 'learning_rate_init': 0.001, 'max_iter': 1000, 'solver': 'sgd'}</t>
  </si>
  <si>
    <t>{'activation': 'identity', 'hidden_layer_sizes': 50, 'learning_rate_init': 0.001, 'max_iter': 1000, 'solver': 'adam'}</t>
  </si>
  <si>
    <t>{'activation': 'identity', 'hidden_layer_sizes': (100, 50), 'learning_rate_init': 0.001, 'max_iter': 500, 'solver': 'sgd'}</t>
  </si>
  <si>
    <t>{'activation': 'identity', 'hidden_layer_sizes': (100, 50), 'learning_rate_init': 0.001, 'max_iter': 1000, 'solver': 'sgd'}</t>
  </si>
  <si>
    <t>{'activation': 'identity', 'hidden_layer_sizes': 100, 'learning_rate_init': 0.001, 'max_iter': 500, 'solver': 'sgd'}</t>
  </si>
  <si>
    <t>{'activation': 'logistic', 'hidden_layer_sizes': (200, 100), 'learning_rate_init': 0.005, 'max_iter': 1000, 'solver': 'sgd'}</t>
  </si>
  <si>
    <t>{'activation': 'logistic', 'hidden_layer_sizes': (200, 100), 'learning_rate_init': 0.01, 'max_iter': 500, 'solver': 'sgd'}</t>
  </si>
  <si>
    <t>{'activation': 'logistic', 'hidden_layer_sizes': (200, 100), 'learning_rate_init': 0.01, 'max_iter': 1000, 'solver': 'sgd'}</t>
  </si>
  <si>
    <t>{'activation': 'identity', 'hidden_layer_sizes': 100, 'learning_rate_init': 0.005, 'max_iter': 500, 'solver': 'sgd'}</t>
  </si>
  <si>
    <t>{'activation': 'identity', 'hidden_layer_sizes': 100, 'learning_rate_init': 0.005, 'max_iter': 1000, 'solver': 'sgd'}</t>
  </si>
  <si>
    <t>{'activation': 'logistic', 'hidden_layer_sizes': 150, 'learning_rate_init': 0.005, 'max_iter': 500, 'solver': 'sgd'}</t>
  </si>
  <si>
    <t>{'activation': 'identity', 'hidden_layer_sizes': (200, 100, 50), 'learning_rate_init': 0.001, 'max_iter': 1000, 'solver': 'sgd'}</t>
  </si>
  <si>
    <t>{'activation': 'identity', 'hidden_layer_sizes': (200, 100, 50), 'learning_rate_init': 0.001, 'max_iter': 500, 'solver': 'sgd'}</t>
  </si>
  <si>
    <t>{'activation': 'identity', 'hidden_layer_sizes': (150, 75), 'learning_rate_init': 0.005, 'max_iter': 500, 'solver': 'sgd'}</t>
  </si>
  <si>
    <t>{'activation': 'logistic', 'hidden_layer_sizes': 150, 'learning_rate_init': 0.01, 'max_iter': 1000, 'solver': 'sgd'}</t>
  </si>
  <si>
    <t>{'activation': 'identity', 'hidden_layer_sizes': (150, 75), 'learning_rate_init': 0.005, 'max_iter': 1000, 'solver': 'sgd'}</t>
  </si>
  <si>
    <t>{'activation': 'logistic', 'hidden_layer_sizes': 150, 'learning_rate_init': 0.01, 'max_iter': 500, 'solver': 'sgd'}</t>
  </si>
  <si>
    <t>{'activation': 'logistic', 'hidden_layer_sizes': 150, 'learning_rate_init': 0.005, 'max_iter': 1000, 'solver': 'sgd'}</t>
  </si>
  <si>
    <t>{'activation': 'tanh', 'hidden_layer_sizes': 50, 'learning_rate_init': 0.005, 'max_iter': 1000, 'solver': 'adam'}</t>
  </si>
  <si>
    <t>{'activation': 'tanh', 'hidden_layer_sizes': 50, 'learning_rate_init': 0.005, 'max_iter': 500, 'solver': 'adam'}</t>
  </si>
  <si>
    <t>{'activation': 'logistic', 'hidden_layer_sizes': 150, 'learning_rate_init': 0.01, 'max_iter': 1000, 'solver': 'adam'}</t>
  </si>
  <si>
    <t>{'activation': 'logistic', 'hidden_layer_sizes': 150, 'learning_rate_init': 0.01, 'max_iter': 500, 'solver': 'adam'}</t>
  </si>
  <si>
    <t>{'activation': 'tanh', 'hidden_layer_sizes': 50, 'learning_rate_init': 0.001, 'max_iter': 1000, 'solver': 'adam'}</t>
  </si>
  <si>
    <t>{'activation': 'tanh', 'hidden_layer_sizes': 50, 'learning_rate_init': 0.001, 'max_iter': 500, 'solver': 'adam'}</t>
  </si>
  <si>
    <t>{'activation': 'relu', 'hidden_layer_sizes': (100, 50), 'learning_rate_init': 0.01, 'max_iter': 500, 'solver': 'adam'}</t>
  </si>
  <si>
    <t>{'activation': 'relu', 'hidden_layer_sizes': (100, 50), 'learning_rate_init': 0.01, 'max_iter': 1000, 'solver': 'adam'}</t>
  </si>
  <si>
    <t>{'activation': 'relu', 'hidden_layer_sizes': (200, 75, 25), 'learning_rate_init': 0.001, 'max_iter': 1000, 'solver': 'sgd'}</t>
  </si>
  <si>
    <t>{'activation': 'relu', 'hidden_layer_sizes': (200, 100), 'learning_rate_init': 0.01, 'max_iter': 1000, 'solver': 'sgd'}</t>
  </si>
  <si>
    <t>{'activation': 'relu', 'hidden_layer_sizes': (200, 75, 25), 'learning_rate_init': 0.001, 'max_iter': 500, 'solver': 'sgd'}</t>
  </si>
  <si>
    <t>{'activation': 'relu', 'hidden_layer_sizes': (200, 75, 25), 'learning_rate_init': 0.005, 'max_iter': 1000, 'solver': 'sgd'}</t>
  </si>
  <si>
    <t>{'activation': 'relu', 'hidden_layer_sizes': (200, 100), 'learning_rate_init': 0.01, 'max_iter': 500, 'solver': 'sgd'}</t>
  </si>
  <si>
    <t>{'activation': 'relu', 'hidden_layer_sizes': (200, 75, 25), 'learning_rate_init': 0.005, 'max_iter': 500, 'solver': 'sgd'}</t>
  </si>
  <si>
    <t>{'activation': 'logistic', 'hidden_layer_sizes': (200, 75, 25), 'learning_rate_init': 0.01, 'max_iter': 500, 'solver': 'sgd'}</t>
  </si>
  <si>
    <t>{'activation': 'logistic', 'hidden_layer_sizes': (200, 100), 'learning_rate_init': 0.001, 'max_iter': 500, 'solver': 'adam'}</t>
  </si>
  <si>
    <t>{'activation': 'logistic', 'hidden_layer_sizes': (200, 75, 25), 'learning_rate_init': 0.01, 'max_iter': 1000, 'solver': 'sgd'}</t>
  </si>
  <si>
    <t>{'activation': 'logistic', 'hidden_layer_sizes': (200, 100), 'learning_rate_init': 0.001, 'max_iter': 1000, 'solver': 'adam'}</t>
  </si>
  <si>
    <t>{'activation': 'logistic', 'hidden_layer_sizes': 100, 'learning_rate_init': 0.001, 'max_iter': 500, 'solver': 'adam'}</t>
  </si>
  <si>
    <t>{'activation': 'logistic', 'hidden_layer_sizes': 100, 'learning_rate_init': 0.001, 'max_iter': 1000, 'solver': 'adam'}</t>
  </si>
  <si>
    <t>{'activation': 'logistic', 'hidden_layer_sizes': 100, 'learning_rate_init': 0.005, 'max_iter': 500, 'solver': 'sgd'}</t>
  </si>
  <si>
    <t>{'activation': 'logistic', 'hidden_layer_sizes': 100, 'learning_rate_init': 0.005, 'max_iter': 1000, 'solver': 'sgd'}</t>
  </si>
  <si>
    <t>{'activation': 'logistic', 'hidden_layer_sizes': (100, 50), 'learning_rate_init': 0.01, 'max_iter': 500, 'solver': 'sgd'}</t>
  </si>
  <si>
    <t>{'activation': 'identity', 'hidden_layer_sizes': 50, 'learning_rate_init': 0.01, 'max_iter': 1000, 'solver': 'adam'}</t>
  </si>
  <si>
    <t>{'activation': 'tanh', 'hidden_layer_sizes': 150, 'learning_rate_init': 0.005, 'max_iter': 500, 'solver': 'sgd'}</t>
  </si>
  <si>
    <t>{'activation': 'tanh', 'hidden_layer_sizes': 150, 'learning_rate_init': 0.005, 'max_iter': 1000, 'solver': 'sgd'}</t>
  </si>
  <si>
    <t>{'activation': 'tanh', 'hidden_layer_sizes': (200, 75, 25), 'learning_rate_init': 0.001, 'max_iter': 500, 'solver': 'sgd'}</t>
  </si>
  <si>
    <t>{'activation': 'tanh', 'hidden_layer_sizes': (200, 75, 25), 'learning_rate_init': 0.001, 'max_iter': 1000, 'solver': 'sgd'}</t>
  </si>
  <si>
    <t>{'activation': 'tanh', 'hidden_layer_sizes': (200, 75, 25), 'learning_rate_init': 0.005, 'max_iter': 500, 'solver': 'adam'}</t>
  </si>
  <si>
    <t>{'activation': 'tanh', 'hidden_layer_sizes': (200, 75, 25), 'learning_rate_init': 0.005, 'max_iter': 1000, 'solver': 'adam'}</t>
  </si>
  <si>
    <t>{'activation': 'identity', 'hidden_layer_sizes': (200, 75, 25), 'learning_rate_init': 0.01, 'max_iter': 500, 'solver': 'adam'}</t>
  </si>
  <si>
    <t>{'activation': 'identity', 'hidden_layer_sizes': (200, 75, 25), 'learning_rate_init': 0.01, 'max_iter': 1000, 'solver': 'adam'}</t>
  </si>
  <si>
    <t>{'activation': 'identity', 'hidden_layer_sizes': (200, 100, 50), 'learning_rate_init': 0.01, 'max_iter': 500, 'solver': 'sgd'}</t>
  </si>
  <si>
    <t>{'activation': 'identity', 'hidden_layer_sizes': (200, 100, 50), 'learning_rate_init': 0.01, 'max_iter': 1000, 'solver': 'sgd'}</t>
  </si>
  <si>
    <t>{'activation': 'logistic', 'hidden_layer_sizes': 100, 'learning_rate_init': 0.01, 'max_iter': 500, 'solver': 'sgd'}</t>
  </si>
  <si>
    <t>{'activation': 'tanh', 'hidden_layer_sizes': 150, 'learning_rate_init': 0.01, 'max_iter': 1000, 'solver': 'sgd'}</t>
  </si>
  <si>
    <t>{'activation': 'tanh', 'hidden_layer_sizes': 150, 'learning_rate_init': 0.01, 'max_iter': 500, 'solver': 'sgd'}</t>
  </si>
  <si>
    <t>{'activation': 'logistic', 'hidden_layer_sizes': 100, 'learning_rate_init': 0.01, 'max_iter': 500, 'solver': 'adam'}</t>
  </si>
  <si>
    <t>{'activation': 'logistic', 'hidden_layer_sizes': 100, 'learning_rate_init': 0.01, 'max_iter': 1000, 'solver': 'adam'}</t>
  </si>
  <si>
    <t>{'activation': 'identity', 'hidden_layer_sizes': 50, 'learning_rate_init': 0.01, 'max_iter': 500, 'solver': 'adam'}</t>
  </si>
  <si>
    <t>{'activation': 'relu', 'hidden_layer_sizes': (200, 75, 25), 'learning_rate_init': 0.001, 'max_iter': 500, 'solver': 'adam'}</t>
  </si>
  <si>
    <t>{'activation': 'logistic', 'hidden_layer_sizes': (100, 50), 'learning_rate_init': 0.01, 'max_iter': 1000, 'solver': 'sgd'}</t>
  </si>
  <si>
    <t>{'activation': 'relu', 'hidden_layer_sizes': (200, 75, 25), 'learning_rate_init': 0.001, 'max_iter': 1000, 'solver': 'adam'}</t>
  </si>
  <si>
    <t>{'activation': 'logistic', 'hidden_layer_sizes': 100, 'learning_rate_init': 0.01, 'max_iter': 1000, 'solver': 'sgd'}</t>
  </si>
  <si>
    <t>{'activation': 'tanh', 'hidden_layer_sizes': 150, 'learning_rate_init': 0.005, 'max_iter': 1000, 'solver': 'adam'}</t>
  </si>
  <si>
    <t>{'activation': 'identity', 'hidden_layer_sizes': (200, 75, 25), 'learning_rate_init': 0.001, 'max_iter': 500, 'solver': 'adam'}</t>
  </si>
  <si>
    <t>{'activation': 'tanh', 'hidden_layer_sizes': 150, 'learning_rate_init': 0.005, 'max_iter': 500, 'solver': 'adam'}</t>
  </si>
  <si>
    <t>{'activation': 'identity', 'hidden_layer_sizes': (100, 50), 'learning_rate_init': 0.01, 'max_iter': 1000, 'solver': 'adam'}</t>
  </si>
  <si>
    <t>{'activation': 'identity', 'hidden_layer_sizes': (200, 75, 25), 'learning_rate_init': 0.001, 'max_iter': 1000, 'solver': 'adam'}</t>
  </si>
  <si>
    <t>{'activation': 'identity', 'hidden_layer_sizes': (100, 50), 'learning_rate_init': 0.01, 'max_iter': 500, 'solver': 'adam'}</t>
  </si>
  <si>
    <t>{'activation': 'logistic', 'hidden_layer_sizes': (200, 75, 25), 'learning_rate_init': 0.005, 'max_iter': 1000, 'solver': 'adam'}</t>
  </si>
  <si>
    <t>{'activation': 'logistic', 'hidden_layer_sizes': (200, 75, 25), 'learning_rate_init': 0.005, 'max_iter': 500, 'solver': 'adam'}</t>
  </si>
  <si>
    <t>{'activation': 'logistic', 'hidden_layer_sizes': (200, 75, 25), 'learning_rate_init': 0.01, 'max_iter': 500, 'solver': 'adam'}</t>
  </si>
  <si>
    <t>{'activation': 'logistic', 'hidden_layer_sizes': (200, 75, 25), 'learning_rate_init': 0.01, 'max_iter': 1000, 'solver': 'adam'}</t>
  </si>
  <si>
    <t>{'activation': 'identity', 'hidden_layer_sizes': (200, 75, 25), 'learning_rate_init': 0.001, 'max_iter': 500, 'solver': 'sgd'}</t>
  </si>
  <si>
    <t>{'activation': 'identity', 'hidden_layer_sizes': 50, 'learning_rate_init': 0.001, 'max_iter': 1000, 'solver': 'sgd'}</t>
  </si>
  <si>
    <t>{'activation': 'tanh', 'hidden_layer_sizes': 100, 'learning_rate_init': 0.005, 'max_iter': 1000, 'solver': 'adam'}</t>
  </si>
  <si>
    <t>{'activation': 'identity', 'hidden_layer_sizes': 50, 'learning_rate_init': 0.001, 'max_iter': 500, 'solver': 'sgd'}</t>
  </si>
  <si>
    <t>{'activation': 'tanh', 'hidden_layer_sizes': (200, 75, 25), 'learning_rate_init': 0.001, 'max_iter': 500, 'solver': 'adam'}</t>
  </si>
  <si>
    <t>{'activation': 'tanh', 'hidden_layer_sizes': (200, 75, 25), 'learning_rate_init': 0.001, 'max_iter': 1000, 'solver': 'adam'}</t>
  </si>
  <si>
    <t>{'activation': 'tanh', 'hidden_layer_sizes': 100, 'learning_rate_init': 0.005, 'max_iter': 500, 'solver': 'adam'}</t>
  </si>
  <si>
    <t>{'activation': 'identity', 'hidden_layer_sizes': (200, 75, 25), 'learning_rate_init': 0.001, 'max_iter': 1000, 'solver': 'sgd'}</t>
  </si>
  <si>
    <t>{'activation': 'tanh', 'hidden_layer_sizes': 50, 'learning_rate_init': 0.01, 'max_iter': 500, 'solver': 'adam'}</t>
  </si>
  <si>
    <t>{'activation': 'tanh', 'hidden_layer_sizes': 50, 'learning_rate_init': 0.01, 'max_iter': 1000, 'solver': 'adam'}</t>
  </si>
  <si>
    <t>{'activation': 'relu', 'hidden_layer_sizes': 50, 'learning_rate_init': 0.001, 'max_iter': 1000, 'solver': 'sgd'}</t>
  </si>
  <si>
    <t>{'activation': 'relu', 'hidden_layer_sizes': 50, 'learning_rate_init': 0.001, 'max_iter': 500, 'solver': 'sgd'}</t>
  </si>
  <si>
    <t>{'activation': 'relu', 'hidden_layer_sizes': (150, 75), 'learning_rate_init': 0.005, 'max_iter': 1000, 'solver': 'adam'}</t>
  </si>
  <si>
    <t>{'activation': 'relu', 'hidden_layer_sizes': 50, 'learning_rate_init': 0.001, 'max_iter': 500, 'solver': 'adam'}</t>
  </si>
  <si>
    <t>{'activation': 'relu', 'hidden_layer_sizes': 50, 'learning_rate_init': 0.001, 'max_iter': 1000, 'solver': 'adam'}</t>
  </si>
  <si>
    <t>{'activation': 'relu', 'hidden_layer_sizes': (150, 75), 'learning_rate_init': 0.005, 'max_iter': 500, 'solver': 'adam'}</t>
  </si>
  <si>
    <t>{'activation': 'logistic', 'hidden_layer_sizes': (100, 50), 'learning_rate_init': 0.01, 'max_iter': 500, 'solver': 'adam'}</t>
  </si>
  <si>
    <t>{'activation': 'logistic', 'hidden_layer_sizes': (100, 50), 'learning_rate_init': 0.01, 'max_iter': 1000, 'solver': 'adam'}</t>
  </si>
  <si>
    <t>{'activation': 'logistic', 'hidden_layer_sizes': (100, 50), 'learning_rate_init': 0.005, 'max_iter': 1000, 'solver': 'adam'}</t>
  </si>
  <si>
    <t>{'activation': 'logistic', 'hidden_layer_sizes': (100, 50), 'learning_rate_init': 0.005, 'max_iter': 500, 'solver': 'adam'}</t>
  </si>
  <si>
    <t>{'activation': 'relu', 'hidden_layer_sizes': (200, 75, 25), 'learning_rate_init': 0.01, 'max_iter': 500, 'solver': 'sgd'}</t>
  </si>
  <si>
    <t>{'activation': 'identity', 'hidden_layer_sizes': 100, 'learning_rate_init': 0.005, 'max_iter': 500, 'solver': 'adam'}</t>
  </si>
  <si>
    <t>{'activation': 'relu', 'hidden_layer_sizes': (200, 75, 25), 'learning_rate_init': 0.01, 'max_iter': 1000, 'solver': 'sgd'}</t>
  </si>
  <si>
    <t>{'activation': 'tanh', 'hidden_layer_sizes': (200, 100), 'learning_rate_init': 0.01, 'max_iter': 1000, 'solver': 'adam'}</t>
  </si>
  <si>
    <t>{'activation': 'relu', 'hidden_layer_sizes': (200, 100), 'learning_rate_init': 0.005, 'max_iter': 500, 'solver': 'sgd'}</t>
  </si>
  <si>
    <t>{'activation': 'identity', 'hidden_layer_sizes': 100, 'learning_rate_init': 0.005, 'max_iter': 1000, 'solver': 'adam'}</t>
  </si>
  <si>
    <t>{'activation': 'tanh', 'hidden_layer_sizes': (200, 100), 'learning_rate_init': 0.01, 'max_iter': 500, 'solver': 'adam'}</t>
  </si>
  <si>
    <t>{'activation': 'relu', 'hidden_layer_sizes': (200, 100), 'learning_rate_init': 0.005, 'max_iter': 1000, 'solver': 'sgd'}</t>
  </si>
  <si>
    <t>{'activation': 'relu', 'hidden_layer_sizes': (200, 100), 'learning_rate_init': 0.001, 'max_iter': 1000, 'solver': 'adam'}</t>
  </si>
  <si>
    <t>{'activation': 'relu', 'hidden_layer_sizes': (200, 100), 'learning_rate_init': 0.001, 'max_iter': 500, 'solver': 'adam'}</t>
  </si>
  <si>
    <t>{'activation': 'relu', 'hidden_layer_sizes': (100, 50), 'learning_rate_init': 0.001, 'max_iter': 500, 'solver': 'adam'}</t>
  </si>
  <si>
    <t>{'activation': 'relu', 'hidden_layer_sizes': (100, 50), 'learning_rate_init': 0.001, 'max_iter': 1000, 'solver': 'adam'}</t>
  </si>
  <si>
    <t>{'activation': 'identity', 'hidden_layer_sizes': (200, 100), 'learning_rate_init': 0.01, 'max_iter': 500, 'solver': 'sgd'}</t>
  </si>
  <si>
    <t>{'activation': 'identity', 'hidden_layer_sizes': 50, 'learning_rate_init': 0.005, 'max_iter': 1000, 'solver': 'sgd'}</t>
  </si>
  <si>
    <t>{'activation': 'identity', 'hidden_layer_sizes': 50, 'learning_rate_init': 0.005, 'max_iter': 500, 'solver': 'sgd'}</t>
  </si>
  <si>
    <t>{'activation': 'logistic', 'hidden_layer_sizes': 50, 'learning_rate_init': 0.01, 'max_iter': 1000, 'solver': 'adam'}</t>
  </si>
  <si>
    <t>{'activation': 'logistic', 'hidden_layer_sizes': 50, 'learning_rate_init': 0.01, 'max_iter': 500, 'solver': 'adam'}</t>
  </si>
  <si>
    <t>{'activation': 'identity', 'hidden_layer_sizes': (200, 100), 'learning_rate_init': 0.01, 'max_iter': 1000, 'solver': 'sgd'}</t>
  </si>
  <si>
    <t>{'activation': 'logistic', 'hidden_layer_sizes': 50, 'learning_rate_init': 0.001, 'max_iter': 1000, 'solver': 'adam'}</t>
  </si>
  <si>
    <t>{'activation': 'relu', 'hidden_layer_sizes': (100, 50), 'learning_rate_init': 0.005, 'max_iter': 1000, 'solver': 'sgd'}</t>
  </si>
  <si>
    <t>{'activation': 'relu', 'hidden_layer_sizes': (100, 50), 'learning_rate_init': 0.005, 'max_iter': 500, 'solver': 'sgd'}</t>
  </si>
  <si>
    <t>{'activation': 'tanh', 'hidden_layer_sizes': (150, 75), 'learning_rate_init': 0.001, 'max_iter': 1000, 'solver': 'adam'}</t>
  </si>
  <si>
    <t>{'activation': 'tanh', 'hidden_layer_sizes': (150, 75), 'learning_rate_init': 0.001, 'max_iter': 500, 'solver': 'adam'}</t>
  </si>
  <si>
    <t>{'activation': 'logistic', 'hidden_layer_sizes': (150, 75), 'learning_rate_init': 0.001, 'max_iter': 1000, 'solver': 'adam'}</t>
  </si>
  <si>
    <t>{'activation': 'logistic', 'hidden_layer_sizes': (150, 75), 'learning_rate_init': 0.001, 'max_iter': 500, 'solver': 'adam'}</t>
  </si>
  <si>
    <t>{'activation': 'logistic', 'hidden_layer_sizes': 50, 'learning_rate_init': 0.001, 'max_iter': 500, 'solver': 'adam'}</t>
  </si>
  <si>
    <t>{'activation': 'identity', 'hidden_layer_sizes': 100, 'learning_rate_init': 0.01, 'max_iter': 1000, 'solver': 'adam'}</t>
  </si>
  <si>
    <t>{'activation': 'identity', 'hidden_layer_sizes': 100, 'learning_rate_init': 0.01, 'max_iter': 500, 'solver': 'adam'}</t>
  </si>
  <si>
    <t>{'activation': 'relu', 'hidden_layer_sizes': 100, 'learning_rate_init': 0.01, 'max_iter': 500, 'solver': 'adam'}</t>
  </si>
  <si>
    <t>{'activation': 'relu', 'hidden_layer_sizes': 100, 'learning_rate_init': 0.01, 'max_iter': 1000, 'solver': 'adam'}</t>
  </si>
  <si>
    <t>{'activation': 'relu', 'hidden_layer_sizes': 150, 'learning_rate_init': 0.001, 'max_iter': 1000, 'solver': 'adam'}</t>
  </si>
  <si>
    <t>{'activation': 'relu', 'hidden_layer_sizes': 150, 'learning_rate_init': 0.001, 'max_iter': 500, 'solver': 'adam'}</t>
  </si>
  <si>
    <t>{'activation': 'tanh', 'hidden_layer_sizes': 50, 'learning_rate_init': 0.01, 'max_iter': 1000, 'solver': 'sgd'}</t>
  </si>
  <si>
    <t>{'activation': 'tanh', 'hidden_layer_sizes': (200, 100), 'learning_rate_init': 0.005, 'max_iter': 1000, 'solver': 'adam'}</t>
  </si>
  <si>
    <t>{'activation': 'tanh', 'hidden_layer_sizes': (200, 100), 'learning_rate_init': 0.005, 'max_iter': 500, 'solver': 'adam'}</t>
  </si>
  <si>
    <t>{'activation': 'tanh', 'hidden_layer_sizes': 50, 'learning_rate_init': 0.01, 'max_iter': 500, 'solver': 'sgd'}</t>
  </si>
  <si>
    <t>{'activation': 'tanh', 'hidden_layer_sizes': 100, 'learning_rate_init': 0.01, 'max_iter': 500, 'solver': 'adam'}</t>
  </si>
  <si>
    <t>{'activation': 'logistic', 'hidden_layer_sizes': (150, 75), 'learning_rate_init': 0.005, 'max_iter': 500, 'solver': 'adam'}</t>
  </si>
  <si>
    <t>{'activation': 'logistic', 'hidden_layer_sizes': (150, 75), 'learning_rate_init': 0.005, 'max_iter': 1000, 'solver': 'adam'}</t>
  </si>
  <si>
    <t>{'activation': 'tanh', 'hidden_layer_sizes': (200, 100), 'learning_rate_init': 0.001, 'max_iter': 500, 'solver': 'adam'}</t>
  </si>
  <si>
    <t>{'activation': 'tanh', 'hidden_layer_sizes': (200, 100), 'learning_rate_init': 0.001, 'max_iter': 1000, 'solver': 'adam'}</t>
  </si>
  <si>
    <t>{'activation': 'tanh', 'hidden_layer_sizes': 100, 'learning_rate_init': 0.01, 'max_iter': 1000, 'solver': 'adam'}</t>
  </si>
  <si>
    <t>{'activation': 'logistic', 'hidden_layer_sizes': 150, 'learning_rate_init': 0.005, 'max_iter': 500, 'solver': 'adam'}</t>
  </si>
  <si>
    <t>{'activation': 'identity', 'hidden_layer_sizes': (100, 50), 'learning_rate_init': 0.005, 'max_iter': 500, 'solver': 'sgd'}</t>
  </si>
  <si>
    <t>{'activation': 'logistic', 'hidden_layer_sizes': 150, 'learning_rate_init': 0.005, 'max_iter': 1000, 'solver': 'adam'}</t>
  </si>
  <si>
    <t>{'activation': 'identity', 'hidden_layer_sizes': (100, 50), 'learning_rate_init': 0.005, 'max_iter': 1000, 'solver': 'sgd'}</t>
  </si>
  <si>
    <t>{'activation': 'relu', 'hidden_layer_sizes': (100, 50), 'learning_rate_init': 0.001, 'max_iter': 1000, 'solver': 'sgd'}</t>
  </si>
  <si>
    <t>{'activation': 'relu', 'hidden_layer_sizes': (100, 50), 'learning_rate_init': 0.001, 'max_iter': 500, 'solver': 'sgd'}</t>
  </si>
  <si>
    <t>{'activation': 'logistic', 'hidden_layer_sizes': (200, 100, 50), 'learning_rate_init': 0.001, 'max_iter': 500, 'solver': 'adam'}</t>
  </si>
  <si>
    <t>{'activation': 'logistic', 'hidden_layer_sizes': (200, 100, 50), 'learning_rate_init': 0.001, 'max_iter': 1000, 'solver': 'adam'}</t>
  </si>
  <si>
    <t>{'activation': 'identity', 'hidden_layer_sizes': (200, 100, 50), 'learning_rate_init': 0.005, 'max_iter': 500, 'solver': 'adam'}</t>
  </si>
  <si>
    <t>{'activation': 'identity', 'hidden_layer_sizes': (200, 100, 50), 'learning_rate_init': 0.005, 'max_iter': 1000, 'solver': 'adam'}</t>
  </si>
  <si>
    <t>{'activation': 'relu', 'hidden_layer_sizes': 150, 'learning_rate_init': 0.01, 'max_iter': 1000, 'solver': 'adam'}</t>
  </si>
  <si>
    <t>{'activation': 'identity', 'hidden_layer_sizes': 50, 'learning_rate_init': 0.005, 'max_iter': 500, 'solver': 'adam'}</t>
  </si>
  <si>
    <t>{'activation': 'relu', 'hidden_layer_sizes': 150, 'learning_rate_init': 0.01, 'max_iter': 500, 'solver': 'adam'}</t>
  </si>
  <si>
    <t>{'activation': 'identity', 'hidden_layer_sizes': 50, 'learning_rate_init': 0.005, 'max_iter': 1000, 'solver': 'adam'}</t>
  </si>
  <si>
    <t>{'activation': 'identity', 'hidden_layer_sizes': 100, 'learning_rate_init': 0.001, 'max_iter': 500, 'solver': 'adam'}</t>
  </si>
  <si>
    <t>{'activation': 'relu', 'hidden_layer_sizes': 100, 'learning_rate_init': 0.001, 'max_iter': 1000, 'solver': 'sgd'}</t>
  </si>
  <si>
    <t>{'activation': 'relu', 'hidden_layer_sizes': 100, 'learning_rate_init': 0.001, 'max_iter': 500, 'solver': 'sgd'}</t>
  </si>
  <si>
    <t>{'activation': 'logistic', 'hidden_layer_sizes': (150, 75), 'learning_rate_init': 0.005, 'max_iter': 1000, 'solver': 'sgd'}</t>
  </si>
  <si>
    <t>{'activation': 'logistic', 'hidden_layer_sizes': (200, 100), 'learning_rate_init': 0.01, 'max_iter': 500, 'solver': 'adam'}</t>
  </si>
  <si>
    <t>{'activation': 'logistic', 'hidden_layer_sizes': (200, 100), 'learning_rate_init': 0.01, 'max_iter': 1000, 'solver': 'adam'}</t>
  </si>
  <si>
    <t>{'activation': 'identity', 'hidden_layer_sizes': 100, 'learning_rate_init': 0.001, 'max_iter': 1000, 'solver': 'adam'}</t>
  </si>
  <si>
    <t>{'activation': 'logistic', 'hidden_layer_sizes': 150, 'learning_rate_init': 0.001, 'max_iter': 500, 'solver': 'adam'}</t>
  </si>
  <si>
    <t>{'activation': 'tanh', 'hidden_layer_sizes': 150, 'learning_rate_init': 0.001, 'max_iter': 1000, 'solver': 'adam'}</t>
  </si>
  <si>
    <t>{'activation': 'tanh', 'hidden_layer_sizes': 150, 'learning_rate_init': 0.001, 'max_iter': 500, 'solver': 'adam'}</t>
  </si>
  <si>
    <t>{'activation': 'logistic', 'hidden_layer_sizes': 150, 'learning_rate_init': 0.001, 'max_iter': 1000, 'solver': 'adam'}</t>
  </si>
  <si>
    <t>{'activation': 'identity', 'hidden_layer_sizes': (150, 75), 'learning_rate_init': 0.01, 'max_iter': 1000, 'solver': 'sgd'}</t>
  </si>
  <si>
    <t>{'activation': 'logistic', 'hidden_layer_sizes': (200, 75, 25), 'learning_rate_init': 0.001, 'max_iter': 500, 'solver': 'adam'}</t>
  </si>
  <si>
    <t>{'activation': 'logistic', 'hidden_layer_sizes': (200, 75, 25), 'learning_rate_init': 0.001, 'max_iter': 1000, 'solver': 'adam'}</t>
  </si>
  <si>
    <t>{'activation': 'tanh', 'hidden_layer_sizes': 50, 'learning_rate_init': 0.001, 'max_iter': 1000, 'solver': 'sgd'}</t>
  </si>
  <si>
    <t>{'activation': 'identity', 'hidden_layer_sizes': (150, 75), 'learning_rate_init': 0.01, 'max_iter': 500, 'solver': 'sgd'}</t>
  </si>
  <si>
    <t>{'activation': 'logistic', 'hidden_layer_sizes': (200, 100), 'learning_rate_init': 0.005, 'max_iter': 500, 'solver': 'adam'}</t>
  </si>
  <si>
    <t>{'activation': 'logistic', 'hidden_layer_sizes': (200, 100), 'learning_rate_init': 0.005, 'max_iter': 1000, 'solver': 'adam'}</t>
  </si>
  <si>
    <t>{'activation': 'tanh', 'hidden_layer_sizes': 150, 'learning_rate_init': 0.01, 'max_iter': 1000, 'solver': 'adam'}</t>
  </si>
  <si>
    <t>{'activation': 'tanh', 'hidden_layer_sizes': 150, 'learning_rate_init': 0.01, 'max_iter': 500, 'solver': 'adam'}</t>
  </si>
  <si>
    <t>{'activation': 'relu', 'hidden_layer_sizes': 100, 'learning_rate_init': 0.005, 'max_iter': 1000, 'solver': 'adam'}</t>
  </si>
  <si>
    <t>{'activation': 'logistic', 'hidden_layer_sizes': (150, 75), 'learning_rate_init': 0.01, 'max_iter': 500, 'solver': 'sgd'}</t>
  </si>
  <si>
    <t>{'activation': 'logistic', 'hidden_layer_sizes': (150, 75), 'learning_rate_init': 0.01, 'max_iter': 1000, 'solver': 'sgd'}</t>
  </si>
  <si>
    <t>{'activation': 'identity', 'hidden_layer_sizes': (100, 50), 'learning_rate_init': 0.001, 'max_iter': 500, 'solver': 'adam'}</t>
  </si>
  <si>
    <t>{'activation': 'identity', 'hidden_layer_sizes': (100, 50), 'learning_rate_init': 0.001, 'max_iter': 1000, 'solver': 'adam'}</t>
  </si>
  <si>
    <t>{'activation': 'relu', 'hidden_layer_sizes': 100, 'learning_rate_init': 0.005, 'max_iter': 500, 'solver': 'adam'}</t>
  </si>
  <si>
    <t>{'activation': 'logistic', 'hidden_layer_sizes': (150, 75), 'learning_rate_init': 0.01, 'max_iter': 1000, 'solver': 'adam'}</t>
  </si>
  <si>
    <t>{'activation': 'logistic', 'hidden_layer_sizes': (150, 75), 'learning_rate_init': 0.01, 'max_iter': 500, 'solver': 'adam'}</t>
  </si>
  <si>
    <t>{'activation': 'relu', 'hidden_layer_sizes': (150, 75), 'learning_rate_init': 0.001, 'max_iter': 500, 'solver': 'sgd'}</t>
  </si>
  <si>
    <t>{'activation': 'relu', 'hidden_layer_sizes': (150, 75), 'learning_rate_init': 0.001, 'max_iter': 1000, 'solver': 'sgd'}</t>
  </si>
  <si>
    <t>{'activation': 'relu', 'hidden_layer_sizes': (100, 50), 'learning_rate_init': 0.005, 'max_iter': 1000, 'solver': 'adam'}</t>
  </si>
  <si>
    <t>{'activation': 'relu', 'hidden_layer_sizes': (100, 50), 'learning_rate_init': 0.005, 'max_iter': 500, 'solver': 'adam'}</t>
  </si>
  <si>
    <t>{'activation': 'identity', 'hidden_layer_sizes': (200, 75, 25), 'learning_rate_init': 0.005, 'max_iter': 1000, 'solver': 'adam'}</t>
  </si>
  <si>
    <t>{'activation': 'identity', 'hidden_layer_sizes': (200, 75, 25), 'learning_rate_init': 0.005, 'max_iter': 500, 'solver': 'adam'}</t>
  </si>
  <si>
    <t>{'activation': 'tanh', 'hidden_layer_sizes': 100, 'learning_rate_init': 0.001, 'max_iter': 1000, 'solver': 'sgd'}</t>
  </si>
  <si>
    <t>{'activation': 'relu', 'hidden_layer_sizes': (200, 100), 'learning_rate_init': 0.001, 'max_iter': 500, 'solver': 'sgd'}</t>
  </si>
  <si>
    <t>{'activation': 'relu', 'hidden_layer_sizes': (200, 100), 'learning_rate_init': 0.001, 'max_iter': 1000, 'solver': 'sgd'}</t>
  </si>
  <si>
    <t>{'activation': 'tanh', 'hidden_layer_sizes': (100, 50), 'learning_rate_init': 0.01, 'max_iter': 1000, 'solver': 'adam'}</t>
  </si>
  <si>
    <t>{'activation': 'tanh', 'hidden_layer_sizes': (100, 50), 'learning_rate_init': 0.01, 'max_iter': 500, 'solver': 'adam'}</t>
  </si>
  <si>
    <t>{'activation': 'identity', 'hidden_layer_sizes': (200, 100), 'learning_rate_init': 0.005, 'max_iter': 500, 'solver': 'sgd'}</t>
  </si>
  <si>
    <t>{'activation': 'tanh', 'hidden_layer_sizes': (150, 75), 'learning_rate_init': 0.01, 'max_iter': 500, 'solver': 'adam'}</t>
  </si>
  <si>
    <t>{'activation': 'identity', 'hidden_layer_sizes': (200, 100, 50), 'learning_rate_init': 0.01, 'max_iter': 1000, 'solver': 'adam'}</t>
  </si>
  <si>
    <t>{'activation': 'identity', 'hidden_layer_sizes': (200, 100, 50), 'learning_rate_init': 0.01, 'max_iter': 500, 'solver': 'adam'}</t>
  </si>
  <si>
    <t>{'activation': 'identity', 'hidden_layer_sizes': (200, 100), 'learning_rate_init': 0.005, 'max_iter': 1000, 'solver': 'sgd'}</t>
  </si>
  <si>
    <t>{'activation': 'tanh', 'hidden_layer_sizes': (150, 75), 'learning_rate_init': 0.01, 'max_iter': 1000, 'solver': 'adam'}</t>
  </si>
  <si>
    <t>{'activation': 'tanh', 'hidden_layer_sizes': (200, 100, 50), 'learning_rate_init': 0.01, 'max_iter': 1000, 'solver': 'adam'}</t>
  </si>
  <si>
    <t>{'activation': 'tanh', 'hidden_layer_sizes': (200, 100, 50), 'learning_rate_init': 0.01, 'max_iter': 500, 'solver': 'adam'}</t>
  </si>
  <si>
    <t>{'activation': 'relu', 'hidden_layer_sizes': 150, 'learning_rate_init': 0.001, 'max_iter': 500, 'solver': 'sgd'}</t>
  </si>
  <si>
    <t>{'activation': 'relu', 'hidden_layer_sizes': 150, 'learning_rate_init': 0.001, 'max_iter': 1000, 'solver': 'sgd'}</t>
  </si>
  <si>
    <t>{'activation': 'relu', 'hidden_layer_sizes': (150, 75), 'learning_rate_init': 0.01, 'max_iter': 500, 'solver': 'sgd'}</t>
  </si>
  <si>
    <t>{'activation': 'relu', 'hidden_layer_sizes': (150, 75), 'learning_rate_init': 0.01, 'max_iter': 1000, 'solver': 'sgd'}</t>
  </si>
  <si>
    <t>{'activation': 'tanh', 'hidden_layer_sizes': (200, 100), 'learning_rate_init': 0.01, 'max_iter': 1000, 'solver': 'sgd'}</t>
  </si>
  <si>
    <t>{'activation': 'tanh', 'hidden_layer_sizes': (200, 100), 'learning_rate_init': 0.01, 'max_iter': 500, 'solver': 'sgd'}</t>
  </si>
  <si>
    <t>{'activation': 'relu', 'hidden_layer_sizes': 150, 'learning_rate_init': 0.005, 'max_iter': 500, 'solver': 'adam'}</t>
  </si>
  <si>
    <t>{'activation': 'relu', 'hidden_layer_sizes': 150, 'learning_rate_init': 0.005, 'max_iter': 1000, 'solver': 'adam'}</t>
  </si>
  <si>
    <t>{'activation': 'relu', 'hidden_layer_sizes': (150, 75), 'learning_rate_init': 0.005, 'max_iter': 500, 'solver': 'sgd'}</t>
  </si>
  <si>
    <t>{'activation': 'relu', 'hidden_layer_sizes': (150, 75), 'learning_rate_init': 0.005, 'max_iter': 1000, 'solver': 'sgd'}</t>
  </si>
  <si>
    <t>{'activation': 'identity', 'hidden_layer_sizes': (100, 50), 'learning_rate_init': 0.01, 'max_iter': 500, 'solver': 'sgd'}</t>
  </si>
  <si>
    <t>{'activation': 'identity', 'hidden_layer_sizes': (100, 50), 'learning_rate_init': 0.01, 'max_iter': 1000, 'solver': 'sgd'}</t>
  </si>
  <si>
    <t>{'activation': 'relu', 'hidden_layer_sizes': (150, 75), 'learning_rate_init': 0.001, 'max_iter': 1000, 'solver': 'adam'}</t>
  </si>
  <si>
    <t>{'activation': 'relu', 'hidden_layer_sizes': (150, 75), 'learning_rate_init': 0.001, 'max_iter': 500, 'solver': 'adam'}</t>
  </si>
  <si>
    <t>{'activation': 'relu', 'hidden_layer_sizes': 100, 'learning_rate_init': 0.001, 'max_iter': 500, 'solver': 'adam'}</t>
  </si>
  <si>
    <t>{'activation': 'relu', 'hidden_layer_sizes': 100, 'learning_rate_init': 0.001, 'max_iter': 1000, 'solver': 'adam'}</t>
  </si>
  <si>
    <t>{'activation': 'tanh', 'hidden_layer_sizes': (150, 75), 'learning_rate_init': 0.01, 'max_iter': 500, 'solver': 'sgd'}</t>
  </si>
  <si>
    <t>{'activation': 'tanh', 'hidden_layer_sizes': (150, 75), 'learning_rate_init': 0.01, 'max_iter': 1000, 'solver': 'sgd'}</t>
  </si>
  <si>
    <t>{'activation': 'tanh', 'hidden_layer_sizes': 50, 'learning_rate_init': 0.005, 'max_iter': 1000, 'solver': 'sgd'}</t>
  </si>
  <si>
    <t>{'activation': 'tanh', 'hidden_layer_sizes': (150, 75), 'learning_rate_init': 0.005, 'max_iter': 1000, 'solver': 'sgd'}</t>
  </si>
  <si>
    <t>{'activation': 'relu', 'hidden_layer_sizes': 150, 'learning_rate_init': 0.005, 'max_iter': 1000, 'solver': 'sgd'}</t>
  </si>
  <si>
    <t>{'activation': 'relu', 'hidden_layer_sizes': 150, 'learning_rate_init': 0.005, 'max_iter': 500, 'solver': 'sgd'}</t>
  </si>
  <si>
    <t>{'activation': 'tanh', 'hidden_layer_sizes': 50, 'learning_rate_init': 0.005, 'max_iter': 500, 'solver': 'sgd'}</t>
  </si>
  <si>
    <t>{'activation': 'tanh', 'hidden_layer_sizes': (150, 75), 'learning_rate_init': 0.005, 'max_iter': 500, 'solver': 'sgd'}</t>
  </si>
  <si>
    <t>{'activation': 'identity', 'hidden_layer_sizes': (150, 75), 'learning_rate_init': 0.001, 'max_iter': 500, 'solver': 'adam'}</t>
  </si>
  <si>
    <t>{'activation': 'tanh', 'hidden_layer_sizes': (200, 100), 'learning_rate_init': 0.005, 'max_iter': 500, 'solver': 'sgd'}</t>
  </si>
  <si>
    <t>{'activation': 'tanh', 'hidden_layer_sizes': (200, 100), 'learning_rate_init': 0.005, 'max_iter': 1000, 'solver': 'sgd'}</t>
  </si>
  <si>
    <t>{'activation': 'identity', 'hidden_layer_sizes': (150, 75), 'learning_rate_init': 0.001, 'max_iter': 1000, 'solver': 'adam'}</t>
  </si>
  <si>
    <t>{'activation': 'identity', 'hidden_layer_sizes': (200, 100), 'learning_rate_init': 0.001, 'max_iter': 1000, 'solver': 'adam'}</t>
  </si>
  <si>
    <t>{'activation': 'identity', 'hidden_layer_sizes': (200, 100), 'learning_rate_init': 0.001, 'max_iter': 500, 'solver': 'adam'}</t>
  </si>
  <si>
    <t>{'activation': 'relu', 'hidden_layer_sizes': 150, 'learning_rate_init': 0.01, 'max_iter': 1000, 'solver': 'sgd'}</t>
  </si>
  <si>
    <t>{'activation': 'relu', 'hidden_layer_sizes': 150, 'learning_rate_init': 0.01, 'max_iter': 500, 'solver': 'sgd'}</t>
  </si>
  <si>
    <t>{'activation': 'relu', 'hidden_layer_sizes': (200, 75, 25), 'learning_rate_init': 0.01, 'max_iter': 500, 'solver': 'adam'}</t>
  </si>
  <si>
    <t>{'activation': 'relu', 'hidden_layer_sizes': (200, 75, 25), 'learning_rate_init': 0.01, 'max_iter': 1000, 'solver': 'adam'}</t>
  </si>
  <si>
    <t>{'activation': 'tanh', 'hidden_layer_sizes': (200, 75, 25), 'learning_rate_init': 0.01, 'max_iter': 1000, 'solver': 'adam'}</t>
  </si>
  <si>
    <t>{'activation': 'tanh', 'hidden_layer_sizes': (200, 75, 25), 'learning_rate_init': 0.01, 'max_iter': 500, 'solver': 'adam'}</t>
  </si>
  <si>
    <t>{'activation': 'tanh', 'hidden_layer_sizes': (150, 75), 'learning_rate_init': 0.001, 'max_iter': 1000, 'solver': 'sgd'}</t>
  </si>
  <si>
    <t>{'activation': 'tanh', 'hidden_layer_sizes': (150, 75), 'learning_rate_init': 0.001, 'max_iter': 500, 'solver': 'sgd'}</t>
  </si>
  <si>
    <t>{'activation': 'tanh', 'hidden_layer_sizes': (200, 100), 'learning_rate_init': 0.001, 'max_iter': 1000, 'solver': 'sgd'}</t>
  </si>
  <si>
    <t>{'activation': 'tanh', 'hidden_layer_sizes': (200, 100), 'learning_rate_init': 0.001, 'max_iter': 500, 'solver': 'sgd'}</t>
  </si>
  <si>
    <t>{'activation': 'tanh', 'hidden_layer_sizes': (150, 75), 'learning_rate_init': 0.005, 'max_iter': 500, 'solver': 'adam'}</t>
  </si>
  <si>
    <t>{'activation': 'tanh', 'hidden_layer_sizes': (150, 75), 'learning_rate_init': 0.005, 'max_iter': 1000, 'solver': 'adam'}</t>
  </si>
  <si>
    <t>{'activation': 'identity', 'hidden_layer_sizes': (200, 100), 'learning_rate_init': 0.005, 'max_iter': 1000, 'solver': 'adam'}</t>
  </si>
  <si>
    <t>{'activation': 'identity', 'hidden_layer_sizes': (200, 100), 'learning_rate_init': 0.005, 'max_iter': 500, 'solver': 'adam'}</t>
  </si>
  <si>
    <t>{'activation': 'logistic', 'hidden_layer_sizes': (200, 75, 25), 'learning_rate_init': 0.005, 'max_iter': 500, 'solver': 'sgd'}</t>
  </si>
  <si>
    <t>{'activation': 'logistic', 'hidden_layer_sizes': (200, 75, 25), 'learning_rate_init': 0.005, 'max_iter': 1000, 'solver': 'sgd'}</t>
  </si>
  <si>
    <t>{'activation': 'logistic', 'hidden_layer_sizes': (200, 100, 50), 'learning_rate_init': 0.001, 'max_iter': 500, 'solver': 'sgd'}</t>
  </si>
  <si>
    <t>{'activation': 'logistic', 'hidden_layer_sizes': (200, 100, 50), 'learning_rate_init': 0.001, 'max_iter': 1000, 'solver': 'sgd'}</t>
  </si>
  <si>
    <t>{'activation': 'logistic', 'hidden_layer_sizes': (200, 75, 25), 'learning_rate_init': 0.001, 'max_iter': 1000, 'solver': 'sgd'}</t>
  </si>
  <si>
    <t>{'activation': 'logistic', 'hidden_layer_sizes': (200, 75, 25), 'learning_rate_init': 0.001, 'max_iter': 500, 'solver': 'sgd'}</t>
  </si>
  <si>
    <t>{'activation': 'logistic', 'hidden_layer_sizes': (200, 100, 50), 'learning_rate_init': 0.005, 'max_iter': 500, 'solver': 'sgd'}</t>
  </si>
  <si>
    <t>{'activation': 'logistic', 'hidden_layer_sizes': (200, 100, 50), 'learning_rate_init': 0.005, 'max_iter': 1000, 'solver': 'sgd'}</t>
  </si>
  <si>
    <t>params_sem_iter</t>
  </si>
  <si>
    <t>Rótulos de Linha</t>
  </si>
  <si>
    <t>{'activation': 'identity', 'hidden_layer_sizes': (200, 100, 50), 'learning_rate_init': 0.001,  'solver': 'adam'}</t>
  </si>
  <si>
    <t>{'activation': 'relu', 'hidden_layer_sizes': (200, 100, 50), 'learning_rate_init': 0.005,  'solver': 'adam'}</t>
  </si>
  <si>
    <t>{'activation': 'relu', 'hidden_layer_sizes': (200, 100, 50), 'learning_rate_init': 0.01,  'solver': 'sgd'}</t>
  </si>
  <si>
    <t>{'activation': 'relu', 'hidden_layer_sizes': (200, 100), 'learning_rate_init': 0.001,  'solver': 'adam'}</t>
  </si>
  <si>
    <t>{'activation': 'relu', 'hidden_layer_sizes': (200, 100), 'learning_rate_init': 0.005,  'solver': 'adam'}</t>
  </si>
  <si>
    <t>{'activation': 'relu', 'hidden_layer_sizes': (200, 100), 'learning_rate_init': 0.01,  'solver': 'adam'}</t>
  </si>
  <si>
    <t>{'activation': 'relu', 'hidden_layer_sizes': 150, 'learning_rate_init': 0.01,  'solver': 'adam'}</t>
  </si>
  <si>
    <t>{'activation': 'relu', 'hidden_layer_sizes': 50, 'learning_rate_init': 0.01,  'solver': 'adam'}</t>
  </si>
  <si>
    <t>{'activation': 'tanh', 'hidden_layer_sizes': (150, 75), 'learning_rate_init': 0.01,  'solver': 'adam'}</t>
  </si>
  <si>
    <t>Total Geral</t>
  </si>
  <si>
    <t>(Tudo)</t>
  </si>
  <si>
    <t>{'activation': 'logistic', 'hidden_layer_sizes': (200, 100), 'learning_rate_init': 0.005, 'max_iter': 500, 'solver': 'sgd'}</t>
  </si>
  <si>
    <t>{'activation': 'logistic', 'hidden_layer_sizes': (200, 100), 'learning_rate_init': 0.001, 'max_iter': 1000, 'solver': 'sgd'}</t>
  </si>
  <si>
    <t>{'activation': 'logistic', 'hidden_layer_sizes': (200, 100), 'learning_rate_init': 0.001, 'max_iter': 1500, 'solver': 'sgd'}</t>
  </si>
  <si>
    <t>{'activation': 'logistic', 'hidden_layer_sizes': 150, 'learning_rate_init': 0.001, 'max_iter': 1000, 'solver': 'sgd'}</t>
  </si>
  <si>
    <t>{'activation': 'logistic', 'hidden_layer_sizes': (100, 50), 'learning_rate_init': 0.005, 'max_iter': 500, 'solver': 'sgd'}</t>
  </si>
  <si>
    <t>{'activation': 'logistic', 'hidden_layer_sizes': (100, 50), 'learning_rate_init': 0.001, 'max_iter': 1500, 'solver': 'sgd'}</t>
  </si>
  <si>
    <t>{'activation': 'logistic', 'hidden_layer_sizes': (100, 50), 'learning_rate_init': 0.001, 'max_iter': 1000, 'solver': 'sgd'}</t>
  </si>
  <si>
    <t>{'activation': 'logistic', 'hidden_layer_sizes': (100, 50), 'learning_rate_init': 0.001, 'max_iter': 500, 'solver': 'sgd'}</t>
  </si>
  <si>
    <t>{'activation': 'logistic', 'hidden_layer_sizes': 150, 'learning_rate_init': 0.001, 'max_iter': 500, 'solver': 'sgd'}</t>
  </si>
  <si>
    <t>{'activation': 'logistic', 'hidden_layer_sizes': 100, 'learning_rate_init': 0.001, 'max_iter': 1000, 'solver': 'sgd'}</t>
  </si>
  <si>
    <t>{'activation': 'logistic', 'hidden_layer_sizes': 100, 'learning_rate_init': 0.001, 'max_iter': 500, 'solver': 'sgd'}</t>
  </si>
  <si>
    <t>{'activation': 'logistic', 'hidden_layer_sizes': 50, 'learning_rate_init': 0.001, 'max_iter': 500, 'solver': 'sgd'}</t>
  </si>
  <si>
    <t>{'activation': 'logistic', 'hidden_layer_sizes': (200, 100), 'learning_rate_init': 0.001, 'max_iter': 500, 'solver': 'sgd'}</t>
  </si>
  <si>
    <t>{'activation': 'logistic', 'hidden_layer_sizes': 50, 'learning_rate_init': 0.001, 'max_iter': 1000, 'solver': 'sgd'}</t>
  </si>
  <si>
    <t>{'activation': 'logistic', 'hidden_layer_sizes': (150, 75), 'learning_rate_init': 0.005, 'max_iter': 500, 'solver': 'sgd'}</t>
  </si>
  <si>
    <t>{'activation': 'logistic', 'hidden_layer_sizes': (150, 75), 'learning_rate_init': 0.001, 'max_iter': 1500, 'solver': 'sgd'}</t>
  </si>
  <si>
    <t>{'activation': 'logistic', 'hidden_layer_sizes': (150, 75), 'learning_rate_init': 0.001, 'max_iter': 1000, 'solver': 'sgd'}</t>
  </si>
  <si>
    <t>{'activation': 'logistic', 'hidden_layer_sizes': (150, 75), 'learning_rate_init': 0.001, 'max_iter': 500, 'solver': 'sgd'}</t>
  </si>
  <si>
    <t>Máx. de f1_score</t>
  </si>
  <si>
    <t>Top1</t>
  </si>
  <si>
    <t>Rank</t>
  </si>
  <si>
    <t>Origem</t>
  </si>
  <si>
    <t>Maior Attrb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</si>
</sst>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%"/>
    <numFmt numFmtId="167" formatCode="0.00000%"/>
    <numFmt numFmtId="182" formatCode="_-* #,##0.000000000000000_-;\-* #,##0.00000000000000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Menlo"/>
      <family val="2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2"/>
      <color rgb="FFC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10" fontId="0" fillId="0" borderId="5" xfId="1" applyNumberFormat="1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3" fillId="0" borderId="0" xfId="0" applyFont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10" fontId="0" fillId="0" borderId="0" xfId="0" applyNumberFormat="1"/>
    <xf numFmtId="10" fontId="6" fillId="0" borderId="0" xfId="1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2" borderId="2" xfId="0" applyFill="1" applyBorder="1" applyAlignment="1">
      <alignment horizontal="left"/>
    </xf>
    <xf numFmtId="10" fontId="0" fillId="2" borderId="4" xfId="0" applyNumberFormat="1" applyFill="1" applyBorder="1"/>
    <xf numFmtId="0" fontId="0" fillId="2" borderId="5" xfId="0" applyFill="1" applyBorder="1" applyAlignment="1">
      <alignment horizontal="left"/>
    </xf>
    <xf numFmtId="10" fontId="0" fillId="2" borderId="6" xfId="0" applyNumberFormat="1" applyFill="1" applyBorder="1"/>
    <xf numFmtId="0" fontId="0" fillId="2" borderId="7" xfId="0" applyFill="1" applyBorder="1" applyAlignment="1">
      <alignment horizontal="left"/>
    </xf>
    <xf numFmtId="10" fontId="0" fillId="2" borderId="9" xfId="0" applyNumberFormat="1" applyFill="1" applyBorder="1"/>
    <xf numFmtId="164" fontId="0" fillId="0" borderId="0" xfId="0" applyNumberFormat="1"/>
    <xf numFmtId="0" fontId="0" fillId="0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7" fontId="0" fillId="2" borderId="3" xfId="1" applyNumberFormat="1" applyFont="1" applyFill="1" applyBorder="1"/>
    <xf numFmtId="167" fontId="0" fillId="2" borderId="0" xfId="1" applyNumberFormat="1" applyFont="1" applyFill="1" applyBorder="1"/>
    <xf numFmtId="167" fontId="0" fillId="2" borderId="8" xfId="1" applyNumberFormat="1" applyFont="1" applyFill="1" applyBorder="1"/>
    <xf numFmtId="167" fontId="0" fillId="0" borderId="0" xfId="1" applyNumberFormat="1" applyFont="1" applyFill="1"/>
    <xf numFmtId="164" fontId="0" fillId="2" borderId="3" xfId="0" applyNumberForma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0" fontId="0" fillId="2" borderId="10" xfId="0" applyFill="1" applyBorder="1"/>
    <xf numFmtId="164" fontId="0" fillId="2" borderId="11" xfId="0" applyNumberFormat="1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0" xfId="0" applyFill="1" applyBorder="1"/>
    <xf numFmtId="182" fontId="0" fillId="0" borderId="0" xfId="2" applyNumberFormat="1" applyFont="1" applyFill="1" applyBorder="1"/>
  </cellXfs>
  <cellStyles count="3">
    <cellStyle name="Normal" xfId="0" builtinId="0"/>
    <cellStyle name="Porcentagem" xfId="1" builtinId="5"/>
    <cellStyle name="Vírgula" xfId="2" builtinId="3"/>
  </cellStyles>
  <dxfs count="2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2.764429745373" createdVersion="8" refreshedVersion="8" minRefreshableVersion="3" recordCount="556" xr:uid="{D736FFD5-5B2D-6641-AA11-D55B27B5467F}">
  <cacheSource type="worksheet">
    <worksheetSource ref="A1:D557" sheet="Selecao MLP - Base top 1"/>
  </cacheSource>
  <cacheFields count="4">
    <cacheField name="params" numFmtId="0">
      <sharedItems count="556">
        <s v="{'activation': 'relu', 'hidden_layer_sizes': (200, 100), 'learning_rate_init': 0.005, 'max_iter': 1000, 'solver': 'adam'}"/>
        <s v="{'activation': 'relu', 'hidden_layer_sizes': (200, 100), 'learning_rate_init': 0.005, 'max_iter': 1500, 'solver': 'adam'}"/>
        <s v="{'activation': 'relu', 'hidden_layer_sizes': (200, 100), 'learning_rate_init': 0.005, 'max_iter': 500, 'solver': 'adam'}"/>
        <s v="{'activation': 'relu', 'hidden_layer_sizes': 50, 'learning_rate_init': 0.01, 'max_iter': 1000, 'solver': 'sgd'}"/>
        <s v="{'activation': 'relu', 'hidden_layer_sizes': 50, 'learning_rate_init': 0.01, 'max_iter': 500, 'solver': 'sgd'}"/>
        <s v="{'activation': 'relu', 'hidden_layer_sizes': 50, 'learning_rate_init': 0.01, 'max_iter': 1500, 'solver': 'sgd'}"/>
        <s v="{'activation': 'tanh', 'hidden_layer_sizes': (100, 50), 'learning_rate_init': 0.01, 'max_iter': 500, 'solver': 'sgd'}"/>
        <s v="{'activation': 'tanh', 'hidden_layer_sizes': (100, 50), 'learning_rate_init': 0.01, 'max_iter': 1000, 'solver': 'sgd'}"/>
        <s v="{'activation': 'tanh', 'hidden_layer_sizes': (100, 50), 'learning_rate_init': 0.01, 'max_iter': 1500, 'solver': 'sgd'}"/>
        <s v="{'activation': 'identity', 'hidden_layer_sizes': 150, 'learning_rate_init': 0.01, 'max_iter': 1500, 'solver': 'adam'}"/>
        <s v="{'activation': 'identity', 'hidden_layer_sizes': 150, 'learning_rate_init': 0.01, 'max_iter': 500, 'solver': 'adam'}"/>
        <s v="{'activation': 'identity', 'hidden_layer_sizes': 150, 'learning_rate_init': 0.01, 'max_iter': 1000, 'solver': 'adam'}"/>
        <s v="{'activation': 'logistic', 'hidden_layer_sizes': (200, 100, 50), 'learning_rate_init': 0.005, 'max_iter': 1500, 'solver': 'adam'}"/>
        <s v="{'activation': 'logistic', 'hidden_layer_sizes': (200, 100, 50), 'learning_rate_init': 0.005, 'max_iter': 1000, 'solver': 'adam'}"/>
        <s v="{'activation': 'logistic', 'hidden_layer_sizes': (200, 100, 50), 'learning_rate_init': 0.005, 'max_iter': 500, 'solver': 'adam'}"/>
        <s v="{'activation': 'relu', 'hidden_layer_sizes': 50, 'learning_rate_init': 0.01, 'max_iter': 500, 'solver': 'adam'}"/>
        <s v="{'activation': 'relu', 'hidden_layer_sizes': 50, 'learning_rate_init': 0.01, 'max_iter': 1000, 'solver': 'adam'}"/>
        <s v="{'activation': 'relu', 'hidden_layer_sizes': 50, 'learning_rate_init': 0.01, 'max_iter': 1500, 'solver': 'adam'}"/>
        <s v="{'activation': 'tanh', 'hidden_layer_sizes': (100, 50), 'learning_rate_init': 0.005, 'max_iter': 1000, 'solver': 'sgd'}"/>
        <s v="{'activation': 'tanh', 'hidden_layer_sizes': (100, 50), 'learning_rate_init': 0.005, 'max_iter': 1500, 'solver': 'sgd'}"/>
        <s v="{'activation': 'tanh', 'hidden_layer_sizes': (100, 50), 'learning_rate_init': 0.005, 'max_iter': 500, 'solver': 'sgd'}"/>
        <s v="{'activation': 'relu', 'hidden_layer_sizes': (200, 100), 'learning_rate_init': 0.01, 'max_iter': 1500, 'solver': 'adam'}"/>
        <s v="{'activation': 'relu', 'hidden_layer_sizes': (200, 100), 'learning_rate_init': 0.01, 'max_iter': 1000, 'solver': 'adam'}"/>
        <s v="{'activation': 'relu', 'hidden_layer_sizes': (200, 100), 'learning_rate_init': 0.01, 'max_iter': 500, 'solver': 'adam'}"/>
        <s v="{'activation': 'tanh', 'hidden_layer_sizes': (200, 100, 50), 'learning_rate_init': 0.005, 'max_iter': 1000, 'solver': 'sgd'}"/>
        <s v="{'activation': 'tanh', 'hidden_layer_sizes': (200, 100, 50), 'learning_rate_init': 0.005, 'max_iter': 500, 'solver': 'sgd'}"/>
        <s v="{'activation': 'tanh', 'hidden_layer_sizes': (200, 100, 50), 'learning_rate_init': 0.005, 'max_iter': 1500, 'solver': 'sgd'}"/>
        <s v="{'activation': 'relu', 'hidden_layer_sizes': (200, 100, 50), 'learning_rate_init': 0.01, 'max_iter': 1500, 'solver': 'sgd'}"/>
        <s v="{'activation': 'tanh', 'hidden_layer_sizes': (200, 100, 50), 'learning_rate_init': 0.01, 'max_iter': 1000, 'solver': 'sgd'}"/>
        <s v="{'activation': 'tanh', 'hidden_layer_sizes': (200, 100, 50), 'learning_rate_init': 0.01, 'max_iter': 1500, 'solver': 'sgd'}"/>
        <s v="{'activation': 'tanh', 'hidden_layer_sizes': (200, 100, 50), 'learning_rate_init': 0.01, 'max_iter': 500, 'solver': 'sgd'}"/>
        <s v="{'activation': 'relu', 'hidden_layer_sizes': (200, 100, 50), 'learning_rate_init': 0.01, 'max_iter': 1000, 'solver': 'sgd'}"/>
        <s v="{'activation': 'relu', 'hidden_layer_sizes': (200, 100, 50), 'learning_rate_init': 0.01, 'max_iter': 500, 'solver': 'sgd'}"/>
        <s v="{'activation': 'logistic', 'hidden_layer_sizes': 50, 'learning_rate_init': 0.01, 'max_iter': 1500, 'solver': 'sgd'}"/>
        <s v="{'activation': 'tanh', 'hidden_layer_sizes': 100, 'learning_rate_init': 0.01, 'max_iter': 1000, 'solver': 'sgd'}"/>
        <s v="{'activation': 'tanh', 'hidden_layer_sizes': 100, 'learning_rate_init': 0.01, 'max_iter': 1500, 'solver': 'sgd'}"/>
        <s v="{'activation': 'tanh', 'hidden_layer_sizes': 100, 'learning_rate_init': 0.01, 'max_iter': 500, 'solver': 'sgd'}"/>
        <s v="{'activation': 'logistic', 'hidden_layer_sizes': 50, 'learning_rate_init': 0.01, 'max_iter': 500, 'solver': 'sgd'}"/>
        <s v="{'activation': 'logistic', 'hidden_layer_sizes': 50, 'learning_rate_init': 0.01, 'max_iter': 1000, 'solver': 'sgd'}"/>
        <s v="{'activation': 'tanh', 'hidden_layer_sizes': (100, 50), 'learning_rate_init': 0.001, 'max_iter': 1000, 'solver': 'sgd'}"/>
        <s v="{'activation': 'tanh', 'hidden_layer_sizes': (100, 50), 'learning_rate_init': 0.001, 'max_iter': 500, 'solver': 'sgd'}"/>
        <s v="{'activation': 'tanh', 'hidden_layer_sizes': (100, 50), 'learning_rate_init': 0.001, 'max_iter': 1500, 'solver': 'sgd'}"/>
        <s v="{'activation': 'tanh', 'hidden_layer_sizes': (100, 50), 'learning_rate_init': 0.001, 'max_iter': 500, 'solver': 'adam'}"/>
        <s v="{'activation': 'identity', 'hidden_layer_sizes': (150, 75), 'learning_rate_init': 0.01, 'max_iter': 500, 'solver': 'adam'}"/>
        <s v="{'activation': 'identity', 'hidden_layer_sizes': (150, 75), 'learning_rate_init': 0.01, 'max_iter': 1000, 'solver': 'adam'}"/>
        <s v="{'activation': 'tanh', 'hidden_layer_sizes': (100, 50), 'learning_rate_init': 0.001, 'max_iter': 1000, 'solver': 'adam'}"/>
        <s v="{'activation': 'identity', 'hidden_layer_sizes': (150, 75), 'learning_rate_init': 0.01, 'max_iter': 1500, 'solver': 'adam'}"/>
        <s v="{'activation': 'identity', 'hidden_layer_sizes': 100, 'learning_rate_init': 0.01, 'max_iter': 500, 'solver': 'sgd'}"/>
        <s v="{'activation': 'tanh', 'hidden_layer_sizes': (100, 50), 'learning_rate_init': 0.001, 'max_iter': 1500, 'solver': 'adam'}"/>
        <s v="{'activation': 'identity', 'hidden_layer_sizes': 100, 'learning_rate_init': 0.01, 'max_iter': 1000, 'solver': 'sgd'}"/>
        <s v="{'activation': 'identity', 'hidden_layer_sizes': 100, 'learning_rate_init': 0.01, 'max_iter': 1500, 'solver': 'sgd'}"/>
        <s v="{'activation': 'identity', 'hidden_layer_sizes': 150, 'learning_rate_init': 0.01, 'max_iter': 1000, 'solver': 'sgd'}"/>
        <s v="{'activation': 'identity', 'hidden_layer_sizes': 150, 'learning_rate_init': 0.005, 'max_iter': 1500, 'solver': 'adam'}"/>
        <s v="{'activation': 'identity', 'hidden_layer_sizes': 150, 'learning_rate_init': 0.01, 'max_iter': 1500, 'solver': 'sgd'}"/>
        <s v="{'activation': 'identity', 'hidden_layer_sizes': 150, 'learning_rate_init': 0.005, 'max_iter': 1000, 'solver': 'adam'}"/>
        <s v="{'activation': 'identity', 'hidden_layer_sizes': 150, 'learning_rate_init': 0.01, 'max_iter': 500, 'solver': 'sgd'}"/>
        <s v="{'activation': 'identity', 'hidden_layer_sizes': 150, 'learning_rate_init': 0.005, 'max_iter': 500, 'solver': 'adam'}"/>
        <s v="{'activation': 'identity', 'hidden_layer_sizes': (200, 100), 'learning_rate_init': 0.001, 'max_iter': 500, 'solver': 'sgd'}"/>
        <s v="{'activation': 'identity', 'hidden_layer_sizes': (200, 100), 'learning_rate_init': 0.001, 'max_iter': 1000, 'solver': 'sgd'}"/>
        <s v="{'activation': 'identity', 'hidden_layer_sizes': (200, 100), 'learning_rate_init': 0.001, 'max_iter': 1500, 'solver': 'sgd'}"/>
        <s v="{'activation': 'tanh', 'hidden_layer_sizes': (200, 100, 50), 'learning_rate_init': 0.001, 'max_iter': 1500, 'solver': 'sgd'}"/>
        <s v="{'activation': 'tanh', 'hidden_layer_sizes': (200, 100, 50), 'learning_rate_init': 0.001, 'max_iter': 1000, 'solver': 'sgd'}"/>
        <s v="{'activation': 'tanh', 'hidden_layer_sizes': (200, 100, 50), 'learning_rate_init': 0.001, 'max_iter': 500, 'solver': 'sgd'}"/>
        <s v="{'activation': 'relu', 'hidden_layer_sizes': (200, 100, 50), 'learning_rate_init': 0.001, 'max_iter': 500, 'solver': 'adam'}"/>
        <s v="{'activation': 'relu', 'hidden_layer_sizes': (200, 100, 50), 'learning_rate_init': 0.001, 'max_iter': 1000, 'solver': 'adam'}"/>
        <s v="{'activation': 'relu', 'hidden_layer_sizes': (200, 100, 50), 'learning_rate_init': 0.001, 'max_iter': 1500, 'solver': 'adam'}"/>
        <s v="{'activation': 'relu', 'hidden_layer_sizes': (200, 100, 50), 'learning_rate_init': 0.001, 'max_iter': 500, 'solver': 'sgd'}"/>
        <s v="{'activation': 'logistic', 'hidden_layer_sizes': 50, 'learning_rate_init': 0.005, 'max_iter': 1000, 'solver': 'adam'}"/>
        <s v="{'activation': 'relu', 'hidden_layer_sizes': (200, 100, 50), 'learning_rate_init': 0.001, 'max_iter': 1000, 'solver': 'sgd'}"/>
        <s v="{'activation': 'relu', 'hidden_layer_sizes': (200, 100, 50), 'learning_rate_init': 0.001, 'max_iter': 1500, 'solver': 'sgd'}"/>
        <s v="{'activation': 'logistic', 'hidden_layer_sizes': 50, 'learning_rate_init': 0.005, 'max_iter': 500, 'solver': 'adam'}"/>
        <s v="{'activation': 'logistic', 'hidden_layer_sizes': 50, 'learning_rate_init': 0.005, 'max_iter': 1500, 'solver': 'adam'}"/>
        <s v="{'activation': 'relu', 'hidden_layer_sizes': 100, 'learning_rate_init': 0.005, 'max_iter': 500, 'solver': 'sgd'}"/>
        <s v="{'activation': 'relu', 'hidden_layer_sizes': 100, 'learning_rate_init': 0.01, 'max_iter': 500, 'solver': 'sgd'}"/>
        <s v="{'activation': 'identity', 'hidden_layer_sizes': (200, 100, 50), 'learning_rate_init': 0.005, 'max_iter': 1500, 'solver': 'sgd'}"/>
        <s v="{'activation': 'identity', 'hidden_layer_sizes': (200, 100, 50), 'learning_rate_init': 0.005, 'max_iter': 1000, 'solver': 'sgd'}"/>
        <s v="{'activation': 'relu', 'hidden_layer_sizes': 100, 'learning_rate_init': 0.005, 'max_iter': 1000, 'solver': 'sgd'}"/>
        <s v="{'activation': 'logistic', 'hidden_layer_sizes': 50, 'learning_rate_init': 0.005, 'max_iter': 1500, 'solver': 'sgd'}"/>
        <s v="{'activation': 'relu', 'hidden_layer_sizes': 100, 'learning_rate_init': 0.01, 'max_iter': 1500, 'solver': 'sgd'}"/>
        <s v="{'activation': 'relu', 'hidden_layer_sizes': 100, 'learning_rate_init': 0.01, 'max_iter': 1000, 'solver': 'sgd'}"/>
        <s v="{'activation': 'identity', 'hidden_layer_sizes': (200, 100, 50), 'learning_rate_init': 0.005, 'max_iter': 500, 'solver': 'sgd'}"/>
        <s v="{'activation': 'relu', 'hidden_layer_sizes': 100, 'learning_rate_init': 0.005, 'max_iter': 1500, 'solver': 'sgd'}"/>
        <s v="{'activation': 'logistic', 'hidden_layer_sizes': 50, 'learning_rate_init': 0.005, 'max_iter': 1000, 'solver': 'sgd'}"/>
        <s v="{'activation': 'logistic', 'hidden_layer_sizes': (200, 100, 50), 'learning_rate_init': 0.01, 'max_iter': 1500, 'solver': 'adam'}"/>
        <s v="{'activation': 'logistic', 'hidden_layer_sizes': (200, 100, 50), 'learning_rate_init': 0.01, 'max_iter': 1000, 'solver': 'adam'}"/>
        <s v="{'activation': 'logistic', 'hidden_layer_sizes': (200, 100, 50), 'learning_rate_init': 0.01, 'max_iter': 500, 'solver': 'adam'}"/>
        <s v="{'activation': 'logistic', 'hidden_layer_sizes': 50, 'learning_rate_init': 0.005, 'max_iter': 500, 'solver': 'sgd'}"/>
        <s v="{'activation': 'tanh', 'hidden_layer_sizes': 100, 'learning_rate_init': 0.001, 'max_iter': 1000, 'solver': 'adam'}"/>
        <s v="{'activation': 'identity', 'hidden_layer_sizes': (200, 75, 25), 'learning_rate_init': 0.01, 'max_iter': 1500, 'solver': 'sgd'}"/>
        <s v="{'activation': 'tanh', 'hidden_layer_sizes': 100, 'learning_rate_init': 0.001, 'max_iter': 500, 'solver': 'adam'}"/>
        <s v="{'activation': 'identity', 'hidden_layer_sizes': (200, 75, 25), 'learning_rate_init': 0.01, 'max_iter': 1000, 'solver': 'sgd'}"/>
        <s v="{'activation': 'identity', 'hidden_layer_sizes': (200, 75, 25), 'learning_rate_init': 0.01, 'max_iter': 500, 'solver': 'sgd'}"/>
        <s v="{'activation': 'relu', 'hidden_layer_sizes': (200, 100, 50), 'learning_rate_init': 0.005, 'max_iter': 1500, 'solver': 'adam'}"/>
        <s v="{'activation': 'relu', 'hidden_layer_sizes': (200, 100, 50), 'learning_rate_init': 0.005, 'max_iter': 500, 'solver': 'adam'}"/>
        <s v="{'activation': 'tanh', 'hidden_layer_sizes': 100, 'learning_rate_init': 0.001, 'max_iter': 1500, 'solver': 'adam'}"/>
        <s v="{'activation': 'relu', 'hidden_layer_sizes': (200, 100, 50), 'learning_rate_init': 0.005, 'max_iter': 1000, 'solver': 'adam'}"/>
        <s v="{'activation': 'logistic', 'hidden_layer_sizes': 50, 'learning_rate_init': 0.001, 'max_iter': 1500, 'solver': 'sgd'}"/>
        <s v="{'activation': 'identity', 'hidden_layer_sizes': (150, 75), 'learning_rate_init': 0.001, 'max_iter': 500, 'solver': 'sgd'}"/>
        <s v="{'activation': 'identity', 'hidden_layer_sizes': (150, 75), 'learning_rate_init': 0.001, 'max_iter': 1000, 'solver': 'sgd'}"/>
        <s v="{'activation': 'identity', 'hidden_layer_sizes': (150, 75), 'learning_rate_init': 0.001, 'max_iter': 1500, 'solver': 'sgd'}"/>
        <s v="{'activation': 'identity', 'hidden_layer_sizes': 150, 'learning_rate_init': 0.005, 'max_iter': 1000, 'solver': 'sgd'}"/>
        <s v="{'activation': 'identity', 'hidden_layer_sizes': 150, 'learning_rate_init': 0.005, 'max_iter': 500, 'solver': 'sgd'}"/>
        <s v="{'activation': 'identity', 'hidden_layer_sizes': 150, 'learning_rate_init': 0.005, 'max_iter': 1500, 'solver': 'sgd'}"/>
        <s v="{'activation': 'relu', 'hidden_layer_sizes': 50, 'learning_rate_init': 0.005, 'max_iter': 1000, 'solver': 'sgd'}"/>
        <s v="{'activation': 'relu', 'hidden_layer_sizes': 50, 'learning_rate_init': 0.005, 'max_iter': 500, 'solver': 'sgd'}"/>
        <s v="{'activation': 'relu', 'hidden_layer_sizes': 50, 'learning_rate_init': 0.005, 'max_iter': 1500, 'solver': 'sgd'}"/>
        <s v="{'activation': 'relu', 'hidden_layer_sizes': (150, 75), 'learning_rate_init': 0.01, 'max_iter': 500, 'solver': 'adam'}"/>
        <s v="{'activation': 'relu', 'hidden_layer_sizes': (150, 75), 'learning_rate_init': 0.01, 'max_iter': 1500, 'solver': 'adam'}"/>
        <s v="{'activation': 'relu', 'hidden_layer_sizes': (150, 75), 'learning_rate_init': 0.01, 'max_iter': 1000, 'solver': 'adam'}"/>
        <s v="{'activation': 'identity', 'hidden_layer_sizes': (200, 75, 25), 'learning_rate_init': 0.005, 'max_iter': 500, 'solver': 'sgd'}"/>
        <s v="{'activation': 'identity', 'hidden_layer_sizes': (200, 75, 25), 'learning_rate_init': 0.005, 'max_iter': 1500, 'solver': 'sgd'}"/>
        <s v="{'activation': 'identity', 'hidden_layer_sizes': (200, 75, 25), 'learning_rate_init': 0.005, 'max_iter': 1000, 'solver': 'sgd'}"/>
        <s v="{'activation': 'relu', 'hidden_layer_sizes': (200, 100, 50), 'learning_rate_init': 0.005, 'max_iter': 1500, 'solver': 'sgd'}"/>
        <s v="{'activation': 'relu', 'hidden_layer_sizes': (200, 100, 50), 'learning_rate_init': 0.005, 'max_iter': 1000, 'solver': 'sgd'}"/>
        <s v="{'activation': 'tanh', 'hidden_layer_sizes': (200, 100, 50), 'learning_rate_init': 0.001, 'max_iter': 1000, 'solver': 'adam'}"/>
        <s v="{'activation': 'tanh', 'hidden_layer_sizes': (200, 100, 50), 'learning_rate_init': 0.001, 'max_iter': 500, 'solver': 'adam'}"/>
        <s v="{'activation': 'tanh', 'hidden_layer_sizes': (200, 100, 50), 'learning_rate_init': 0.001, 'max_iter': 1500, 'solver': 'adam'}"/>
        <s v="{'activation': 'relu', 'hidden_layer_sizes': (200, 100, 50), 'learning_rate_init': 0.005, 'max_iter': 500, 'solver': 'sgd'}"/>
        <s v="{'activation': 'relu', 'hidden_layer_sizes': (200, 100, 50), 'learning_rate_init': 0.01, 'max_iter': 500, 'solver': 'adam'}"/>
        <s v="{'activation': 'relu', 'hidden_layer_sizes': (200, 100, 50), 'learning_rate_init': 0.01, 'max_iter': 1000, 'solver': 'adam'}"/>
        <s v="{'activation': 'logistic', 'hidden_layer_sizes': (100, 50), 'learning_rate_init': 0.005, 'max_iter': 1000, 'solver': 'sgd'}"/>
        <s v="{'activation': 'logistic', 'hidden_layer_sizes': (100, 50), 'learning_rate_init': 0.005, 'max_iter': 1500, 'solver': 'sgd'}"/>
        <s v="{'activation': 'relu', 'hidden_layer_sizes': (200, 100, 50), 'learning_rate_init': 0.01, 'max_iter': 1500, 'solver': 'adam'}"/>
        <s v="{'activation': 'identity', 'hidden_layer_sizes': (150, 75), 'learning_rate_init': 0.005, 'max_iter': 500, 'solver': 'adam'}"/>
        <s v="{'activation': 'logistic', 'hidden_layer_sizes': (200, 100, 50), 'learning_rate_init': 0.01, 'max_iter': 500, 'solver': 'sgd'}"/>
        <s v="{'activation': 'identity', 'hidden_layer_sizes': (150, 75), 'learning_rate_init': 0.005, 'max_iter': 1000, 'solver': 'adam'}"/>
        <s v="{'activation': 'identity', 'hidden_layer_sizes': 150, 'learning_rate_init': 0.001, 'max_iter': 1000, 'solver': 'adam'}"/>
        <s v="{'activation': 'relu', 'hidden_layer_sizes': (100, 50), 'learning_rate_init': 0.01, 'max_iter': 1500, 'solver': 'sgd'}"/>
        <s v="{'activation': 'relu', 'hidden_layer_sizes': (100, 50), 'learning_rate_init': 0.01, 'max_iter': 500, 'solver': 'sgd'}"/>
        <s v="{'activation': 'relu', 'hidden_layer_sizes': (100, 50), 'learning_rate_init': 0.01, 'max_iter': 1000, 'solver': 'sgd'}"/>
        <s v="{'activation': 'identity', 'hidden_layer_sizes': 150, 'learning_rate_init': 0.001, 'max_iter': 1500, 'solver': 'adam'}"/>
        <s v="{'activation': 'logistic', 'hidden_layer_sizes': (200, 100, 50), 'learning_rate_init': 0.01, 'max_iter': 1000, 'solver': 'sgd'}"/>
        <s v="{'activation': 'logistic', 'hidden_layer_sizes': (200, 100, 50), 'learning_rate_init': 0.01, 'max_iter': 1500, 'solver': 'sgd'}"/>
        <s v="{'activation': 'identity', 'hidden_layer_sizes': 150, 'learning_rate_init': 0.001, 'max_iter': 500, 'solver': 'adam'}"/>
        <s v="{'activation': 'identity', 'hidden_layer_sizes': (150, 75), 'learning_rate_init': 0.005, 'max_iter': 1500, 'solver': 'adam'}"/>
        <s v="{'activation': 'tanh', 'hidden_layer_sizes': (200, 100, 50), 'learning_rate_init': 0.005, 'max_iter': 1000, 'solver': 'adam'}"/>
        <s v="{'activation': 'identity', 'hidden_layer_sizes': (100, 50), 'learning_rate_init': 0.005, 'max_iter': 1500, 'solver': 'adam'}"/>
        <s v="{'activation': 'identity', 'hidden_layer_sizes': (200, 100), 'learning_rate_init': 0.01, 'max_iter': 1500, 'solver': 'adam'}"/>
        <s v="{'activation': 'identity', 'hidden_layer_sizes': (200, 100), 'learning_rate_init': 0.01, 'max_iter': 1000, 'solver': 'adam'}"/>
        <s v="{'activation': 'identity', 'hidden_layer_sizes': (200, 100), 'learning_rate_init': 0.01, 'max_iter': 500, 'solver': 'adam'}"/>
        <s v="{'activation': 'identity', 'hidden_layer_sizes': (100, 50), 'learning_rate_init': 0.005, 'max_iter': 500, 'solver': 'adam'}"/>
        <s v="{'activation': 'tanh', 'hidden_layer_sizes': (200, 100, 50), 'learning_rate_init': 0.005, 'max_iter': 1500, 'solver': 'adam'}"/>
        <s v="{'activation': 'identity', 'hidden_layer_sizes': (100, 50), 'learning_rate_init': 0.005, 'max_iter': 1000, 'solver': 'adam'}"/>
        <s v="{'activation': 'tanh', 'hidden_layer_sizes': (200, 100, 50), 'learning_rate_init': 0.005, 'max_iter': 500, 'solver': 'adam'}"/>
        <s v="{'activation': 'identity', 'hidden_layer_sizes': 150, 'learning_rate_init': 0.001, 'max_iter': 500, 'solver': 'sgd'}"/>
        <s v="{'activation': 'relu', 'hidden_layer_sizes': 50, 'learning_rate_init': 0.005, 'max_iter': 1000, 'solver': 'adam'}"/>
        <s v="{'activation': 'identity', 'hidden_layer_sizes': 150, 'learning_rate_init': 0.001, 'max_iter': 1500, 'solver': 'sgd'}"/>
        <s v="{'activation': 'relu', 'hidden_layer_sizes': 50, 'learning_rate_init': 0.005, 'max_iter': 1500, 'solver': 'adam'}"/>
        <s v="{'activation': 'identity', 'hidden_layer_sizes': 150, 'learning_rate_init': 0.001, 'max_iter': 1000, 'solver': 'sgd'}"/>
        <s v="{'activation': 'relu', 'hidden_layer_sizes': 50, 'learning_rate_init': 0.005, 'max_iter': 500, 'solver': 'adam'}"/>
        <s v="{'activation': 'relu', 'hidden_layer_sizes': (200, 75, 25), 'learning_rate_init': 0.005, 'max_iter': 1500, 'solver': 'adam'}"/>
        <s v="{'activation': 'relu', 'hidden_layer_sizes': (200, 75, 25), 'learning_rate_init': 0.005, 'max_iter': 500, 'solver': 'adam'}"/>
        <s v="{'activation': 'relu', 'hidden_layer_sizes': (200, 75, 25), 'learning_rate_init': 0.005, 'max_iter': 1000, 'solver': 'adam'}"/>
        <s v="{'activation': 'tanh', 'hidden_layer_sizes': (100, 50), 'learning_rate_init': 0.005, 'max_iter': 1500, 'solver': 'adam'}"/>
        <s v="{'activation': 'tanh', 'hidden_layer_sizes': (100, 50), 'learning_rate_init': 0.005, 'max_iter': 500, 'solver': 'adam'}"/>
        <s v="{'activation': 'tanh', 'hidden_layer_sizes': (100, 50), 'learning_rate_init': 0.005, 'max_iter': 1000, 'solver': 'adam'}"/>
        <s v="{'activation': 'identity', 'hidden_layer_sizes': 50, 'learning_rate_init': 0.01, 'max_iter': 1000, 'solver': 'sgd'}"/>
        <s v="{'activation': 'identity', 'hidden_layer_sizes': (200, 100, 50), 'learning_rate_init': 0.001, 'max_iter': 1500, 'solver': 'adam'}"/>
        <s v="{'activation': 'tanh', 'hidden_layer_sizes': 100, 'learning_rate_init': 0.005, 'max_iter': 1500, 'solver': 'sgd'}"/>
        <s v="{'activation': 'identity', 'hidden_layer_sizes': (200, 100, 50), 'learning_rate_init': 0.001, 'max_iter': 500, 'solver': 'adam'}"/>
        <s v="{'activation': 'tanh', 'hidden_layer_sizes': 100, 'learning_rate_init': 0.005, 'max_iter': 1000, 'solver': 'sgd'}"/>
        <s v="{'activation': 'tanh', 'hidden_layer_sizes': 100, 'learning_rate_init': 0.005, 'max_iter': 500, 'solver': 'sgd'}"/>
        <s v="{'activation': 'identity', 'hidden_layer_sizes': 50, 'learning_rate_init': 0.01, 'max_iter': 1500, 'solver': 'sgd'}"/>
        <s v="{'activation': 'identity', 'hidden_layer_sizes': (200, 100, 50), 'learning_rate_init': 0.001, 'max_iter': 1000, 'solver': 'adam'}"/>
        <s v="{'activation': 'identity', 'hidden_layer_sizes': 50, 'learning_rate_init': 0.01, 'max_iter': 500, 'solver': 'sgd'}"/>
        <s v="{'activation': 'logistic', 'hidden_layer_sizes': (100, 50), 'learning_rate_init': 0.001, 'max_iter': 1500, 'solver': 'adam'}"/>
        <s v="{'activation': 'logistic', 'hidden_layer_sizes': 100, 'learning_rate_init': 0.005, 'max_iter': 1500, 'solver': 'adam'}"/>
        <s v="{'activation': 'tanh', 'hidden_layer_sizes': (200, 75, 25), 'learning_rate_init': 0.005, 'max_iter': 500, 'solver': 'sgd'}"/>
        <s v="{'activation': 'logistic', 'hidden_layer_sizes': 100, 'learning_rate_init': 0.005, 'max_iter': 1000, 'solver': 'adam'}"/>
        <s v="{'activation': 'logistic', 'hidden_layer_sizes': 100, 'learning_rate_init': 0.005, 'max_iter': 500, 'solver': 'adam'}"/>
        <s v="{'activation': 'tanh', 'hidden_layer_sizes': (200, 75, 25), 'learning_rate_init': 0.005, 'max_iter': 1000, 'solver': 'sgd'}"/>
        <s v="{'activation': 'tanh', 'hidden_layer_sizes': 150, 'learning_rate_init': 0.001, 'max_iter': 500, 'solver': 'sgd'}"/>
        <s v="{'activation': 'tanh', 'hidden_layer_sizes': 150, 'learning_rate_init': 0.001, 'max_iter': 1000, 'solver': 'sgd'}"/>
        <s v="{'activation': 'tanh', 'hidden_layer_sizes': 150, 'learning_rate_init': 0.001, 'max_iter': 1500, 'solver': 'sgd'}"/>
        <s v="{'activation': 'logistic', 'hidden_layer_sizes': (100, 50), 'learning_rate_init': 0.001, 'max_iter': 500, 'solver': 'adam'}"/>
        <s v="{'activation': 'tanh', 'hidden_layer_sizes': (200, 75, 25), 'learning_rate_init': 0.01, 'max_iter': 1500, 'solver': 'sgd'}"/>
        <s v="{'activation': 'tanh', 'hidden_layer_sizes': (200, 75, 25), 'learning_rate_init': 0.01, 'max_iter': 1000, 'solver': 'sgd'}"/>
        <s v="{'activation': 'tanh', 'hidden_layer_sizes': (200, 75, 25), 'learning_rate_init': 0.01, 'max_iter': 500, 'solver': 'sgd'}"/>
        <s v="{'activation': 'tanh', 'hidden_layer_sizes': (200, 75, 25), 'learning_rate_init': 0.005, 'max_iter': 1500, 'solver': 'sgd'}"/>
        <s v="{'activation': 'logistic', 'hidden_layer_sizes': (100, 50), 'learning_rate_init': 0.001, 'max_iter': 1000, 'solver': 'adam'}"/>
        <s v="{'activation': 'identity', 'hidden_layer_sizes': 50, 'learning_rate_init': 0.001, 'max_iter': 500, 'solver': 'adam'}"/>
        <s v="{'activation': 'identity', 'hidden_layer_sizes': 100, 'learning_rate_init': 0.001, 'max_iter': 1000, 'solver': 'sgd'}"/>
        <s v="{'activation': 'identity', 'hidden_layer_sizes': (100, 50), 'learning_rate_init': 0.001, 'max_iter': 1500, 'solver': 'sgd'}"/>
        <s v="{'activation': 'identity', 'hidden_layer_sizes': 100, 'learning_rate_init': 0.001, 'max_iter': 1500, 'solver': 'sgd'}"/>
        <s v="{'activation': 'identity', 'hidden_layer_sizes': 50, 'learning_rate_init': 0.001, 'max_iter': 1000, 'solver': 'adam'}"/>
        <s v="{'activation': 'identity', 'hidden_layer_sizes': (100, 50), 'learning_rate_init': 0.001, 'max_iter': 500, 'solver': 'sgd'}"/>
        <s v="{'activation': 'identity', 'hidden_layer_sizes': 50, 'learning_rate_init': 0.001, 'max_iter': 1500, 'solver': 'adam'}"/>
        <s v="{'activation': 'identity', 'hidden_layer_sizes': (100, 50), 'learning_rate_init': 0.001, 'max_iter': 1000, 'solver': 'sgd'}"/>
        <s v="{'activation': 'identity', 'hidden_layer_sizes': 100, 'learning_rate_init': 0.001, 'max_iter': 500, 'solver': 'sgd'}"/>
        <s v="{'activation': 'logistic', 'hidden_layer_sizes': (200, 100), 'learning_rate_init': 0.005, 'max_iter': 1000, 'solver': 'sgd'}"/>
        <s v="{'activation': 'logistic', 'hidden_layer_sizes': (200, 100), 'learning_rate_init': 0.005, 'max_iter': 1500, 'solver': 'sgd'}"/>
        <s v="{'activation': 'logistic', 'hidden_layer_sizes': (200, 100), 'learning_rate_init': 0.01, 'max_iter': 500, 'solver': 'sgd'}"/>
        <s v="{'activation': 'logistic', 'hidden_layer_sizes': (200, 100), 'learning_rate_init': 0.01, 'max_iter': 1000, 'solver': 'sgd'}"/>
        <s v="{'activation': 'logistic', 'hidden_layer_sizes': (200, 100), 'learning_rate_init': 0.01, 'max_iter': 1500, 'solver': 'sgd'}"/>
        <s v="{'activation': 'identity', 'hidden_layer_sizes': 100, 'learning_rate_init': 0.005, 'max_iter': 500, 'solver': 'sgd'}"/>
        <s v="{'activation': 'identity', 'hidden_layer_sizes': 100, 'learning_rate_init': 0.005, 'max_iter': 1000, 'solver': 'sgd'}"/>
        <s v="{'activation': 'identity', 'hidden_layer_sizes': 100, 'learning_rate_init': 0.005, 'max_iter': 1500, 'solver': 'sgd'}"/>
        <s v="{'activation': 'logistic', 'hidden_layer_sizes': 150, 'learning_rate_init': 0.005, 'max_iter': 500, 'solver': 'sgd'}"/>
        <s v="{'activation': 'identity', 'hidden_layer_sizes': (200, 100, 50), 'learning_rate_init': 0.001, 'max_iter': 1000, 'solver': 'sgd'}"/>
        <s v="{'activation': 'logistic', 'hidden_layer_sizes': 150, 'learning_rate_init': 0.001, 'max_iter': 1500, 'solver': 'sgd'}"/>
        <s v="{'activation': 'identity', 'hidden_layer_sizes': (200, 100, 50), 'learning_rate_init': 0.001, 'max_iter': 500, 'solver': 'sgd'}"/>
        <s v="{'activation': 'logistic', 'hidden_layer_sizes': 150, 'learning_rate_init': 0.01, 'max_iter': 1500, 'solver': 'sgd'}"/>
        <s v="{'activation': 'identity', 'hidden_layer_sizes': (150, 75), 'learning_rate_init': 0.005, 'max_iter': 500, 'solver': 'sgd'}"/>
        <s v="{'activation': 'logistic', 'hidden_layer_sizes': 150, 'learning_rate_init': 0.01, 'max_iter': 1000, 'solver': 'sgd'}"/>
        <s v="{'activation': 'identity', 'hidden_layer_sizes': (150, 75), 'learning_rate_init': 0.005, 'max_iter': 1000, 'solver': 'sgd'}"/>
        <s v="{'activation': 'logistic', 'hidden_layer_sizes': 150, 'learning_rate_init': 0.01, 'max_iter': 500, 'solver': 'sgd'}"/>
        <s v="{'activation': 'identity', 'hidden_layer_sizes': (150, 75), 'learning_rate_init': 0.005, 'max_iter': 1500, 'solver': 'sgd'}"/>
        <s v="{'activation': 'logistic', 'hidden_layer_sizes': 150, 'learning_rate_init': 0.005, 'max_iter': 1500, 'solver': 'sgd'}"/>
        <s v="{'activation': 'logistic', 'hidden_layer_sizes': 150, 'learning_rate_init': 0.005, 'max_iter': 1000, 'solver': 'sgd'}"/>
        <s v="{'activation': 'identity', 'hidden_layer_sizes': (200, 100, 50), 'learning_rate_init': 0.001, 'max_iter': 1500, 'solver': 'sgd'}"/>
        <s v="{'activation': 'tanh', 'hidden_layer_sizes': 50, 'learning_rate_init': 0.005, 'max_iter': 1500, 'solver': 'adam'}"/>
        <s v="{'activation': 'tanh', 'hidden_layer_sizes': 50, 'learning_rate_init': 0.005, 'max_iter': 1000, 'solver': 'adam'}"/>
        <s v="{'activation': 'tanh', 'hidden_layer_sizes': 50, 'learning_rate_init': 0.005, 'max_iter': 500, 'solver': 'adam'}"/>
        <s v="{'activation': 'logistic', 'hidden_layer_sizes': 150, 'learning_rate_init': 0.01, 'max_iter': 1500, 'solver': 'adam'}"/>
        <s v="{'activation': 'logistic', 'hidden_layer_sizes': 150, 'learning_rate_init': 0.01, 'max_iter': 1000, 'solver': 'adam'}"/>
        <s v="{'activation': 'logistic', 'hidden_layer_sizes': 150, 'learning_rate_init': 0.01, 'max_iter': 500, 'solver': 'adam'}"/>
        <s v="{'activation': 'tanh', 'hidden_layer_sizes': 50, 'learning_rate_init': 0.001, 'max_iter': 1000, 'solver': 'adam'}"/>
        <s v="{'activation': 'tanh', 'hidden_layer_sizes': 50, 'learning_rate_init': 0.001, 'max_iter': 500, 'solver': 'adam'}"/>
        <s v="{'activation': 'tanh', 'hidden_layer_sizes': 50, 'learning_rate_init': 0.001, 'max_iter': 1500, 'solver': 'adam'}"/>
        <s v="{'activation': 'relu', 'hidden_layer_sizes': (100, 50), 'learning_rate_init': 0.01, 'max_iter': 500, 'solver': 'adam'}"/>
        <s v="{'activation': 'relu', 'hidden_layer_sizes': (100, 50), 'learning_rate_init': 0.01, 'max_iter': 1500, 'solver': 'adam'}"/>
        <s v="{'activation': 'relu', 'hidden_layer_sizes': (100, 50), 'learning_rate_init': 0.01, 'max_iter': 1000, 'solver': 'adam'}"/>
        <s v="{'activation': 'relu', 'hidden_layer_sizes': (200, 75, 25), 'learning_rate_init': 0.001, 'max_iter': 1000, 'solver': 'sgd'}"/>
        <s v="{'activation': 'relu', 'hidden_layer_sizes': (200, 75, 25), 'learning_rate_init': 0.001, 'max_iter': 1500, 'solver': 'sgd'}"/>
        <s v="{'activation': 'relu', 'hidden_layer_sizes': (200, 100), 'learning_rate_init': 0.01, 'max_iter': 1000, 'solver': 'sgd'}"/>
        <s v="{'activation': 'relu', 'hidden_layer_sizes': (200, 100), 'learning_rate_init': 0.01, 'max_iter': 1500, 'solver': 'sgd'}"/>
        <s v="{'activation': 'relu', 'hidden_layer_sizes': (200, 75, 25), 'learning_rate_init': 0.001, 'max_iter': 500, 'solver': 'sgd'}"/>
        <s v="{'activation': 'relu', 'hidden_layer_sizes': (200, 75, 25), 'learning_rate_init': 0.005, 'max_iter': 1000, 'solver': 'sgd'}"/>
        <s v="{'activation': 'relu', 'hidden_layer_sizes': (200, 100), 'learning_rate_init': 0.01, 'max_iter': 500, 'solver': 'sgd'}"/>
        <s v="{'activation': 'relu', 'hidden_layer_sizes': (200, 75, 25), 'learning_rate_init': 0.005, 'max_iter': 1500, 'solver': 'sgd'}"/>
        <s v="{'activation': 'relu', 'hidden_layer_sizes': (200, 75, 25), 'learning_rate_init': 0.005, 'max_iter': 500, 'solver': 'sgd'}"/>
        <s v="{'activation': 'logistic', 'hidden_layer_sizes': (200, 75, 25), 'learning_rate_init': 0.01, 'max_iter': 500, 'solver': 'sgd'}"/>
        <s v="{'activation': 'logistic', 'hidden_layer_sizes': (200, 100), 'learning_rate_init': 0.001, 'max_iter': 500, 'solver': 'adam'}"/>
        <s v="{'activation': 'logistic', 'hidden_layer_sizes': (200, 75, 25), 'learning_rate_init': 0.01, 'max_iter': 1000, 'solver': 'sgd'}"/>
        <s v="{'activation': 'logistic', 'hidden_layer_sizes': (200, 100), 'learning_rate_init': 0.001, 'max_iter': 1000, 'solver': 'adam'}"/>
        <s v="{'activation': 'logistic', 'hidden_layer_sizes': (200, 75, 25), 'learning_rate_init': 0.01, 'max_iter': 1500, 'solver': 'sgd'}"/>
        <s v="{'activation': 'logistic', 'hidden_layer_sizes': 100, 'learning_rate_init': 0.001, 'max_iter': 500, 'solver': 'adam'}"/>
        <s v="{'activation': 'logistic', 'hidden_layer_sizes': (200, 100), 'learning_rate_init': 0.001, 'max_iter': 1500, 'solver': 'adam'}"/>
        <s v="{'activation': 'logistic', 'hidden_layer_sizes': 100, 'learning_rate_init': 0.001, 'max_iter': 1000, 'solver': 'adam'}"/>
        <s v="{'activation': 'logistic', 'hidden_layer_sizes': 100, 'learning_rate_init': 0.001, 'max_iter': 1500, 'solver': 'adam'}"/>
        <s v="{'activation': 'logistic', 'hidden_layer_sizes': 100, 'learning_rate_init': 0.005, 'max_iter': 500, 'solver': 'sgd'}"/>
        <s v="{'activation': 'logistic', 'hidden_layer_sizes': 100, 'learning_rate_init': 0.005, 'max_iter': 1000, 'solver': 'sgd'}"/>
        <s v="{'activation': 'logistic', 'hidden_layer_sizes': 100, 'learning_rate_init': 0.005, 'max_iter': 1500, 'solver': 'sgd'}"/>
        <s v="{'activation': 'logistic', 'hidden_layer_sizes': (100, 50), 'learning_rate_init': 0.01, 'max_iter': 500, 'solver': 'sgd'}"/>
        <s v="{'activation': 'identity', 'hidden_layer_sizes': (200, 100, 50), 'learning_rate_init': 0.01, 'max_iter': 1500, 'solver': 'sgd'}"/>
        <s v="{'activation': 'identity', 'hidden_layer_sizes': 50, 'learning_rate_init': 0.01, 'max_iter': 1000, 'solver': 'adam'}"/>
        <s v="{'activation': 'tanh', 'hidden_layer_sizes': 150, 'learning_rate_init': 0.01, 'max_iter': 1500, 'solver': 'sgd'}"/>
        <s v="{'activation': 'tanh', 'hidden_layer_sizes': 150, 'learning_rate_init': 0.005, 'max_iter': 500, 'solver': 'sgd'}"/>
        <s v="{'activation': 'tanh', 'hidden_layer_sizes': 150, 'learning_rate_init': 0.005, 'max_iter': 1000, 'solver': 'sgd'}"/>
        <s v="{'activation': 'tanh', 'hidden_layer_sizes': (200, 75, 25), 'learning_rate_init': 0.001, 'max_iter': 500, 'solver': 'sgd'}"/>
        <s v="{'activation': 'tanh', 'hidden_layer_sizes': (200, 75, 25), 'learning_rate_init': 0.001, 'max_iter': 1000, 'solver': 'sgd'}"/>
        <s v="{'activation': 'tanh', 'hidden_layer_sizes': (200, 75, 25), 'learning_rate_init': 0.001, 'max_iter': 1500, 'solver': 'sgd'}"/>
        <s v="{'activation': 'tanh', 'hidden_layer_sizes': (200, 75, 25), 'learning_rate_init': 0.005, 'max_iter': 500, 'solver': 'adam'}"/>
        <s v="{'activation': 'tanh', 'hidden_layer_sizes': (200, 75, 25), 'learning_rate_init': 0.005, 'max_iter': 1000, 'solver': 'adam'}"/>
        <s v="{'activation': 'tanh', 'hidden_layer_sizes': (200, 75, 25), 'learning_rate_init': 0.005, 'max_iter': 1500, 'solver': 'adam'}"/>
        <s v="{'activation': 'identity', 'hidden_layer_sizes': (200, 75, 25), 'learning_rate_init': 0.01, 'max_iter': 500, 'solver': 'adam'}"/>
        <s v="{'activation': 'identity', 'hidden_layer_sizes': (200, 75, 25), 'learning_rate_init': 0.01, 'max_iter': 1000, 'solver': 'adam'}"/>
        <s v="{'activation': 'identity', 'hidden_layer_sizes': (200, 75, 25), 'learning_rate_init': 0.01, 'max_iter': 1500, 'solver': 'adam'}"/>
        <s v="{'activation': 'identity', 'hidden_layer_sizes': (200, 100, 50), 'learning_rate_init': 0.01, 'max_iter': 500, 'solver': 'sgd'}"/>
        <s v="{'activation': 'identity', 'hidden_layer_sizes': (200, 100, 50), 'learning_rate_init': 0.01, 'max_iter': 1000, 'solver': 'sgd'}"/>
        <s v="{'activation': 'logistic', 'hidden_layer_sizes': 100, 'learning_rate_init': 0.01, 'max_iter': 500, 'solver': 'sgd'}"/>
        <s v="{'activation': 'tanh', 'hidden_layer_sizes': 150, 'learning_rate_init': 0.01, 'max_iter': 1000, 'solver': 'sgd'}"/>
        <s v="{'activation': 'tanh', 'hidden_layer_sizes': 150, 'learning_rate_init': 0.01, 'max_iter': 500, 'solver': 'sgd'}"/>
        <s v="{'activation': 'tanh', 'hidden_layer_sizes': 150, 'learning_rate_init': 0.005, 'max_iter': 1500, 'solver': 'sgd'}"/>
        <s v="{'activation': 'logistic', 'hidden_layer_sizes': 100, 'learning_rate_init': 0.01, 'max_iter': 500, 'solver': 'adam'}"/>
        <s v="{'activation': 'identity', 'hidden_layer_sizes': 50, 'learning_rate_init': 0.01, 'max_iter': 1500, 'solver': 'adam'}"/>
        <s v="{'activation': 'logistic', 'hidden_layer_sizes': 100, 'learning_rate_init': 0.01, 'max_iter': 1000, 'solver': 'adam'}"/>
        <s v="{'activation': 'identity', 'hidden_layer_sizes': 50, 'learning_rate_init': 0.01, 'max_iter': 500, 'solver': 'adam'}"/>
        <s v="{'activation': 'relu', 'hidden_layer_sizes': (200, 75, 25), 'learning_rate_init': 0.001, 'max_iter': 1500, 'solver': 'adam'}"/>
        <s v="{'activation': 'logistic', 'hidden_layer_sizes': (100, 50), 'learning_rate_init': 0.01, 'max_iter': 1500, 'solver': 'sgd'}"/>
        <s v="{'activation': 'relu', 'hidden_layer_sizes': (200, 75, 25), 'learning_rate_init': 0.001, 'max_iter': 500, 'solver': 'adam'}"/>
        <s v="{'activation': 'logistic', 'hidden_layer_sizes': 100, 'learning_rate_init': 0.01, 'max_iter': 1500, 'solver': 'sgd'}"/>
        <s v="{'activation': 'logistic', 'hidden_layer_sizes': (100, 50), 'learning_rate_init': 0.01, 'max_iter': 1000, 'solver': 'sgd'}"/>
        <s v="{'activation': 'logistic', 'hidden_layer_sizes': 100, 'learning_rate_init': 0.01, 'max_iter': 1500, 'solver': 'adam'}"/>
        <s v="{'activation': 'relu', 'hidden_layer_sizes': (200, 75, 25), 'learning_rate_init': 0.001, 'max_iter': 1000, 'solver': 'adam'}"/>
        <s v="{'activation': 'logistic', 'hidden_layer_sizes': 100, 'learning_rate_init': 0.01, 'max_iter': 1000, 'solver': 'sgd'}"/>
        <s v="{'activation': 'tanh', 'hidden_layer_sizes': 150, 'learning_rate_init': 0.005, 'max_iter': 1000, 'solver': 'adam'}"/>
        <s v="{'activation': 'identity', 'hidden_layer_sizes': (200, 75, 25), 'learning_rate_init': 0.001, 'max_iter': 500, 'solver': 'adam'}"/>
        <s v="{'activation': 'identity', 'hidden_layer_sizes': (200, 75, 25), 'learning_rate_init': 0.001, 'max_iter': 1500, 'solver': 'adam'}"/>
        <s v="{'activation': 'logistic', 'hidden_layer_sizes': 100, 'learning_rate_init': 0.001, 'max_iter': 1500, 'solver': 'sgd'}"/>
        <s v="{'activation': 'identity', 'hidden_layer_sizes': (100, 50), 'learning_rate_init': 0.01, 'max_iter': 1500, 'solver': 'adam'}"/>
        <s v="{'activation': 'tanh', 'hidden_layer_sizes': 150, 'learning_rate_init': 0.005, 'max_iter': 500, 'solver': 'adam'}"/>
        <s v="{'activation': 'identity', 'hidden_layer_sizes': (100, 50), 'learning_rate_init': 0.01, 'max_iter': 1000, 'solver': 'adam'}"/>
        <s v="{'activation': 'logistic', 'hidden_layer_sizes': (200, 75, 25), 'learning_rate_init': 0.005, 'max_iter': 1500, 'solver': 'adam'}"/>
        <s v="{'activation': 'tanh', 'hidden_layer_sizes': 150, 'learning_rate_init': 0.005, 'max_iter': 1500, 'solver': 'adam'}"/>
        <s v="{'activation': 'identity', 'hidden_layer_sizes': (200, 75, 25), 'learning_rate_init': 0.001, 'max_iter': 1000, 'solver': 'adam'}"/>
        <s v="{'activation': 'identity', 'hidden_layer_sizes': (100, 50), 'learning_rate_init': 0.01, 'max_iter': 500, 'solver': 'adam'}"/>
        <s v="{'activation': 'logistic', 'hidden_layer_sizes': (200, 75, 25), 'learning_rate_init': 0.005, 'max_iter': 1000, 'solver': 'adam'}"/>
        <s v="{'activation': 'logistic', 'hidden_layer_sizes': (200, 75, 25), 'learning_rate_init': 0.005, 'max_iter': 500, 'solver': 'adam'}"/>
        <s v="{'activation': 'logistic', 'hidden_layer_sizes': (200, 75, 25), 'learning_rate_init': 0.01, 'max_iter': 500, 'solver': 'adam'}"/>
        <s v="{'activation': 'logistic', 'hidden_layer_sizes': (200, 75, 25), 'learning_rate_init': 0.01, 'max_iter': 1000, 'solver': 'adam'}"/>
        <s v="{'activation': 'logistic', 'hidden_layer_sizes': (200, 75, 25), 'learning_rate_init': 0.01, 'max_iter': 1500, 'solver': 'adam'}"/>
        <s v="{'activation': 'identity', 'hidden_layer_sizes': (200, 75, 25), 'learning_rate_init': 0.001, 'max_iter': 500, 'solver': 'sgd'}"/>
        <s v="{'activation': 'identity', 'hidden_layer_sizes': 50, 'learning_rate_init': 0.001, 'max_iter': 1000, 'solver': 'sgd'}"/>
        <s v="{'activation': 'tanh', 'hidden_layer_sizes': 100, 'learning_rate_init': 0.005, 'max_iter': 1500, 'solver': 'adam'}"/>
        <s v="{'activation': 'tanh', 'hidden_layer_sizes': 100, 'learning_rate_init': 0.005, 'max_iter': 1000, 'solver': 'adam'}"/>
        <s v="{'activation': 'identity', 'hidden_layer_sizes': 50, 'learning_rate_init': 0.001, 'max_iter': 500, 'solver': 'sgd'}"/>
        <s v="{'activation': 'tanh', 'hidden_layer_sizes': (200, 75, 25), 'learning_rate_init': 0.001, 'max_iter': 500, 'solver': 'adam'}"/>
        <s v="{'activation': 'tanh', 'hidden_layer_sizes': (200, 75, 25), 'learning_rate_init': 0.001, 'max_iter': 1000, 'solver': 'adam'}"/>
        <s v="{'activation': 'tanh', 'hidden_layer_sizes': (200, 75, 25), 'learning_rate_init': 0.001, 'max_iter': 1500, 'solver': 'adam'}"/>
        <s v="{'activation': 'identity', 'hidden_layer_sizes': 50, 'learning_rate_init': 0.001, 'max_iter': 1500, 'solver': 'sgd'}"/>
        <s v="{'activation': 'tanh', 'hidden_layer_sizes': 100, 'learning_rate_init': 0.005, 'max_iter': 500, 'solver': 'adam'}"/>
        <s v="{'activation': 'identity', 'hidden_layer_sizes': (200, 75, 25), 'learning_rate_init': 0.001, 'max_iter': 1000, 'solver': 'sgd'}"/>
        <s v="{'activation': 'identity', 'hidden_layer_sizes': (200, 75, 25), 'learning_rate_init': 0.001, 'max_iter': 1500, 'solver': 'sgd'}"/>
        <s v="{'activation': 'tanh', 'hidden_layer_sizes': 50, 'learning_rate_init': 0.01, 'max_iter': 500, 'solver': 'adam'}"/>
        <s v="{'activation': 'tanh', 'hidden_layer_sizes': 50, 'learning_rate_init': 0.01, 'max_iter': 1000, 'solver': 'adam'}"/>
        <s v="{'activation': 'relu', 'hidden_layer_sizes': 50, 'learning_rate_init': 0.001, 'max_iter': 1000, 'solver': 'sgd'}"/>
        <s v="{'activation': 'relu', 'hidden_layer_sizes': 50, 'learning_rate_init': 0.001, 'max_iter': 1500, 'solver': 'sgd'}"/>
        <s v="{'activation': 'relu', 'hidden_layer_sizes': 50, 'learning_rate_init': 0.001, 'max_iter': 500, 'solver': 'sgd'}"/>
        <s v="{'activation': 'tanh', 'hidden_layer_sizes': 50, 'learning_rate_init': 0.01, 'max_iter': 1500, 'solver': 'adam'}"/>
        <s v="{'activation': 'relu', 'hidden_layer_sizes': (150, 75), 'learning_rate_init': 0.005, 'max_iter': 1500, 'solver': 'adam'}"/>
        <s v="{'activation': 'relu', 'hidden_layer_sizes': (150, 75), 'learning_rate_init': 0.005, 'max_iter': 1000, 'solver': 'adam'}"/>
        <s v="{'activation': 'relu', 'hidden_layer_sizes': 50, 'learning_rate_init': 0.001, 'max_iter': 500, 'solver': 'adam'}"/>
        <s v="{'activation': 'relu', 'hidden_layer_sizes': 50, 'learning_rate_init': 0.001, 'max_iter': 1500, 'solver': 'adam'}"/>
        <s v="{'activation': 'relu', 'hidden_layer_sizes': 50, 'learning_rate_init': 0.001, 'max_iter': 1000, 'solver': 'adam'}"/>
        <s v="{'activation': 'relu', 'hidden_layer_sizes': (150, 75), 'learning_rate_init': 0.005, 'max_iter': 500, 'solver': 'adam'}"/>
        <s v="{'activation': 'logistic', 'hidden_layer_sizes': (100, 50), 'learning_rate_init': 0.01, 'max_iter': 500, 'solver': 'adam'}"/>
        <s v="{'activation': 'logistic', 'hidden_layer_sizes': (100, 50), 'learning_rate_init': 0.01, 'max_iter': 1000, 'solver': 'adam'}"/>
        <s v="{'activation': 'logistic', 'hidden_layer_sizes': (100, 50), 'learning_rate_init': 0.01, 'max_iter': 1500, 'solver': 'adam'}"/>
        <s v="{'activation': 'logistic', 'hidden_layer_sizes': (100, 50), 'learning_rate_init': 0.005, 'max_iter': 1000, 'solver': 'adam'}"/>
        <s v="{'activation': 'logistic', 'hidden_layer_sizes': (100, 50), 'learning_rate_init': 0.005, 'max_iter': 1500, 'solver': 'adam'}"/>
        <s v="{'activation': 'logistic', 'hidden_layer_sizes': (100, 50), 'learning_rate_init': 0.005, 'max_iter': 500, 'solver': 'adam'}"/>
        <s v="{'activation': 'relu', 'hidden_layer_sizes': (200, 75, 25), 'learning_rate_init': 0.01, 'max_iter': 500, 'solver': 'sgd'}"/>
        <s v="{'activation': 'identity', 'hidden_layer_sizes': 100, 'learning_rate_init': 0.005, 'max_iter': 500, 'solver': 'adam'}"/>
        <s v="{'activation': 'relu', 'hidden_layer_sizes': (200, 75, 25), 'learning_rate_init': 0.01, 'max_iter': 1000, 'solver': 'sgd'}"/>
        <s v="{'activation': 'relu', 'hidden_layer_sizes': (200, 75, 25), 'learning_rate_init': 0.01, 'max_iter': 1500, 'solver': 'sgd'}"/>
        <s v="{'activation': 'tanh', 'hidden_layer_sizes': (200, 100), 'learning_rate_init': 0.01, 'max_iter': 1500, 'solver': 'adam'}"/>
        <s v="{'activation': 'tanh', 'hidden_layer_sizes': (200, 100), 'learning_rate_init': 0.01, 'max_iter': 1000, 'solver': 'adam'}"/>
        <s v="{'activation': 'relu', 'hidden_layer_sizes': (200, 100), 'learning_rate_init': 0.005, 'max_iter': 500, 'solver': 'sgd'}"/>
        <s v="{'activation': 'identity', 'hidden_layer_sizes': 100, 'learning_rate_init': 0.005, 'max_iter': 1000, 'solver': 'adam'}"/>
        <s v="{'activation': 'tanh', 'hidden_layer_sizes': (200, 100), 'learning_rate_init': 0.01, 'max_iter': 500, 'solver': 'adam'}"/>
        <s v="{'activation': 'relu', 'hidden_layer_sizes': (200, 100), 'learning_rate_init': 0.005, 'max_iter': 1500, 'solver': 'sgd'}"/>
        <s v="{'activation': 'identity', 'hidden_layer_sizes': 100, 'learning_rate_init': 0.005, 'max_iter': 1500, 'solver': 'adam'}"/>
        <s v="{'activation': 'relu', 'hidden_layer_sizes': (200, 100), 'learning_rate_init': 0.005, 'max_iter': 1000, 'solver': 'sgd'}"/>
        <s v="{'activation': 'relu', 'hidden_layer_sizes': (200, 100), 'learning_rate_init': 0.001, 'max_iter': 1000, 'solver': 'adam'}"/>
        <s v="{'activation': 'relu', 'hidden_layer_sizes': (200, 100), 'learning_rate_init': 0.001, 'max_iter': 500, 'solver': 'adam'}"/>
        <s v="{'activation': 'relu', 'hidden_layer_sizes': (200, 100), 'learning_rate_init': 0.001, 'max_iter': 1500, 'solver': 'adam'}"/>
        <s v="{'activation': 'relu', 'hidden_layer_sizes': (100, 50), 'learning_rate_init': 0.001, 'max_iter': 500, 'solver': 'adam'}"/>
        <s v="{'activation': 'relu', 'hidden_layer_sizes': (100, 50), 'learning_rate_init': 0.001, 'max_iter': 1000, 'solver': 'adam'}"/>
        <s v="{'activation': 'relu', 'hidden_layer_sizes': (100, 50), 'learning_rate_init': 0.001, 'max_iter': 1500, 'solver': 'adam'}"/>
        <s v="{'activation': 'identity', 'hidden_layer_sizes': 50, 'learning_rate_init': 0.005, 'max_iter': 1500, 'solver': 'sgd'}"/>
        <s v="{'activation': 'identity', 'hidden_layer_sizes': (200, 100), 'learning_rate_init': 0.01, 'max_iter': 500, 'solver': 'sgd'}"/>
        <s v="{'activation': 'identity', 'hidden_layer_sizes': 50, 'learning_rate_init': 0.005, 'max_iter': 1000, 'solver': 'sgd'}"/>
        <s v="{'activation': 'identity', 'hidden_layer_sizes': 50, 'learning_rate_init': 0.005, 'max_iter': 500, 'solver': 'sgd'}"/>
        <s v="{'activation': 'logistic', 'hidden_layer_sizes': 50, 'learning_rate_init': 0.01, 'max_iter': 1500, 'solver': 'adam'}"/>
        <s v="{'activation': 'logistic', 'hidden_layer_sizes': 50, 'learning_rate_init': 0.01, 'max_iter': 1000, 'solver': 'adam'}"/>
        <s v="{'activation': 'logistic', 'hidden_layer_sizes': 50, 'learning_rate_init': 0.01, 'max_iter': 500, 'solver': 'adam'}"/>
        <s v="{'activation': 'identity', 'hidden_layer_sizes': (200, 100), 'learning_rate_init': 0.01, 'max_iter': 1500, 'solver': 'sgd'}"/>
        <s v="{'activation': 'identity', 'hidden_layer_sizes': (200, 100), 'learning_rate_init': 0.01, 'max_iter': 1000, 'solver': 'sgd'}"/>
        <s v="{'activation': 'logistic', 'hidden_layer_sizes': 50, 'learning_rate_init': 0.001, 'max_iter': 1500, 'solver': 'adam'}"/>
        <s v="{'activation': 'relu', 'hidden_layer_sizes': (100, 50), 'learning_rate_init': 0.005, 'max_iter': 1500, 'solver': 'sgd'}"/>
        <s v="{'activation': 'logistic', 'hidden_layer_sizes': 50, 'learning_rate_init': 0.001, 'max_iter': 1000, 'solver': 'adam'}"/>
        <s v="{'activation': 'relu', 'hidden_layer_sizes': (100, 50), 'learning_rate_init': 0.005, 'max_iter': 1000, 'solver': 'sgd'}"/>
        <s v="{'activation': 'tanh', 'hidden_layer_sizes': (150, 75), 'learning_rate_init': 0.001, 'max_iter': 1500, 'solver': 'adam'}"/>
        <s v="{'activation': 'relu', 'hidden_layer_sizes': (100, 50), 'learning_rate_init': 0.005, 'max_iter': 500, 'solver': 'sgd'}"/>
        <s v="{'activation': 'tanh', 'hidden_layer_sizes': (150, 75), 'learning_rate_init': 0.001, 'max_iter': 1000, 'solver': 'adam'}"/>
        <s v="{'activation': 'logistic', 'hidden_layer_sizes': (150, 75), 'learning_rate_init': 0.001, 'max_iter': 1500, 'solver': 'adam'}"/>
        <s v="{'activation': 'tanh', 'hidden_layer_sizes': (150, 75), 'learning_rate_init': 0.001, 'max_iter': 500, 'solver': 'adam'}"/>
        <s v="{'activation': 'logistic', 'hidden_layer_sizes': (150, 75), 'learning_rate_init': 0.001, 'max_iter': 1000, 'solver': 'adam'}"/>
        <s v="{'activation': 'logistic', 'hidden_layer_sizes': (150, 75), 'learning_rate_init': 0.001, 'max_iter': 500, 'solver': 'adam'}"/>
        <s v="{'activation': 'logistic', 'hidden_layer_sizes': 50, 'learning_rate_init': 0.001, 'max_iter': 500, 'solver': 'adam'}"/>
        <s v="{'activation': 'identity', 'hidden_layer_sizes': 100, 'learning_rate_init': 0.01, 'max_iter': 1000, 'solver': 'adam'}"/>
        <s v="{'activation': 'identity', 'hidden_layer_sizes': 100, 'learning_rate_init': 0.01, 'max_iter': 500, 'solver': 'adam'}"/>
        <s v="{'activation': 'relu', 'hidden_layer_sizes': 100, 'learning_rate_init': 0.01, 'max_iter': 500, 'solver': 'adam'}"/>
        <s v="{'activation': 'identity', 'hidden_layer_sizes': 100, 'learning_rate_init': 0.01, 'max_iter': 1500, 'solver': 'adam'}"/>
        <s v="{'activation': 'relu', 'hidden_layer_sizes': 100, 'learning_rate_init': 0.01, 'max_iter': 1000, 'solver': 'adam'}"/>
        <s v="{'activation': 'relu', 'hidden_layer_sizes': 150, 'learning_rate_init': 0.001, 'max_iter': 1000, 'solver': 'adam'}"/>
        <s v="{'activation': 'relu', 'hidden_layer_sizes': 150, 'learning_rate_init': 0.001, 'max_iter': 500, 'solver': 'adam'}"/>
        <s v="{'activation': 'relu', 'hidden_layer_sizes': 100, 'learning_rate_init': 0.01, 'max_iter': 1500, 'solver': 'adam'}"/>
        <s v="{'activation': 'relu', 'hidden_layer_sizes': 150, 'learning_rate_init': 0.001, 'max_iter': 1500, 'solver': 'adam'}"/>
        <s v="{'activation': 'tanh', 'hidden_layer_sizes': (200, 100), 'learning_rate_init': 0.005, 'max_iter': 1500, 'solver': 'adam'}"/>
        <s v="{'activation': 'tanh', 'hidden_layer_sizes': 50, 'learning_rate_init': 0.01, 'max_iter': 1000, 'solver': 'sgd'}"/>
        <s v="{'activation': 'tanh', 'hidden_layer_sizes': (200, 100), 'learning_rate_init': 0.005, 'max_iter': 1000, 'solver': 'adam'}"/>
        <s v="{'activation': 'tanh', 'hidden_layer_sizes': 50, 'learning_rate_init': 0.01, 'max_iter': 1500, 'solver': 'sgd'}"/>
        <s v="{'activation': 'tanh', 'hidden_layer_sizes': (200, 100), 'learning_rate_init': 0.005, 'max_iter': 500, 'solver': 'adam'}"/>
        <s v="{'activation': 'tanh', 'hidden_layer_sizes': 50, 'learning_rate_init': 0.01, 'max_iter': 500, 'solver': 'sgd'}"/>
        <s v="{'activation': 'tanh', 'hidden_layer_sizes': 100, 'learning_rate_init': 0.01, 'max_iter': 500, 'solver': 'adam'}"/>
        <s v="{'activation': 'logistic', 'hidden_layer_sizes': (150, 75), 'learning_rate_init': 0.005, 'max_iter': 500, 'solver': 'adam'}"/>
        <s v="{'activation': 'logistic', 'hidden_layer_sizes': (150, 75), 'learning_rate_init': 0.005, 'max_iter': 1000, 'solver': 'adam'}"/>
        <s v="{'activation': 'logistic', 'hidden_layer_sizes': (150, 75), 'learning_rate_init': 0.005, 'max_iter': 1500, 'solver': 'adam'}"/>
        <s v="{'activation': 'identity', 'hidden_layer_sizes': (100, 50), 'learning_rate_init': 0.005, 'max_iter': 1500, 'solver': 'sgd'}"/>
        <s v="{'activation': 'tanh', 'hidden_layer_sizes': (200, 100), 'learning_rate_init': 0.001, 'max_iter': 500, 'solver': 'adam'}"/>
        <s v="{'activation': 'tanh', 'hidden_layer_sizes': (200, 100), 'learning_rate_init': 0.001, 'max_iter': 1000, 'solver': 'adam'}"/>
        <s v="{'activation': 'tanh', 'hidden_layer_sizes': 100, 'learning_rate_init': 0.01, 'max_iter': 1000, 'solver': 'adam'}"/>
        <s v="{'activation': 'tanh', 'hidden_layer_sizes': (200, 100), 'learning_rate_init': 0.001, 'max_iter': 1500, 'solver': 'adam'}"/>
        <s v="{'activation': 'tanh', 'hidden_layer_sizes': 100, 'learning_rate_init': 0.01, 'max_iter': 1500, 'solver': 'adam'}"/>
        <s v="{'activation': 'logistic', 'hidden_layer_sizes': 150, 'learning_rate_init': 0.005, 'max_iter': 500, 'solver': 'adam'}"/>
        <s v="{'activation': 'logistic', 'hidden_layer_sizes': 150, 'learning_rate_init': 0.005, 'max_iter': 1500, 'solver': 'adam'}"/>
        <s v="{'activation': 'identity', 'hidden_layer_sizes': (100, 50), 'learning_rate_init': 0.005, 'max_iter': 500, 'solver': 'sgd'}"/>
        <s v="{'activation': 'logistic', 'hidden_layer_sizes': 150, 'learning_rate_init': 0.005, 'max_iter': 1000, 'solver': 'adam'}"/>
        <s v="{'activation': 'identity', 'hidden_layer_sizes': (100, 50), 'learning_rate_init': 0.005, 'max_iter': 1000, 'solver': 'sgd'}"/>
        <s v="{'activation': 'relu', 'hidden_layer_sizes': (100, 50), 'learning_rate_init': 0.001, 'max_iter': 1000, 'solver': 'sgd'}"/>
        <s v="{'activation': 'relu', 'hidden_layer_sizes': (100, 50), 'learning_rate_init': 0.001, 'max_iter': 500, 'solver': 'sgd'}"/>
        <s v="{'activation': 'logistic', 'hidden_layer_sizes': (200, 100, 50), 'learning_rate_init': 0.001, 'max_iter': 500, 'solver': 'adam'}"/>
        <s v="{'activation': 'relu', 'hidden_layer_sizes': (100, 50), 'learning_rate_init': 0.001, 'max_iter': 1500, 'solver': 'sgd'}"/>
        <s v="{'activation': 'logistic', 'hidden_layer_sizes': (200, 100, 50), 'learning_rate_init': 0.001, 'max_iter': 1000, 'solver': 'adam'}"/>
        <s v="{'activation': 'logistic', 'hidden_layer_sizes': (200, 100, 50), 'learning_rate_init': 0.001, 'max_iter': 1500, 'solver': 'adam'}"/>
        <s v="{'activation': 'identity', 'hidden_layer_sizes': (200, 100, 50), 'learning_rate_init': 0.005, 'max_iter': 500, 'solver': 'adam'}"/>
        <s v="{'activation': 'identity', 'hidden_layer_sizes': (200, 100, 50), 'learning_rate_init': 0.005, 'max_iter': 1000, 'solver': 'adam'}"/>
        <s v="{'activation': 'relu', 'hidden_layer_sizes': 150, 'learning_rate_init': 0.01, 'max_iter': 1000, 'solver': 'adam'}"/>
        <s v="{'activation': 'identity', 'hidden_layer_sizes': (200, 100, 50), 'learning_rate_init': 0.005, 'max_iter': 1500, 'solver': 'adam'}"/>
        <s v="{'activation': 'identity', 'hidden_layer_sizes': 50, 'learning_rate_init': 0.005, 'max_iter': 1500, 'solver': 'adam'}"/>
        <s v="{'activation': 'identity', 'hidden_layer_sizes': 50, 'learning_rate_init': 0.005, 'max_iter': 500, 'solver': 'adam'}"/>
        <s v="{'activation': 'relu', 'hidden_layer_sizes': 150, 'learning_rate_init': 0.01, 'max_iter': 500, 'solver': 'adam'}"/>
        <s v="{'activation': 'relu', 'hidden_layer_sizes': 150, 'learning_rate_init': 0.01, 'max_iter': 1500, 'solver': 'adam'}"/>
        <s v="{'activation': 'identity', 'hidden_layer_sizes': 50, 'learning_rate_init': 0.005, 'max_iter': 1000, 'solver': 'adam'}"/>
        <s v="{'activation': 'identity', 'hidden_layer_sizes': 100, 'learning_rate_init': 0.001, 'max_iter': 500, 'solver': 'adam'}"/>
        <s v="{'activation': 'relu', 'hidden_layer_sizes': 100, 'learning_rate_init': 0.001, 'max_iter': 1500, 'solver': 'sgd'}"/>
        <s v="{'activation': 'relu', 'hidden_layer_sizes': 100, 'learning_rate_init': 0.001, 'max_iter': 1000, 'solver': 'sgd'}"/>
        <s v="{'activation': 'logistic', 'hidden_layer_sizes': (200, 100), 'learning_rate_init': 0.01, 'max_iter': 1500, 'solver': 'adam'}"/>
        <s v="{'activation': 'relu', 'hidden_layer_sizes': 100, 'learning_rate_init': 0.001, 'max_iter': 500, 'solver': 'sgd'}"/>
        <s v="{'activation': 'logistic', 'hidden_layer_sizes': (150, 75), 'learning_rate_init': 0.005, 'max_iter': 1000, 'solver': 'sgd'}"/>
        <s v="{'activation': 'logistic', 'hidden_layer_sizes': (200, 100), 'learning_rate_init': 0.01, 'max_iter': 500, 'solver': 'adam'}"/>
        <s v="{'activation': 'logistic', 'hidden_layer_sizes': (150, 75), 'learning_rate_init': 0.005, 'max_iter': 1500, 'solver': 'sgd'}"/>
        <s v="{'activation': 'logistic', 'hidden_layer_sizes': (200, 100), 'learning_rate_init': 0.01, 'max_iter': 1000, 'solver': 'adam'}"/>
        <s v="{'activation': 'identity', 'hidden_layer_sizes': 100, 'learning_rate_init': 0.001, 'max_iter': 1500, 'solver': 'adam'}"/>
        <s v="{'activation': 'identity', 'hidden_layer_sizes': 100, 'learning_rate_init': 0.001, 'max_iter': 1000, 'solver': 'adam'}"/>
        <s v="{'activation': 'logistic', 'hidden_layer_sizes': 150, 'learning_rate_init': 0.001, 'max_iter': 1500, 'solver': 'adam'}"/>
        <s v="{'activation': 'logistic', 'hidden_layer_sizes': 150, 'learning_rate_init': 0.001, 'max_iter': 500, 'solver': 'adam'}"/>
        <s v="{'activation': 'tanh', 'hidden_layer_sizes': 150, 'learning_rate_init': 0.001, 'max_iter': 1000, 'solver': 'adam'}"/>
        <s v="{'activation': 'tanh', 'hidden_layer_sizes': 150, 'learning_rate_init': 0.001, 'max_iter': 500, 'solver': 'adam'}"/>
        <s v="{'activation': 'logistic', 'hidden_layer_sizes': 150, 'learning_rate_init': 0.001, 'max_iter': 1000, 'solver': 'adam'}"/>
        <s v="{'activation': 'tanh', 'hidden_layer_sizes': 150, 'learning_rate_init': 0.001, 'max_iter': 1500, 'solver': 'adam'}"/>
        <s v="{'activation': 'identity', 'hidden_layer_sizes': (150, 75), 'learning_rate_init': 0.01, 'max_iter': 1000, 'solver': 'sgd'}"/>
        <s v="{'activation': 'logistic', 'hidden_layer_sizes': (200, 75, 25), 'learning_rate_init': 0.001, 'max_iter': 500, 'solver': 'adam'}"/>
        <s v="{'activation': 'logistic', 'hidden_layer_sizes': (200, 75, 25), 'learning_rate_init': 0.001, 'max_iter': 1500, 'solver': 'adam'}"/>
        <s v="{'activation': 'logistic', 'hidden_layer_sizes': (200, 75, 25), 'learning_rate_init': 0.001, 'max_iter': 1000, 'solver': 'adam'}"/>
        <s v="{'activation': 'tanh', 'hidden_layer_sizes': 50, 'learning_rate_init': 0.001, 'max_iter': 1500, 'solver': 'sgd'}"/>
        <s v="{'activation': 'tanh', 'hidden_layer_sizes': 50, 'learning_rate_init': 0.001, 'max_iter': 1000, 'solver': 'sgd'}"/>
        <s v="{'activation': 'identity', 'hidden_layer_sizes': (150, 75), 'learning_rate_init': 0.01, 'max_iter': 500, 'solver': 'sgd'}"/>
        <s v="{'activation': 'identity', 'hidden_layer_sizes': (150, 75), 'learning_rate_init': 0.01, 'max_iter': 1500, 'solver': 'sgd'}"/>
        <s v="{'activation': 'logistic', 'hidden_layer_sizes': (200, 100), 'learning_rate_init': 0.005, 'max_iter': 500, 'solver': 'adam'}"/>
        <s v="{'activation': 'logistic', 'hidden_layer_sizes': (200, 100), 'learning_rate_init': 0.005, 'max_iter': 1000, 'solver': 'adam'}"/>
        <s v="{'activation': 'logistic', 'hidden_layer_sizes': (200, 100), 'learning_rate_init': 0.005, 'max_iter': 1500, 'solver': 'adam'}"/>
        <s v="{'activation': 'tanh', 'hidden_layer_sizes': 150, 'learning_rate_init': 0.01, 'max_iter': 1000, 'solver': 'adam'}"/>
        <s v="{'activation': 'tanh', 'hidden_layer_sizes': 150, 'learning_rate_init': 0.01, 'max_iter': 1500, 'solver': 'adam'}"/>
        <s v="{'activation': 'tanh', 'hidden_layer_sizes': 150, 'learning_rate_init': 0.01, 'max_iter': 500, 'solver': 'adam'}"/>
        <s v="{'activation': 'relu', 'hidden_layer_sizes': 100, 'learning_rate_init': 0.005, 'max_iter': 1500, 'solver': 'adam'}"/>
        <s v="{'activation': 'identity', 'hidden_layer_sizes': (100, 50), 'learning_rate_init': 0.001, 'max_iter': 1500, 'solver': 'adam'}"/>
        <s v="{'activation': 'relu', 'hidden_layer_sizes': 100, 'learning_rate_init': 0.005, 'max_iter': 1000, 'solver': 'adam'}"/>
        <s v="{'activation': 'logistic', 'hidden_layer_sizes': (150, 75), 'learning_rate_init': 0.01, 'max_iter': 500, 'solver': 'sgd'}"/>
        <s v="{'activation': 'logistic', 'hidden_layer_sizes': (150, 75), 'learning_rate_init': 0.01, 'max_iter': 1000, 'solver': 'sgd'}"/>
        <s v="{'activation': 'identity', 'hidden_layer_sizes': (100, 50), 'learning_rate_init': 0.001, 'max_iter': 500, 'solver': 'adam'}"/>
        <s v="{'activation': 'identity', 'hidden_layer_sizes': (100, 50), 'learning_rate_init': 0.001, 'max_iter': 1000, 'solver': 'adam'}"/>
        <s v="{'activation': 'relu', 'hidden_layer_sizes': 100, 'learning_rate_init': 0.005, 'max_iter': 500, 'solver': 'adam'}"/>
        <s v="{'activation': 'logistic', 'hidden_layer_sizes': (150, 75), 'learning_rate_init': 0.01, 'max_iter': 1500, 'solver': 'sgd'}"/>
        <s v="{'activation': 'logistic', 'hidden_layer_sizes': (150, 75), 'learning_rate_init': 0.01, 'max_iter': 1500, 'solver': 'adam'}"/>
        <s v="{'activation': 'logistic', 'hidden_layer_sizes': (150, 75), 'learning_rate_init': 0.01, 'max_iter': 1000, 'solver': 'adam'}"/>
        <s v="{'activation': 'logistic', 'hidden_layer_sizes': (150, 75), 'learning_rate_init': 0.01, 'max_iter': 500, 'solver': 'adam'}"/>
        <s v="{'activation': 'relu', 'hidden_layer_sizes': (100, 50), 'learning_rate_init': 0.005, 'max_iter': 1500, 'solver': 'adam'}"/>
        <s v="{'activation': 'relu', 'hidden_layer_sizes': (150, 75), 'learning_rate_init': 0.001, 'max_iter': 500, 'solver': 'sgd'}"/>
        <s v="{'activation': 'relu', 'hidden_layer_sizes': (150, 75), 'learning_rate_init': 0.001, 'max_iter': 1000, 'solver': 'sgd'}"/>
        <s v="{'activation': 'relu', 'hidden_layer_sizes': (150, 75), 'learning_rate_init': 0.001, 'max_iter': 1500, 'solver': 'sgd'}"/>
        <s v="{'activation': 'relu', 'hidden_layer_sizes': (100, 50), 'learning_rate_init': 0.005, 'max_iter': 1000, 'solver': 'adam'}"/>
        <s v="{'activation': 'relu', 'hidden_layer_sizes': (100, 50), 'learning_rate_init': 0.005, 'max_iter': 500, 'solver': 'adam'}"/>
        <s v="{'activation': 'identity', 'hidden_layer_sizes': (200, 75, 25), 'learning_rate_init': 0.005, 'max_iter': 1000, 'solver': 'adam'}"/>
        <s v="{'activation': 'identity', 'hidden_layer_sizes': (200, 75, 25), 'learning_rate_init': 0.005, 'max_iter': 1500, 'solver': 'adam'}"/>
        <s v="{'activation': 'identity', 'hidden_layer_sizes': (200, 75, 25), 'learning_rate_init': 0.005, 'max_iter': 500, 'solver': 'adam'}"/>
        <s v="{'activation': 'tanh', 'hidden_layer_sizes': 100, 'learning_rate_init': 0.001, 'max_iter': 1500, 'solver': 'sgd'}"/>
        <s v="{'activation': 'tanh', 'hidden_layer_sizes': 100, 'learning_rate_init': 0.001, 'max_iter': 1000, 'solver': 'sgd'}"/>
        <s v="{'activation': 'relu', 'hidden_layer_sizes': (200, 100), 'learning_rate_init': 0.001, 'max_iter': 500, 'solver': 'sgd'}"/>
        <s v="{'activation': 'relu', 'hidden_layer_sizes': (200, 100), 'learning_rate_init': 0.001, 'max_iter': 1500, 'solver': 'sgd'}"/>
        <s v="{'activation': 'relu', 'hidden_layer_sizes': (200, 100), 'learning_rate_init': 0.001, 'max_iter': 1000, 'solver': 'sgd'}"/>
        <s v="{'activation': 'tanh', 'hidden_layer_sizes': (100, 50), 'learning_rate_init': 0.01, 'max_iter': 1000, 'solver': 'adam'}"/>
        <s v="{'activation': 'tanh', 'hidden_layer_sizes': (100, 50), 'learning_rate_init': 0.01, 'max_iter': 500, 'solver': 'adam'}"/>
        <s v="{'activation': 'tanh', 'hidden_layer_sizes': (100, 50), 'learning_rate_init': 0.01, 'max_iter': 1500, 'solver': 'adam'}"/>
        <s v="{'activation': 'identity', 'hidden_layer_sizes': (200, 100), 'learning_rate_init': 0.005, 'max_iter': 500, 'solver': 'sgd'}"/>
        <s v="{'activation': 'identity', 'hidden_layer_sizes': (200, 100), 'learning_rate_init': 0.005, 'max_iter': 1500, 'solver': 'sgd'}"/>
        <s v="{'activation': 'tanh', 'hidden_layer_sizes': (150, 75), 'learning_rate_init': 0.01, 'max_iter': 500, 'solver': 'adam'}"/>
        <s v="{'activation': 'identity', 'hidden_layer_sizes': (200, 100, 50), 'learning_rate_init': 0.01, 'max_iter': 1500, 'solver': 'adam'}"/>
        <s v="{'activation': 'identity', 'hidden_layer_sizes': (200, 100, 50), 'learning_rate_init': 0.01, 'max_iter': 1000, 'solver': 'adam'}"/>
        <s v="{'activation': 'identity', 'hidden_layer_sizes': (200, 100, 50), 'learning_rate_init': 0.01, 'max_iter': 500, 'solver': 'adam'}"/>
        <s v="{'activation': 'identity', 'hidden_layer_sizes': (200, 100), 'learning_rate_init': 0.005, 'max_iter': 1000, 'solver': 'sgd'}"/>
        <s v="{'activation': 'tanh', 'hidden_layer_sizes': (150, 75), 'learning_rate_init': 0.01, 'max_iter': 1000, 'solver': 'adam'}"/>
        <s v="{'activation': 'tanh', 'hidden_layer_sizes': (150, 75), 'learning_rate_init': 0.01, 'max_iter': 1500, 'solver': 'adam'}"/>
        <s v="{'activation': 'tanh', 'hidden_layer_sizes': (200, 100, 50), 'learning_rate_init': 0.01, 'max_iter': 1000, 'solver': 'adam'}"/>
        <s v="{'activation': 'tanh', 'hidden_layer_sizes': (200, 100, 50), 'learning_rate_init': 0.01, 'max_iter': 1500, 'solver': 'adam'}"/>
        <s v="{'activation': 'tanh', 'hidden_layer_sizes': (200, 100, 50), 'learning_rate_init': 0.01, 'max_iter': 500, 'solver': 'adam'}"/>
        <s v="{'activation': 'relu', 'hidden_layer_sizes': 150, 'learning_rate_init': 0.001, 'max_iter': 500, 'solver': 'sgd'}"/>
        <s v="{'activation': 'relu', 'hidden_layer_sizes': 150, 'learning_rate_init': 0.001, 'max_iter': 1000, 'solver': 'sgd'}"/>
        <s v="{'activation': 'relu', 'hidden_layer_sizes': 150, 'learning_rate_init': 0.001, 'max_iter': 1500, 'solver': 'sgd'}"/>
        <s v="{'activation': 'relu', 'hidden_layer_sizes': (150, 75), 'learning_rate_init': 0.01, 'max_iter': 500, 'solver': 'sgd'}"/>
        <s v="{'activation': 'relu', 'hidden_layer_sizes': (150, 75), 'learning_rate_init': 0.01, 'max_iter': 1000, 'solver': 'sgd'}"/>
        <s v="{'activation': 'tanh', 'hidden_layer_sizes': (200, 100), 'learning_rate_init': 0.01, 'max_iter': 1500, 'solver': 'sgd'}"/>
        <s v="{'activation': 'tanh', 'hidden_layer_sizes': (200, 100), 'learning_rate_init': 0.01, 'max_iter': 1000, 'solver': 'sgd'}"/>
        <s v="{'activation': 'relu', 'hidden_layer_sizes': (150, 75), 'learning_rate_init': 0.01, 'max_iter': 1500, 'solver': 'sgd'}"/>
        <s v="{'activation': 'relu', 'hidden_layer_sizes': 150, 'learning_rate_init': 0.005, 'max_iter': 1500, 'solver': 'adam'}"/>
        <s v="{'activation': 'tanh', 'hidden_layer_sizes': (200, 100), 'learning_rate_init': 0.01, 'max_iter': 500, 'solver': 'sgd'}"/>
        <s v="{'activation': 'relu', 'hidden_layer_sizes': 150, 'learning_rate_init': 0.005, 'max_iter': 500, 'solver': 'adam'}"/>
        <s v="{'activation': 'relu', 'hidden_layer_sizes': 150, 'learning_rate_init': 0.005, 'max_iter': 1000, 'solver': 'adam'}"/>
        <s v="{'activation': 'relu', 'hidden_layer_sizes': (150, 75), 'learning_rate_init': 0.005, 'max_iter': 500, 'solver': 'sgd'}"/>
        <s v="{'activation': 'relu', 'hidden_layer_sizes': (150, 75), 'learning_rate_init': 0.005, 'max_iter': 1000, 'solver': 'sgd'}"/>
        <s v="{'activation': 'relu', 'hidden_layer_sizes': (150, 75), 'learning_rate_init': 0.005, 'max_iter': 1500, 'solver': 'sgd'}"/>
        <s v="{'activation': 'relu', 'hidden_layer_sizes': (150, 75), 'learning_rate_init': 0.001, 'max_iter': 1500, 'solver': 'adam'}"/>
        <s v="{'activation': 'identity', 'hidden_layer_sizes': (100, 50), 'learning_rate_init': 0.01, 'max_iter': 500, 'solver': 'sgd'}"/>
        <s v="{'activation': 'identity', 'hidden_layer_sizes': (100, 50), 'learning_rate_init': 0.01, 'max_iter': 1000, 'solver': 'sgd'}"/>
        <s v="{'activation': 'relu', 'hidden_layer_sizes': (150, 75), 'learning_rate_init': 0.001, 'max_iter': 1000, 'solver': 'adam'}"/>
        <s v="{'activation': 'identity', 'hidden_layer_sizes': (100, 50), 'learning_rate_init': 0.01, 'max_iter': 1500, 'solver': 'sgd'}"/>
        <s v="{'activation': 'relu', 'hidden_layer_sizes': (150, 75), 'learning_rate_init': 0.001, 'max_iter': 500, 'solver': 'adam'}"/>
        <s v="{'activation': 'relu', 'hidden_layer_sizes': 100, 'learning_rate_init': 0.001, 'max_iter': 500, 'solver': 'adam'}"/>
        <s v="{'activation': 'relu', 'hidden_layer_sizes': 100, 'learning_rate_init': 0.001, 'max_iter': 1000, 'solver': 'adam'}"/>
        <s v="{'activation': 'relu', 'hidden_layer_sizes': 100, 'learning_rate_init': 0.001, 'max_iter': 1500, 'solver': 'adam'}"/>
        <s v="{'activation': 'tanh', 'hidden_layer_sizes': (150, 75), 'learning_rate_init': 0.01, 'max_iter': 500, 'solver': 'sgd'}"/>
        <s v="{'activation': 'tanh', 'hidden_layer_sizes': (150, 75), 'learning_rate_init': 0.01, 'max_iter': 1500, 'solver': 'sgd'}"/>
        <s v="{'activation': 'tanh', 'hidden_layer_sizes': (150, 75), 'learning_rate_init': 0.01, 'max_iter': 1000, 'solver': 'sgd'}"/>
        <s v="{'activation': 'tanh', 'hidden_layer_sizes': 50, 'learning_rate_init': 0.005, 'max_iter': 1000, 'solver': 'sgd'}"/>
        <s v="{'activation': 'tanh', 'hidden_layer_sizes': (150, 75), 'learning_rate_init': 0.005, 'max_iter': 1000, 'solver': 'sgd'}"/>
        <s v="{'activation': 'relu', 'hidden_layer_sizes': 150, 'learning_rate_init': 0.005, 'max_iter': 1000, 'solver': 'sgd'}"/>
        <s v="{'activation': 'relu', 'hidden_layer_sizes': 150, 'learning_rate_init': 0.005, 'max_iter': 500, 'solver': 'sgd'}"/>
        <s v="{'activation': 'tanh', 'hidden_layer_sizes': 50, 'learning_rate_init': 0.005, 'max_iter': 500, 'solver': 'sgd'}"/>
        <s v="{'activation': 'tanh', 'hidden_layer_sizes': (150, 75), 'learning_rate_init': 0.005, 'max_iter': 500, 'solver': 'sgd'}"/>
        <s v="{'activation': 'tanh', 'hidden_layer_sizes': 50, 'learning_rate_init': 0.005, 'max_iter': 1500, 'solver': 'sgd'}"/>
        <s v="{'activation': 'tanh', 'hidden_layer_sizes': (150, 75), 'learning_rate_init': 0.005, 'max_iter': 1500, 'solver': 'sgd'}"/>
        <s v="{'activation': 'relu', 'hidden_layer_sizes': 150, 'learning_rate_init': 0.005, 'max_iter': 1500, 'solver': 'sgd'}"/>
        <s v="{'activation': 'identity', 'hidden_layer_sizes': (150, 75), 'learning_rate_init': 0.001, 'max_iter': 500, 'solver': 'adam'}"/>
        <s v="{'activation': 'tanh', 'hidden_layer_sizes': (200, 100), 'learning_rate_init': 0.005, 'max_iter': 1500, 'solver': 'sgd'}"/>
        <s v="{'activation': 'identity', 'hidden_layer_sizes': (150, 75), 'learning_rate_init': 0.001, 'max_iter': 1500, 'solver': 'adam'}"/>
        <s v="{'activation': 'tanh', 'hidden_layer_sizes': (200, 100), 'learning_rate_init': 0.005, 'max_iter': 500, 'solver': 'sgd'}"/>
        <s v="{'activation': 'tanh', 'hidden_layer_sizes': (200, 100), 'learning_rate_init': 0.005, 'max_iter': 1000, 'solver': 'sgd'}"/>
        <s v="{'activation': 'identity', 'hidden_layer_sizes': (150, 75), 'learning_rate_init': 0.001, 'max_iter': 1000, 'solver': 'adam'}"/>
        <s v="{'activation': 'identity', 'hidden_layer_sizes': (200, 100), 'learning_rate_init': 0.001, 'max_iter': 1500, 'solver': 'adam'}"/>
        <s v="{'activation': 'identity', 'hidden_layer_sizes': (200, 100), 'learning_rate_init': 0.001, 'max_iter': 1000, 'solver': 'adam'}"/>
        <s v="{'activation': 'identity', 'hidden_layer_sizes': (200, 100), 'learning_rate_init': 0.001, 'max_iter': 500, 'solver': 'adam'}"/>
        <s v="{'activation': 'relu', 'hidden_layer_sizes': 150, 'learning_rate_init': 0.01, 'max_iter': 1000, 'solver': 'sgd'}"/>
        <s v="{'activation': 'relu', 'hidden_layer_sizes': 150, 'learning_rate_init': 0.01, 'max_iter': 500, 'solver': 'sgd'}"/>
        <s v="{'activation': 'relu', 'hidden_layer_sizes': 150, 'learning_rate_init': 0.01, 'max_iter': 1500, 'solver': 'sgd'}"/>
        <s v="{'activation': 'relu', 'hidden_layer_sizes': (200, 75, 25), 'learning_rate_init': 0.01, 'max_iter': 500, 'solver': 'adam'}"/>
        <s v="{'activation': 'relu', 'hidden_layer_sizes': (200, 75, 25), 'learning_rate_init': 0.01, 'max_iter': 1500, 'solver': 'adam'}"/>
        <s v="{'activation': 'relu', 'hidden_layer_sizes': (200, 75, 25), 'learning_rate_init': 0.01, 'max_iter': 1000, 'solver': 'adam'}"/>
        <s v="{'activation': 'tanh', 'hidden_layer_sizes': (200, 75, 25), 'learning_rate_init': 0.01, 'max_iter': 1500, 'solver': 'adam'}"/>
        <s v="{'activation': 'tanh', 'hidden_layer_sizes': (200, 75, 25), 'learning_rate_init': 0.01, 'max_iter': 1000, 'solver': 'adam'}"/>
        <s v="{'activation': 'tanh', 'hidden_layer_sizes': (200, 75, 25), 'learning_rate_init': 0.01, 'max_iter': 500, 'solver': 'adam'}"/>
        <s v="{'activation': 'tanh', 'hidden_layer_sizes': (150, 75), 'learning_rate_init': 0.001, 'max_iter': 1500, 'solver': 'sgd'}"/>
        <s v="{'activation': 'tanh', 'hidden_layer_sizes': (150, 75), 'learning_rate_init': 0.001, 'max_iter': 1000, 'solver': 'sgd'}"/>
        <s v="{'activation': 'tanh', 'hidden_layer_sizes': (150, 75), 'learning_rate_init': 0.001, 'max_iter': 500, 'solver': 'sgd'}"/>
        <s v="{'activation': 'tanh', 'hidden_layer_sizes': (200, 100), 'learning_rate_init': 0.001, 'max_iter': 1500, 'solver': 'sgd'}"/>
        <s v="{'activation': 'tanh', 'hidden_layer_sizes': (200, 100), 'learning_rate_init': 0.001, 'max_iter': 1000, 'solver': 'sgd'}"/>
        <s v="{'activation': 'tanh', 'hidden_layer_sizes': (200, 100), 'learning_rate_init': 0.001, 'max_iter': 500, 'solver': 'sgd'}"/>
        <s v="{'activation': 'tanh', 'hidden_layer_sizes': (150, 75), 'learning_rate_init': 0.005, 'max_iter': 500, 'solver': 'adam'}"/>
        <s v="{'activation': 'tanh', 'hidden_layer_sizes': (150, 75), 'learning_rate_init': 0.005, 'max_iter': 1000, 'solver': 'adam'}"/>
        <s v="{'activation': 'tanh', 'hidden_layer_sizes': (150, 75), 'learning_rate_init': 0.005, 'max_iter': 1500, 'solver': 'adam'}"/>
        <s v="{'activation': 'identity', 'hidden_layer_sizes': (200, 100), 'learning_rate_init': 0.005, 'max_iter': 1000, 'solver': 'adam'}"/>
        <s v="{'activation': 'identity', 'hidden_layer_sizes': (200, 100), 'learning_rate_init': 0.005, 'max_iter': 1500, 'solver': 'adam'}"/>
        <s v="{'activation': 'identity', 'hidden_layer_sizes': (200, 100), 'learning_rate_init': 0.005, 'max_iter': 500, 'solver': 'adam'}"/>
        <s v="{'activation': 'logistic', 'hidden_layer_sizes': (200, 100, 50), 'learning_rate_init': 0.005, 'max_iter': 1500, 'solver': 'sgd'}"/>
        <s v="{'activation': 'logistic', 'hidden_layer_sizes': (200, 75, 25), 'learning_rate_init': 0.005, 'max_iter': 500, 'solver': 'sgd'}"/>
        <s v="{'activation': 'logistic', 'hidden_layer_sizes': (200, 75, 25), 'learning_rate_init': 0.005, 'max_iter': 1000, 'solver': 'sgd'}"/>
        <s v="{'activation': 'logistic', 'hidden_layer_sizes': (200, 75, 25), 'learning_rate_init': 0.005, 'max_iter': 1500, 'solver': 'sgd'}"/>
        <s v="{'activation': 'logistic', 'hidden_layer_sizes': (200, 100, 50), 'learning_rate_init': 0.001, 'max_iter': 500, 'solver': 'sgd'}"/>
        <s v="{'activation': 'logistic', 'hidden_layer_sizes': (200, 100, 50), 'learning_rate_init': 0.001, 'max_iter': 1000, 'solver': 'sgd'}"/>
        <s v="{'activation': 'logistic', 'hidden_layer_sizes': (200, 75, 25), 'learning_rate_init': 0.001, 'max_iter': 1500, 'solver': 'sgd'}"/>
        <s v="{'activation': 'logistic', 'hidden_layer_sizes': (200, 75, 25), 'learning_rate_init': 0.001, 'max_iter': 1000, 'solver': 'sgd'}"/>
        <s v="{'activation': 'logistic', 'hidden_layer_sizes': (200, 75, 25), 'learning_rate_init': 0.001, 'max_iter': 500, 'solver': 'sgd'}"/>
        <s v="{'activation': 'logistic', 'hidden_layer_sizes': (200, 100, 50), 'learning_rate_init': 0.001, 'max_iter': 1500, 'solver': 'sgd'}"/>
        <s v="{'activation': 'logistic', 'hidden_layer_sizes': (200, 100, 50), 'learning_rate_init': 0.005, 'max_iter': 500, 'solver': 'sgd'}"/>
        <s v="{'activation': 'logistic', 'hidden_layer_sizes': (200, 100, 50), 'learning_rate_init': 0.005, 'max_iter': 1000, 'solver': 'sgd'}"/>
      </sharedItems>
    </cacheField>
    <cacheField name="f1_score" numFmtId="0">
      <sharedItems containsSemiMixedTypes="0" containsString="0" containsNumber="1" minValue="0.27278138528138501" maxValue="0.80683553122178997"/>
    </cacheField>
    <cacheField name="status" numFmtId="0">
      <sharedItems count="1">
        <s v="sucesso"/>
      </sharedItems>
    </cacheField>
    <cacheField name="params_sem_iter" numFmtId="0">
      <sharedItems count="189">
        <s v="{'activation': 'relu', 'hidden_layer_sizes': (200, 100), 'learning_rate_init': 0.005,  'solver': 'adam'}"/>
        <s v="{'activation': 'relu', 'hidden_layer_sizes': 50, 'learning_rate_init': 0.01,  'solver': 'sgd'}"/>
        <s v="{'activation': 'tanh', 'hidden_layer_sizes': (100, 50), 'learning_rate_init': 0.01,  'solver': 'sgd'}"/>
        <s v="{'activation': 'identity', 'hidden_layer_sizes': 150, 'learning_rate_init': 0.01,  'solver': 'adam'}"/>
        <s v="{'activation': 'logistic', 'hidden_layer_sizes': (200, 100, 50), 'learning_rate_init': 0.005,  'solver': 'adam'}"/>
        <s v="{'activation': 'relu', 'hidden_layer_sizes': 50, 'learning_rate_init': 0.01,  'solver': 'adam'}"/>
        <s v="{'activation': 'tanh', 'hidden_layer_sizes': (100, 50), 'learning_rate_init': 0.005,  'solver': 'sgd'}"/>
        <s v="{'activation': 'relu', 'hidden_layer_sizes': (200, 100), 'learning_rate_init': 0.01,  'solver': 'adam'}"/>
        <s v="{'activation': 'tanh', 'hidden_layer_sizes': (200, 100, 50), 'learning_rate_init': 0.005,  'solver': 'sgd'}"/>
        <s v="{'activation': 'relu', 'hidden_layer_sizes': (200, 100, 50), 'learning_rate_init': 0.01,  'solver': 'sgd'}"/>
        <s v="{'activation': 'tanh', 'hidden_layer_sizes': (200, 100, 50), 'learning_rate_init': 0.01,  'solver': 'sgd'}"/>
        <s v="{'activation': 'logistic', 'hidden_layer_sizes': 50, 'learning_rate_init': 0.01,  'solver': 'sgd'}"/>
        <s v="{'activation': 'tanh', 'hidden_layer_sizes': 100, 'learning_rate_init': 0.01,  'solver': 'sgd'}"/>
        <s v="{'activation': 'tanh', 'hidden_layer_sizes': (100, 50), 'learning_rate_init': 0.001,  'solver': 'sgd'}"/>
        <s v="{'activation': 'tanh', 'hidden_layer_sizes': (100, 50), 'learning_rate_init': 0.001,  'solver': 'adam'}"/>
        <s v="{'activation': 'identity', 'hidden_layer_sizes': (150, 75), 'learning_rate_init': 0.01,  'solver': 'adam'}"/>
        <s v="{'activation': 'identity', 'hidden_layer_sizes': 100, 'learning_rate_init': 0.01,  'solver': 'sgd'}"/>
        <s v="{'activation': 'identity', 'hidden_layer_sizes': 150, 'learning_rate_init': 0.01,  'solver': 'sgd'}"/>
        <s v="{'activation': 'identity', 'hidden_layer_sizes': 150, 'learning_rate_init': 0.005,  'solver': 'adam'}"/>
        <s v="{'activation': 'identity', 'hidden_layer_sizes': (200, 100), 'learning_rate_init': 0.001,  'solver': 'sgd'}"/>
        <s v="{'activation': 'tanh', 'hidden_layer_sizes': (200, 100, 50), 'learning_rate_init': 0.001,  'solver': 'sgd'}"/>
        <s v="{'activation': 'relu', 'hidden_layer_sizes': (200, 100, 50), 'learning_rate_init': 0.001,  'solver': 'adam'}"/>
        <s v="{'activation': 'relu', 'hidden_layer_sizes': (200, 100, 50), 'learning_rate_init': 0.001,  'solver': 'sgd'}"/>
        <s v="{'activation': 'logistic', 'hidden_layer_sizes': 50, 'learning_rate_init': 0.005,  'solver': 'adam'}"/>
        <s v="{'activation': 'relu', 'hidden_layer_sizes': 100, 'learning_rate_init': 0.005,  'solver': 'sgd'}"/>
        <s v="{'activation': 'relu', 'hidden_layer_sizes': 100, 'learning_rate_init': 0.01,  'solver': 'sgd'}"/>
        <s v="{'activation': 'identity', 'hidden_layer_sizes': (200, 100, 50), 'learning_rate_init': 0.005,  'solver': 'sgd'}"/>
        <s v="{'activation': 'logistic', 'hidden_layer_sizes': 50, 'learning_rate_init': 0.005,  'solver': 'sgd'}"/>
        <s v="{'activation': 'logistic', 'hidden_layer_sizes': (200, 100, 50), 'learning_rate_init': 0.01,  'solver': 'adam'}"/>
        <s v="{'activation': 'tanh', 'hidden_layer_sizes': 100, 'learning_rate_init': 0.001,  'solver': 'adam'}"/>
        <s v="{'activation': 'identity', 'hidden_layer_sizes': (200, 75, 25), 'learning_rate_init': 0.01,  'solver': 'sgd'}"/>
        <s v="{'activation': 'relu', 'hidden_layer_sizes': (200, 100, 50), 'learning_rate_init': 0.005,  'solver': 'adam'}"/>
        <s v="{'activation': 'logistic', 'hidden_layer_sizes': 50, 'learning_rate_init': 0.001,  'solver': 'sgd'}"/>
        <s v="{'activation': 'identity', 'hidden_layer_sizes': (150, 75), 'learning_rate_init': 0.001,  'solver': 'sgd'}"/>
        <s v="{'activation': 'identity', 'hidden_layer_sizes': 150, 'learning_rate_init': 0.005,  'solver': 'sgd'}"/>
        <s v="{'activation': 'relu', 'hidden_layer_sizes': 50, 'learning_rate_init': 0.005,  'solver': 'sgd'}"/>
        <s v="{'activation': 'relu', 'hidden_layer_sizes': (150, 75), 'learning_rate_init': 0.01,  'solver': 'adam'}"/>
        <s v="{'activation': 'identity', 'hidden_layer_sizes': (200, 75, 25), 'learning_rate_init': 0.005,  'solver': 'sgd'}"/>
        <s v="{'activation': 'relu', 'hidden_layer_sizes': (200, 100, 50), 'learning_rate_init': 0.005,  'solver': 'sgd'}"/>
        <s v="{'activation': 'tanh', 'hidden_layer_sizes': (200, 100, 50), 'learning_rate_init': 0.001,  'solver': 'adam'}"/>
        <s v="{'activation': 'relu', 'hidden_layer_sizes': (200, 100, 50), 'learning_rate_init': 0.01,  'solver': 'adam'}"/>
        <s v="{'activation': 'logistic', 'hidden_layer_sizes': (100, 50), 'learning_rate_init': 0.005,  'solver': 'sgd'}"/>
        <s v="{'activation': 'identity', 'hidden_layer_sizes': (150, 75), 'learning_rate_init': 0.005,  'solver': 'adam'}"/>
        <s v="{'activation': 'logistic', 'hidden_layer_sizes': (200, 100, 50), 'learning_rate_init': 0.01,  'solver': 'sgd'}"/>
        <s v="{'activation': 'identity', 'hidden_layer_sizes': 150, 'learning_rate_init': 0.001,  'solver': 'adam'}"/>
        <s v="{'activation': 'relu', 'hidden_layer_sizes': (100, 50), 'learning_rate_init': 0.01,  'solver': 'sgd'}"/>
        <s v="{'activation': 'tanh', 'hidden_layer_sizes': (200, 100, 50), 'learning_rate_init': 0.005,  'solver': 'adam'}"/>
        <s v="{'activation': 'identity', 'hidden_layer_sizes': (100, 50), 'learning_rate_init': 0.005,  'solver': 'adam'}"/>
        <s v="{'activation': 'identity', 'hidden_layer_sizes': (200, 100), 'learning_rate_init': 0.01,  'solver': 'adam'}"/>
        <s v="{'activation': 'identity', 'hidden_layer_sizes': 150, 'learning_rate_init': 0.001,  'solver': 'sgd'}"/>
        <s v="{'activation': 'relu', 'hidden_layer_sizes': 50, 'learning_rate_init': 0.005,  'solver': 'adam'}"/>
        <s v="{'activation': 'relu', 'hidden_layer_sizes': (200, 75, 25), 'learning_rate_init': 0.005,  'solver': 'adam'}"/>
        <s v="{'activation': 'tanh', 'hidden_layer_sizes': (100, 50), 'learning_rate_init': 0.005,  'solver': 'adam'}"/>
        <s v="{'activation': 'identity', 'hidden_layer_sizes': 50, 'learning_rate_init': 0.01,  'solver': 'sgd'}"/>
        <s v="{'activation': 'identity', 'hidden_layer_sizes': (200, 100, 50), 'learning_rate_init': 0.001,  'solver': 'adam'}"/>
        <s v="{'activation': 'tanh', 'hidden_layer_sizes': 100, 'learning_rate_init': 0.005,  'solver': 'sgd'}"/>
        <s v="{'activation': 'logistic', 'hidden_layer_sizes': (100, 50), 'learning_rate_init': 0.001,  'solver': 'adam'}"/>
        <s v="{'activation': 'logistic', 'hidden_layer_sizes': 100, 'learning_rate_init': 0.005,  'solver': 'adam'}"/>
        <s v="{'activation': 'tanh', 'hidden_layer_sizes': (200, 75, 25), 'learning_rate_init': 0.005,  'solver': 'sgd'}"/>
        <s v="{'activation': 'tanh', 'hidden_layer_sizes': 150, 'learning_rate_init': 0.001,  'solver': 'sgd'}"/>
        <s v="{'activation': 'tanh', 'hidden_layer_sizes': (200, 75, 25), 'learning_rate_init': 0.01,  'solver': 'sgd'}"/>
        <s v="{'activation': 'identity', 'hidden_layer_sizes': 50, 'learning_rate_init': 0.001,  'solver': 'adam'}"/>
        <s v="{'activation': 'identity', 'hidden_layer_sizes': 100, 'learning_rate_init': 0.001,  'solver': 'sgd'}"/>
        <s v="{'activation': 'identity', 'hidden_layer_sizes': (100, 50), 'learning_rate_init': 0.001,  'solver': 'sgd'}"/>
        <s v="{'activation': 'logistic', 'hidden_layer_sizes': (200, 100), 'learning_rate_init': 0.005,  'solver': 'sgd'}"/>
        <s v="{'activation': 'logistic', 'hidden_layer_sizes': (200, 100), 'learning_rate_init': 0.01,  'solver': 'sgd'}"/>
        <s v="{'activation': 'identity', 'hidden_layer_sizes': 100, 'learning_rate_init': 0.005,  'solver': 'sgd'}"/>
        <s v="{'activation': 'logistic', 'hidden_layer_sizes': 150, 'learning_rate_init': 0.005,  'solver': 'sgd'}"/>
        <s v="{'activation': 'identity', 'hidden_layer_sizes': (200, 100, 50), 'learning_rate_init': 0.001,  'solver': 'sgd'}"/>
        <s v="{'activation': 'logistic', 'hidden_layer_sizes': 150, 'learning_rate_init': 0.001,  'solver': 'sgd'}"/>
        <s v="{'activation': 'logistic', 'hidden_layer_sizes': 150, 'learning_rate_init': 0.01,  'solver': 'sgd'}"/>
        <s v="{'activation': 'identity', 'hidden_layer_sizes': (150, 75), 'learning_rate_init': 0.005,  'solver': 'sgd'}"/>
        <s v="{'activation': 'tanh', 'hidden_layer_sizes': 50, 'learning_rate_init': 0.005,  'solver': 'adam'}"/>
        <s v="{'activation': 'logistic', 'hidden_layer_sizes': 150, 'learning_rate_init': 0.01,  'solver': 'adam'}"/>
        <s v="{'activation': 'tanh', 'hidden_layer_sizes': 50, 'learning_rate_init': 0.001,  'solver': 'adam'}"/>
        <s v="{'activation': 'relu', 'hidden_layer_sizes': (100, 50), 'learning_rate_init': 0.01,  'solver': 'adam'}"/>
        <s v="{'activation': 'relu', 'hidden_layer_sizes': (200, 75, 25), 'learning_rate_init': 0.001,  'solver': 'sgd'}"/>
        <s v="{'activation': 'relu', 'hidden_layer_sizes': (200, 100), 'learning_rate_init': 0.01,  'solver': 'sgd'}"/>
        <s v="{'activation': 'relu', 'hidden_layer_sizes': (200, 75, 25), 'learning_rate_init': 0.005,  'solver': 'sgd'}"/>
        <s v="{'activation': 'logistic', 'hidden_layer_sizes': (200, 75, 25), 'learning_rate_init': 0.01,  'solver': 'sgd'}"/>
        <s v="{'activation': 'logistic', 'hidden_layer_sizes': (200, 100), 'learning_rate_init': 0.001,  'solver': 'adam'}"/>
        <s v="{'activation': 'logistic', 'hidden_layer_sizes': 100, 'learning_rate_init': 0.001,  'solver': 'adam'}"/>
        <s v="{'activation': 'logistic', 'hidden_layer_sizes': 100, 'learning_rate_init': 0.005,  'solver': 'sgd'}"/>
        <s v="{'activation': 'logistic', 'hidden_layer_sizes': (100, 50), 'learning_rate_init': 0.01,  'solver': 'sgd'}"/>
        <s v="{'activation': 'identity', 'hidden_layer_sizes': (200, 100, 50), 'learning_rate_init': 0.01,  'solver': 'sgd'}"/>
        <s v="{'activation': 'identity', 'hidden_layer_sizes': 50, 'learning_rate_init': 0.01,  'solver': 'adam'}"/>
        <s v="{'activation': 'tanh', 'hidden_layer_sizes': 150, 'learning_rate_init': 0.01,  'solver': 'sgd'}"/>
        <s v="{'activation': 'tanh', 'hidden_layer_sizes': 150, 'learning_rate_init': 0.005,  'solver': 'sgd'}"/>
        <s v="{'activation': 'tanh', 'hidden_layer_sizes': (200, 75, 25), 'learning_rate_init': 0.001,  'solver': 'sgd'}"/>
        <s v="{'activation': 'tanh', 'hidden_layer_sizes': (200, 75, 25), 'learning_rate_init': 0.005,  'solver': 'adam'}"/>
        <s v="{'activation': 'identity', 'hidden_layer_sizes': (200, 75, 25), 'learning_rate_init': 0.01,  'solver': 'adam'}"/>
        <s v="{'activation': 'logistic', 'hidden_layer_sizes': 100, 'learning_rate_init': 0.01,  'solver': 'sgd'}"/>
        <s v="{'activation': 'logistic', 'hidden_layer_sizes': 100, 'learning_rate_init': 0.01,  'solver': 'adam'}"/>
        <s v="{'activation': 'relu', 'hidden_layer_sizes': (200, 75, 25), 'learning_rate_init': 0.001,  'solver': 'adam'}"/>
        <s v="{'activation': 'tanh', 'hidden_layer_sizes': 150, 'learning_rate_init': 0.005,  'solver': 'adam'}"/>
        <s v="{'activation': 'identity', 'hidden_layer_sizes': (200, 75, 25), 'learning_rate_init': 0.001,  'solver': 'adam'}"/>
        <s v="{'activation': 'logistic', 'hidden_layer_sizes': 100, 'learning_rate_init': 0.001,  'solver': 'sgd'}"/>
        <s v="{'activation': 'identity', 'hidden_layer_sizes': (100, 50), 'learning_rate_init': 0.01,  'solver': 'adam'}"/>
        <s v="{'activation': 'logistic', 'hidden_layer_sizes': (200, 75, 25), 'learning_rate_init': 0.005,  'solver': 'adam'}"/>
        <s v="{'activation': 'logistic', 'hidden_layer_sizes': (200, 75, 25), 'learning_rate_init': 0.01,  'solver': 'adam'}"/>
        <s v="{'activation': 'identity', 'hidden_layer_sizes': (200, 75, 25), 'learning_rate_init': 0.001,  'solver': 'sgd'}"/>
        <s v="{'activation': 'identity', 'hidden_layer_sizes': 50, 'learning_rate_init': 0.001,  'solver': 'sgd'}"/>
        <s v="{'activation': 'tanh', 'hidden_layer_sizes': 100, 'learning_rate_init': 0.005,  'solver': 'adam'}"/>
        <s v="{'activation': 'tanh', 'hidden_layer_sizes': (200, 75, 25), 'learning_rate_init': 0.001,  'solver': 'adam'}"/>
        <s v="{'activation': 'tanh', 'hidden_layer_sizes': 50, 'learning_rate_init': 0.01,  'solver': 'adam'}"/>
        <s v="{'activation': 'relu', 'hidden_layer_sizes': 50, 'learning_rate_init': 0.001,  'solver': 'sgd'}"/>
        <s v="{'activation': 'relu', 'hidden_layer_sizes': (150, 75), 'learning_rate_init': 0.005,  'solver': 'adam'}"/>
        <s v="{'activation': 'relu', 'hidden_layer_sizes': 50, 'learning_rate_init': 0.001,  'solver': 'adam'}"/>
        <s v="{'activation': 'logistic', 'hidden_layer_sizes': (100, 50), 'learning_rate_init': 0.01,  'solver': 'adam'}"/>
        <s v="{'activation': 'logistic', 'hidden_layer_sizes': (100, 50), 'learning_rate_init': 0.005,  'solver': 'adam'}"/>
        <s v="{'activation': 'relu', 'hidden_layer_sizes': (200, 75, 25), 'learning_rate_init': 0.01,  'solver': 'sgd'}"/>
        <s v="{'activation': 'identity', 'hidden_layer_sizes': 100, 'learning_rate_init': 0.005,  'solver': 'adam'}"/>
        <s v="{'activation': 'tanh', 'hidden_layer_sizes': (200, 100), 'learning_rate_init': 0.01,  'solver': 'adam'}"/>
        <s v="{'activation': 'relu', 'hidden_layer_sizes': (200, 100), 'learning_rate_init': 0.005,  'solver': 'sgd'}"/>
        <s v="{'activation': 'relu', 'hidden_layer_sizes': (200, 100), 'learning_rate_init': 0.001,  'solver': 'adam'}"/>
        <s v="{'activation': 'relu', 'hidden_layer_sizes': (100, 50), 'learning_rate_init': 0.001,  'solver': 'adam'}"/>
        <s v="{'activation': 'identity', 'hidden_layer_sizes': 50, 'learning_rate_init': 0.005,  'solver': 'sgd'}"/>
        <s v="{'activation': 'identity', 'hidden_layer_sizes': (200, 100), 'learning_rate_init': 0.01,  'solver': 'sgd'}"/>
        <s v="{'activation': 'logistic', 'hidden_layer_sizes': 50, 'learning_rate_init': 0.01,  'solver': 'adam'}"/>
        <s v="{'activation': 'logistic', 'hidden_layer_sizes': 50, 'learning_rate_init': 0.001,  'solver': 'adam'}"/>
        <s v="{'activation': 'relu', 'hidden_layer_sizes': (100, 50), 'learning_rate_init': 0.005,  'solver': 'sgd'}"/>
        <s v="{'activation': 'tanh', 'hidden_layer_sizes': (150, 75), 'learning_rate_init': 0.001,  'solver': 'adam'}"/>
        <s v="{'activation': 'logistic', 'hidden_layer_sizes': (150, 75), 'learning_rate_init': 0.001,  'solver': 'adam'}"/>
        <s v="{'activation': 'identity', 'hidden_layer_sizes': 100, 'learning_rate_init': 0.01,  'solver': 'adam'}"/>
        <s v="{'activation': 'relu', 'hidden_layer_sizes': 100, 'learning_rate_init': 0.01,  'solver': 'adam'}"/>
        <s v="{'activation': 'relu', 'hidden_layer_sizes': 150, 'learning_rate_init': 0.001,  'solver': 'adam'}"/>
        <s v="{'activation': 'tanh', 'hidden_layer_sizes': (200, 100), 'learning_rate_init': 0.005,  'solver': 'adam'}"/>
        <s v="{'activation': 'tanh', 'hidden_layer_sizes': 50, 'learning_rate_init': 0.01,  'solver': 'sgd'}"/>
        <s v="{'activation': 'tanh', 'hidden_layer_sizes': 100, 'learning_rate_init': 0.01,  'solver': 'adam'}"/>
        <s v="{'activation': 'logistic', 'hidden_layer_sizes': (150, 75), 'learning_rate_init': 0.005,  'solver': 'adam'}"/>
        <s v="{'activation': 'identity', 'hidden_layer_sizes': (100, 50), 'learning_rate_init': 0.005,  'solver': 'sgd'}"/>
        <s v="{'activation': 'tanh', 'hidden_layer_sizes': (200, 100), 'learning_rate_init': 0.001,  'solver': 'adam'}"/>
        <s v="{'activation': 'logistic', 'hidden_layer_sizes': 150, 'learning_rate_init': 0.005,  'solver': 'adam'}"/>
        <s v="{'activation': 'relu', 'hidden_layer_sizes': (100, 50), 'learning_rate_init': 0.001,  'solver': 'sgd'}"/>
        <s v="{'activation': 'logistic', 'hidden_layer_sizes': (200, 100, 50), 'learning_rate_init': 0.001,  'solver': 'adam'}"/>
        <s v="{'activation': 'identity', 'hidden_layer_sizes': (200, 100, 50), 'learning_rate_init': 0.005,  'solver': 'adam'}"/>
        <s v="{'activation': 'relu', 'hidden_layer_sizes': 150, 'learning_rate_init': 0.01,  'solver': 'adam'}"/>
        <s v="{'activation': 'identity', 'hidden_layer_sizes': 50, 'learning_rate_init': 0.005,  'solver': 'adam'}"/>
        <s v="{'activation': 'identity', 'hidden_layer_sizes': 100, 'learning_rate_init': 0.001,  'solver': 'adam'}"/>
        <s v="{'activation': 'relu', 'hidden_layer_sizes': 100, 'learning_rate_init': 0.001,  'solver': 'sgd'}"/>
        <s v="{'activation': 'logistic', 'hidden_layer_sizes': (200, 100), 'learning_rate_init': 0.01,  'solver': 'adam'}"/>
        <s v="{'activation': 'logistic', 'hidden_layer_sizes': (150, 75), 'learning_rate_init': 0.005,  'solver': 'sgd'}"/>
        <s v="{'activation': 'logistic', 'hidden_layer_sizes': 150, 'learning_rate_init': 0.001,  'solver': 'adam'}"/>
        <s v="{'activation': 'tanh', 'hidden_layer_sizes': 150, 'learning_rate_init': 0.001,  'solver': 'adam'}"/>
        <s v="{'activation': 'identity', 'hidden_layer_sizes': (150, 75), 'learning_rate_init': 0.01,  'solver': 'sgd'}"/>
        <s v="{'activation': 'logistic', 'hidden_layer_sizes': (200, 75, 25), 'learning_rate_init': 0.001,  'solver': 'adam'}"/>
        <s v="{'activation': 'tanh', 'hidden_layer_sizes': 50, 'learning_rate_init': 0.001,  'solver': 'sgd'}"/>
        <s v="{'activation': 'logistic', 'hidden_layer_sizes': (200, 100), 'learning_rate_init': 0.005,  'solver': 'adam'}"/>
        <s v="{'activation': 'tanh', 'hidden_layer_sizes': 150, 'learning_rate_init': 0.01,  'solver': 'adam'}"/>
        <s v="{'activation': 'relu', 'hidden_layer_sizes': 100, 'learning_rate_init': 0.005,  'solver': 'adam'}"/>
        <s v="{'activation': 'identity', 'hidden_layer_sizes': (100, 50), 'learning_rate_init': 0.001,  'solver': 'adam'}"/>
        <s v="{'activation': 'logistic', 'hidden_layer_sizes': (150, 75), 'learning_rate_init': 0.01,  'solver': 'sgd'}"/>
        <s v="{'activation': 'logistic', 'hidden_layer_sizes': (150, 75), 'learning_rate_init': 0.01,  'solver': 'adam'}"/>
        <s v="{'activation': 'relu', 'hidden_layer_sizes': (100, 50), 'learning_rate_init': 0.005,  'solver': 'adam'}"/>
        <s v="{'activation': 'relu', 'hidden_layer_sizes': (150, 75), 'learning_rate_init': 0.001,  'solver': 'sgd'}"/>
        <s v="{'activation': 'identity', 'hidden_layer_sizes': (200, 75, 25), 'learning_rate_init': 0.005,  'solver': 'adam'}"/>
        <s v="{'activation': 'tanh', 'hidden_layer_sizes': 100, 'learning_rate_init': 0.001,  'solver': 'sgd'}"/>
        <s v="{'activation': 'relu', 'hidden_layer_sizes': (200, 100), 'learning_rate_init': 0.001,  'solver': 'sgd'}"/>
        <s v="{'activation': 'tanh', 'hidden_layer_sizes': (100, 50), 'learning_rate_init': 0.01,  'solver': 'adam'}"/>
        <s v="{'activation': 'identity', 'hidden_layer_sizes': (200, 100), 'learning_rate_init': 0.005,  'solver': 'sgd'}"/>
        <s v="{'activation': 'tanh', 'hidden_layer_sizes': (150, 75), 'learning_rate_init': 0.01,  'solver': 'adam'}"/>
        <s v="{'activation': 'identity', 'hidden_layer_sizes': (200, 100, 50), 'learning_rate_init': 0.01,  'solver': 'adam'}"/>
        <s v="{'activation': 'tanh', 'hidden_layer_sizes': (200, 100, 50), 'learning_rate_init': 0.01,  'solver': 'adam'}"/>
        <s v="{'activation': 'relu', 'hidden_layer_sizes': 150, 'learning_rate_init': 0.001,  'solver': 'sgd'}"/>
        <s v="{'activation': 'relu', 'hidden_layer_sizes': (150, 75), 'learning_rate_init': 0.01,  'solver': 'sgd'}"/>
        <s v="{'activation': 'tanh', 'hidden_layer_sizes': (200, 100), 'learning_rate_init': 0.01,  'solver': 'sgd'}"/>
        <s v="{'activation': 'relu', 'hidden_layer_sizes': 150, 'learning_rate_init': 0.005,  'solver': 'adam'}"/>
        <s v="{'activation': 'relu', 'hidden_layer_sizes': (150, 75), 'learning_rate_init': 0.005,  'solver': 'sgd'}"/>
        <s v="{'activation': 'relu', 'hidden_layer_sizes': (150, 75), 'learning_rate_init': 0.001,  'solver': 'adam'}"/>
        <s v="{'activation': 'identity', 'hidden_layer_sizes': (100, 50), 'learning_rate_init': 0.01,  'solver': 'sgd'}"/>
        <s v="{'activation': 'relu', 'hidden_layer_sizes': 100, 'learning_rate_init': 0.001,  'solver': 'adam'}"/>
        <s v="{'activation': 'tanh', 'hidden_layer_sizes': (150, 75), 'learning_rate_init': 0.01,  'solver': 'sgd'}"/>
        <s v="{'activation': 'tanh', 'hidden_layer_sizes': 50, 'learning_rate_init': 0.005,  'solver': 'sgd'}"/>
        <s v="{'activation': 'tanh', 'hidden_layer_sizes': (150, 75), 'learning_rate_init': 0.005,  'solver': 'sgd'}"/>
        <s v="{'activation': 'relu', 'hidden_layer_sizes': 150, 'learning_rate_init': 0.005,  'solver': 'sgd'}"/>
        <s v="{'activation': 'identity', 'hidden_layer_sizes': (150, 75), 'learning_rate_init': 0.001,  'solver': 'adam'}"/>
        <s v="{'activation': 'tanh', 'hidden_layer_sizes': (200, 100), 'learning_rate_init': 0.005,  'solver': 'sgd'}"/>
        <s v="{'activation': 'identity', 'hidden_layer_sizes': (200, 100), 'learning_rate_init': 0.001,  'solver': 'adam'}"/>
        <s v="{'activation': 'relu', 'hidden_layer_sizes': 150, 'learning_rate_init': 0.01,  'solver': 'sgd'}"/>
        <s v="{'activation': 'relu', 'hidden_layer_sizes': (200, 75, 25), 'learning_rate_init': 0.01,  'solver': 'adam'}"/>
        <s v="{'activation': 'tanh', 'hidden_layer_sizes': (200, 75, 25), 'learning_rate_init': 0.01,  'solver': 'adam'}"/>
        <s v="{'activation': 'tanh', 'hidden_layer_sizes': (150, 75), 'learning_rate_init': 0.001,  'solver': 'sgd'}"/>
        <s v="{'activation': 'tanh', 'hidden_layer_sizes': (200, 100), 'learning_rate_init': 0.001,  'solver': 'sgd'}"/>
        <s v="{'activation': 'tanh', 'hidden_layer_sizes': (150, 75), 'learning_rate_init': 0.005,  'solver': 'adam'}"/>
        <s v="{'activation': 'identity', 'hidden_layer_sizes': (200, 100), 'learning_rate_init': 0.005,  'solver': 'adam'}"/>
        <s v="{'activation': 'logistic', 'hidden_layer_sizes': (200, 100, 50), 'learning_rate_init': 0.005,  'solver': 'sgd'}"/>
        <s v="{'activation': 'logistic', 'hidden_layer_sizes': (200, 75, 25), 'learning_rate_init': 0.005,  'solver': 'sgd'}"/>
        <s v="{'activation': 'logistic', 'hidden_layer_sizes': (200, 100, 50), 'learning_rate_init': 0.001,  'solver': 'sgd'}"/>
        <s v="{'activation': 'logistic', 'hidden_layer_sizes': (200, 75, 25), 'learning_rate_init': 0.001,  'solver': 'sgd'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2.79710787037" createdVersion="8" refreshedVersion="8" minRefreshableVersion="3" recordCount="478" xr:uid="{5E43010C-B98A-984F-8E3A-5E45C6204D83}">
  <cacheSource type="worksheet">
    <worksheetSource ref="A1:D479" sheet="Selecao MLP - Base mais attrb"/>
  </cacheSource>
  <cacheFields count="4">
    <cacheField name="params" numFmtId="0">
      <sharedItems count="478">
        <s v="{'activation': 'tanh', 'hidden_layer_sizes': (150, 75), 'learning_rate_init': 0.01, 'max_iter': 500, 'solver': 'adam'}"/>
        <s v="{'activation': 'tanh', 'hidden_layer_sizes': (150, 75), 'learning_rate_init': 0.01, 'max_iter': 1500, 'solver': 'adam'}"/>
        <s v="{'activation': 'tanh', 'hidden_layer_sizes': (150, 75), 'learning_rate_init': 0.01, 'max_iter': 1000, 'solver': 'adam'}"/>
        <s v="{'activation': 'relu', 'hidden_layer_sizes': (200, 100, 50), 'learning_rate_init': 0.001, 'max_iter': 500, 'solver': 'adam'}"/>
        <s v="{'activation': 'relu', 'hidden_layer_sizes': (200, 100, 50), 'learning_rate_init': 0.001, 'max_iter': 1000, 'solver': 'adam'}"/>
        <s v="{'activation': 'relu', 'hidden_layer_sizes': (200, 100), 'learning_rate_init': 0.001, 'max_iter': 1500, 'solver': 'sgd'}"/>
        <s v="{'activation': 'relu', 'hidden_layer_sizes': (200, 100, 50), 'learning_rate_init': 0.001, 'max_iter': 1500, 'solver': 'adam'}"/>
        <s v="{'activation': 'tanh', 'hidden_layer_sizes': (200, 100, 50), 'learning_rate_init': 0.005, 'max_iter': 1000, 'solver': 'adam'}"/>
        <s v="{'activation': 'tanh', 'hidden_layer_sizes': (200, 100, 50), 'learning_rate_init': 0.005, 'max_iter': 500, 'solver': 'adam'}"/>
        <s v="{'activation': 'tanh', 'hidden_layer_sizes': (200, 100, 50), 'learning_rate_init': 0.005, 'max_iter': 1500, 'solver': 'adam'}"/>
        <s v="{'activation': 'identity', 'hidden_layer_sizes': (200, 100, 50), 'learning_rate_init': 0.001, 'max_iter': 1500, 'solver': 'adam'}"/>
        <s v="{'activation': 'identity', 'hidden_layer_sizes': (200, 100, 50), 'learning_rate_init': 0.001, 'max_iter': 1000, 'solver': 'adam'}"/>
        <s v="{'activation': 'identity', 'hidden_layer_sizes': (200, 100, 50), 'learning_rate_init': 0.001, 'max_iter': 500, 'solver': 'adam'}"/>
        <s v="{'activation': 'relu', 'hidden_layer_sizes': (150, 75), 'learning_rate_init': 0.005, 'max_iter': 500, 'solver': 'adam'}"/>
        <s v="{'activation': 'relu', 'hidden_layer_sizes': (150, 75), 'learning_rate_init': 0.005, 'max_iter': 1500, 'solver': 'adam'}"/>
        <s v="{'activation': 'relu', 'hidden_layer_sizes': (150, 75), 'learning_rate_init': 0.005, 'max_iter': 1000, 'solver': 'adam'}"/>
        <s v="{'activation': 'relu', 'hidden_layer_sizes': (200, 100, 50), 'learning_rate_init': 0.005, 'max_iter': 1500, 'solver': 'adam'}"/>
        <s v="{'activation': 'relu', 'hidden_layer_sizes': (200, 100, 50), 'learning_rate_init': 0.005, 'max_iter': 1000, 'solver': 'adam'}"/>
        <s v="{'activation': 'relu', 'hidden_layer_sizes': (200, 100, 50), 'learning_rate_init': 0.005, 'max_iter': 500, 'solver': 'adam'}"/>
        <s v="{'activation': 'relu', 'hidden_layer_sizes': 150, 'learning_rate_init': 0.01, 'max_iter': 1500, 'solver': 'adam'}"/>
        <s v="{'activation': 'relu', 'hidden_layer_sizes': 150, 'learning_rate_init': 0.01, 'max_iter': 500, 'solver': 'adam'}"/>
        <s v="{'activation': 'relu', 'hidden_layer_sizes': (200, 100, 50), 'learning_rate_init': 0.001, 'max_iter': 1500, 'solver': 'sgd'}"/>
        <s v="{'activation': 'relu', 'hidden_layer_sizes': 150, 'learning_rate_init': 0.01, 'max_iter': 1000, 'solver': 'adam'}"/>
        <s v="{'activation': 'relu', 'hidden_layer_sizes': (200, 100, 50), 'learning_rate_init': 0.001, 'max_iter': 1000, 'solver': 'sgd'}"/>
        <s v="{'activation': 'relu', 'hidden_layer_sizes': (200, 100), 'learning_rate_init': 0.001, 'max_iter': 1500, 'solver': 'adam'}"/>
        <s v="{'activation': 'relu', 'hidden_layer_sizes': (200, 100), 'learning_rate_init': 0.001, 'max_iter': 1000, 'solver': 'adam'}"/>
        <s v="{'activation': 'relu', 'hidden_layer_sizes': (200, 100), 'learning_rate_init': 0.001, 'max_iter': 500, 'solver': 'adam'}"/>
        <s v="{'activation': 'relu', 'hidden_layer_sizes': (150, 75), 'learning_rate_init': 0.005, 'max_iter': 1500, 'solver': 'sgd'}"/>
        <s v="{'activation': 'relu', 'hidden_layer_sizes': (200, 75, 25), 'learning_rate_init': 0.01, 'max_iter': 1500, 'solver': 'adam'}"/>
        <s v="{'activation': 'relu', 'hidden_layer_sizes': (200, 75, 25), 'learning_rate_init': 0.01, 'max_iter': 500, 'solver': 'adam'}"/>
        <s v="{'activation': 'relu', 'hidden_layer_sizes': (150, 75), 'learning_rate_init': 0.005, 'max_iter': 1000, 'solver': 'sgd'}"/>
        <s v="{'activation': 'relu', 'hidden_layer_sizes': (200, 75, 25), 'learning_rate_init': 0.01, 'max_iter': 1000, 'solver': 'adam'}"/>
        <s v="{'activation': 'relu', 'hidden_layer_sizes': (150, 75), 'learning_rate_init': 0.005, 'max_iter': 500, 'solver': 'sgd'}"/>
        <s v="{'activation': 'relu', 'hidden_layer_sizes': (150, 75), 'learning_rate_init': 0.001, 'max_iter': 1500, 'solver': 'sgd'}"/>
        <s v="{'activation': 'relu', 'hidden_layer_sizes': (100, 50), 'learning_rate_init': 0.005, 'max_iter': 1500, 'solver': 'adam'}"/>
        <s v="{'activation': 'relu', 'hidden_layer_sizes': (200, 75, 25), 'learning_rate_init': 0.005, 'max_iter': 1000, 'solver': 'adam'}"/>
        <s v="{'activation': 'relu', 'hidden_layer_sizes': (200, 75, 25), 'learning_rate_init': 0.005, 'max_iter': 1500, 'solver': 'adam'}"/>
        <s v="{'activation': 'relu', 'hidden_layer_sizes': (200, 75, 25), 'learning_rate_init': 0.005, 'max_iter': 500, 'solver': 'adam'}"/>
        <s v="{'activation': 'relu', 'hidden_layer_sizes': (100, 50), 'learning_rate_init': 0.005, 'max_iter': 1000, 'solver': 'adam'}"/>
        <s v="{'activation': 'relu', 'hidden_layer_sizes': (200, 100), 'learning_rate_init': 0.005, 'max_iter': 1000, 'solver': 'sgd'}"/>
        <s v="{'activation': 'relu', 'hidden_layer_sizes': (100, 50), 'learning_rate_init': 0.005, 'max_iter': 500, 'solver': 'adam'}"/>
        <s v="{'activation': 'relu', 'hidden_layer_sizes': (200, 100), 'learning_rate_init': 0.005, 'max_iter': 500, 'solver': 'sgd'}"/>
        <s v="{'activation': 'relu', 'hidden_layer_sizes': (200, 100), 'learning_rate_init': 0.005, 'max_iter': 1500, 'solver': 'sgd'}"/>
        <s v="{'activation': 'tanh', 'hidden_layer_sizes': (100, 50), 'learning_rate_init': 0.005, 'max_iter': 500, 'solver': 'adam'}"/>
        <s v="{'activation': 'relu', 'hidden_layer_sizes': 100, 'learning_rate_init': 0.01, 'max_iter': 1500, 'solver': 'adam'}"/>
        <s v="{'activation': 'tanh', 'hidden_layer_sizes': (100, 50), 'learning_rate_init': 0.005, 'max_iter': 1500, 'solver': 'adam'}"/>
        <s v="{'activation': 'relu', 'hidden_layer_sizes': 100, 'learning_rate_init': 0.01, 'max_iter': 1000, 'solver': 'adam'}"/>
        <s v="{'activation': 'tanh', 'hidden_layer_sizes': (100, 50), 'learning_rate_init': 0.005, 'max_iter': 1000, 'solver': 'adam'}"/>
        <s v="{'activation': 'relu', 'hidden_layer_sizes': 100, 'learning_rate_init': 0.01, 'max_iter': 500, 'solver': 'adam'}"/>
        <s v="{'activation': 'identity', 'hidden_layer_sizes': (200, 100, 50), 'learning_rate_init': 0.005, 'max_iter': 1000, 'solver': 'adam'}"/>
        <s v="{'activation': 'identity', 'hidden_layer_sizes': (200, 100, 50), 'learning_rate_init': 0.005, 'max_iter': 1500, 'solver': 'adam'}"/>
        <s v="{'activation': 'relu', 'hidden_layer_sizes': (200, 75, 25), 'learning_rate_init': 0.01, 'max_iter': 1500, 'solver': 'sgd'}"/>
        <s v="{'activation': 'relu', 'hidden_layer_sizes': (200, 75, 25), 'learning_rate_init': 0.01, 'max_iter': 1000, 'solver': 'sgd'}"/>
        <s v="{'activation': 'relu', 'hidden_layer_sizes': (200, 75, 25), 'learning_rate_init': 0.01, 'max_iter': 500, 'solver': 'sgd'}"/>
        <s v="{'activation': 'identity', 'hidden_layer_sizes': (200, 100, 50), 'learning_rate_init': 0.005, 'max_iter': 500, 'solver': 'adam'}"/>
        <s v="{'activation': 'identity', 'hidden_layer_sizes': (200, 100), 'learning_rate_init': 0.01, 'max_iter': 500, 'solver': 'adam'}"/>
        <s v="{'activation': 'identity', 'hidden_layer_sizes': (200, 100), 'learning_rate_init': 0.01, 'max_iter': 1000, 'solver': 'adam'}"/>
        <s v="{'activation': 'identity', 'hidden_layer_sizes': (200, 100), 'learning_rate_init': 0.01, 'max_iter': 1500, 'solver': 'adam'}"/>
        <s v="{'activation': 'tanh', 'hidden_layer_sizes': (100, 50), 'learning_rate_init': 0.001, 'max_iter': 1500, 'solver': 'sgd'}"/>
        <s v="{'activation': 'identity', 'hidden_layer_sizes': (100, 50), 'learning_rate_init': 0.001, 'max_iter': 1500, 'solver': 'sgd'}"/>
        <s v="{'activation': 'relu', 'hidden_layer_sizes': (150, 75), 'learning_rate_init': 0.01, 'max_iter': 1000, 'solver': 'sgd'}"/>
        <s v="{'activation': 'relu', 'hidden_layer_sizes': (150, 75), 'learning_rate_init': 0.01, 'max_iter': 1500, 'solver': 'sgd'}"/>
        <s v="{'activation': 'relu', 'hidden_layer_sizes': (200, 100), 'learning_rate_init': 0.01, 'max_iter': 1500, 'solver': 'adam'}"/>
        <s v="{'activation': 'relu', 'hidden_layer_sizes': (200, 100), 'learning_rate_init': 0.01, 'max_iter': 1000, 'solver': 'adam'}"/>
        <s v="{'activation': 'relu', 'hidden_layer_sizes': (200, 100), 'learning_rate_init': 0.01, 'max_iter': 500, 'solver': 'adam'}"/>
        <s v="{'activation': 'relu', 'hidden_layer_sizes': (150, 75), 'learning_rate_init': 0.01, 'max_iter': 500, 'solver': 'sgd'}"/>
        <s v="{'activation': 'logistic', 'hidden_layer_sizes': (100, 50), 'learning_rate_init': 0.005, 'max_iter': 500, 'solver': 'adam'}"/>
        <s v="{'activation': 'logistic', 'hidden_layer_sizes': (100, 50), 'learning_rate_init': 0.005, 'max_iter': 1000, 'solver': 'adam'}"/>
        <s v="{'activation': 'logistic', 'hidden_layer_sizes': (100, 50), 'learning_rate_init': 0.005, 'max_iter': 1500, 'solver': 'adam'}"/>
        <s v="{'activation': 'relu', 'hidden_layer_sizes': (200, 100), 'learning_rate_init': 0.01, 'max_iter': 500, 'solver': 'sgd'}"/>
        <s v="{'activation': 'logistic', 'hidden_layer_sizes': (150, 75), 'learning_rate_init': 0.005, 'max_iter': 1500, 'solver': 'adam'}"/>
        <s v="{'activation': 'logistic', 'hidden_layer_sizes': (150, 75), 'learning_rate_init': 0.005, 'max_iter': 500, 'solver': 'adam'}"/>
        <s v="{'activation': 'relu', 'hidden_layer_sizes': (200, 100), 'learning_rate_init': 0.01, 'max_iter': 1500, 'solver': 'sgd'}"/>
        <s v="{'activation': 'logistic', 'hidden_layer_sizes': (150, 75), 'learning_rate_init': 0.005, 'max_iter': 1000, 'solver': 'adam'}"/>
        <s v="{'activation': 'relu', 'hidden_layer_sizes': (200, 100), 'learning_rate_init': 0.01, 'max_iter': 1000, 'solver': 'sgd'}"/>
        <s v="{'activation': 'relu', 'hidden_layer_sizes': 50, 'learning_rate_init': 0.01, 'max_iter': 1000, 'solver': 'adam'}"/>
        <s v="{'activation': 'relu', 'hidden_layer_sizes': 50, 'learning_rate_init': 0.01, 'max_iter': 500, 'solver': 'adam'}"/>
        <s v="{'activation': 'relu', 'hidden_layer_sizes': 50, 'learning_rate_init': 0.01, 'max_iter': 1500, 'solver': 'adam'}"/>
        <s v="{'activation': 'tanh', 'hidden_layer_sizes': (200, 100, 50), 'learning_rate_init': 0.01, 'max_iter': 500, 'solver': 'sgd'}"/>
        <s v="{'activation': 'tanh', 'hidden_layer_sizes': (200, 100, 50), 'learning_rate_init': 0.01, 'max_iter': 1000, 'solver': 'sgd'}"/>
        <s v="{'activation': 'tanh', 'hidden_layer_sizes': (200, 100, 50), 'learning_rate_init': 0.01, 'max_iter': 1500, 'solver': 'sgd'}"/>
        <s v="{'activation': 'tanh', 'hidden_layer_sizes': (200, 75, 25), 'learning_rate_init': 0.01, 'max_iter': 500, 'solver': 'sgd'}"/>
        <s v="{'activation': 'tanh', 'hidden_layer_sizes': (200, 100), 'learning_rate_init': 0.01, 'max_iter': 500, 'solver': 'sgd'}"/>
        <s v="{'activation': 'tanh', 'hidden_layer_sizes': (200, 100), 'learning_rate_init': 0.005, 'max_iter': 1500, 'solver': 'sgd'}"/>
        <s v="{'activation': 'tanh', 'hidden_layer_sizes': (200, 100), 'learning_rate_init': 0.01, 'max_iter': 1000, 'solver': 'sgd'}"/>
        <s v="{'activation': 'tanh', 'hidden_layer_sizes': (200, 100), 'learning_rate_init': 0.01, 'max_iter': 1500, 'solver': 'sgd'}"/>
        <s v="{'activation': 'tanh', 'hidden_layer_sizes': (100, 50), 'learning_rate_init': 0.01, 'max_iter': 1000, 'solver': 'sgd'}"/>
        <s v="{'activation': 'tanh', 'hidden_layer_sizes': (200, 75, 25), 'learning_rate_init': 0.01, 'max_iter': 1000, 'solver': 'sgd'}"/>
        <s v="{'activation': 'tanh', 'hidden_layer_sizes': (200, 75, 25), 'learning_rate_init': 0.01, 'max_iter': 1500, 'solver': 'sgd'}"/>
        <s v="{'activation': 'logistic', 'hidden_layer_sizes': 150, 'learning_rate_init': 0.005, 'max_iter': 500, 'solver': 'adam'}"/>
        <s v="{'activation': 'logistic', 'hidden_layer_sizes': 150, 'learning_rate_init': 0.005, 'max_iter': 1000, 'solver': 'adam'}"/>
        <s v="{'activation': 'tanh', 'hidden_layer_sizes': (100, 50), 'learning_rate_init': 0.005, 'max_iter': 1500, 'solver': 'sgd'}"/>
        <s v="{'activation': 'tanh', 'hidden_layer_sizes': (100, 50), 'learning_rate_init': 0.01, 'max_iter': 500, 'solver': 'sgd'}"/>
        <s v="{'activation': 'tanh', 'hidden_layer_sizes': (100, 50), 'learning_rate_init': 0.01, 'max_iter': 1500, 'solver': 'sgd'}"/>
        <s v="{'activation': 'logistic', 'hidden_layer_sizes': 150, 'learning_rate_init': 0.005, 'max_iter': 1500, 'solver': 'adam'}"/>
        <s v="{'activation': 'relu', 'hidden_layer_sizes': (200, 100, 50), 'learning_rate_init': 0.01, 'max_iter': 1500, 'solver': 'sgd'}"/>
        <s v="{'activation': 'tanh', 'hidden_layer_sizes': (100, 50), 'learning_rate_init': 0.005, 'max_iter': 1000, 'solver': 'sgd'}"/>
        <s v="{'activation': 'identity', 'hidden_layer_sizes': (100, 50), 'learning_rate_init': 0.01, 'max_iter': 1500, 'solver': 'sgd'}"/>
        <s v="{'activation': 'relu', 'hidden_layer_sizes': (200, 100, 50), 'learning_rate_init': 0.01, 'max_iter': 1000, 'solver': 'sgd'}"/>
        <s v="{'activation': 'relu', 'hidden_layer_sizes': (200, 100, 50), 'learning_rate_init': 0.01, 'max_iter': 500, 'solver': 'sgd'}"/>
        <s v="{'activation': 'relu', 'hidden_layer_sizes': (200, 100, 50), 'learning_rate_init': 0.005, 'max_iter': 1500, 'solver': 'sgd'}"/>
        <s v="{'activation': 'relu', 'hidden_layer_sizes': (200, 100, 50), 'learning_rate_init': 0.005, 'max_iter': 1000, 'solver': 'sgd'}"/>
        <s v="{'activation': 'relu', 'hidden_layer_sizes': (200, 100, 50), 'learning_rate_init': 0.005, 'max_iter': 500, 'solver': 'sgd'}"/>
        <s v="{'activation': 'relu', 'hidden_layer_sizes': (200, 75, 25), 'learning_rate_init': 0.005, 'max_iter': 1500, 'solver': 'sgd'}"/>
        <s v="{'activation': 'relu', 'hidden_layer_sizes': (200, 75, 25), 'learning_rate_init': 0.005, 'max_iter': 1000, 'solver': 'sgd'}"/>
        <s v="{'activation': 'relu', 'hidden_layer_sizes': (200, 75, 25), 'learning_rate_init': 0.005, 'max_iter': 500, 'solver': 'sgd'}"/>
        <s v="{'activation': 'identity', 'hidden_layer_sizes': (100, 50), 'learning_rate_init': 0.005, 'max_iter': 500, 'solver': 'sgd'}"/>
        <s v="{'activation': 'identity', 'hidden_layer_sizes': (100, 50), 'learning_rate_init': 0.005, 'max_iter': 1000, 'solver': 'sgd'}"/>
        <s v="{'activation': 'identity', 'hidden_layer_sizes': (100, 50), 'learning_rate_init': 0.005, 'max_iter': 1500, 'solver': 'sgd'}"/>
        <s v="{'activation': 'identity', 'hidden_layer_sizes': (100, 50), 'learning_rate_init': 0.01, 'max_iter': 1000, 'solver': 'sgd'}"/>
        <s v="{'activation': 'identity', 'hidden_layer_sizes': (100, 50), 'learning_rate_init': 0.01, 'max_iter': 500, 'solver': 'sgd'}"/>
        <s v="{'activation': 'identity', 'hidden_layer_sizes': (200, 100), 'learning_rate_init': 0.01, 'max_iter': 1000, 'solver': 'sgd'}"/>
        <s v="{'activation': 'identity', 'hidden_layer_sizes': (200, 100), 'learning_rate_init': 0.005, 'max_iter': 1000, 'solver': 'sgd'}"/>
        <s v="{'activation': 'identity', 'hidden_layer_sizes': (200, 100), 'learning_rate_init': 0.01, 'max_iter': 1500, 'solver': 'sgd'}"/>
        <s v="{'activation': 'identity', 'hidden_layer_sizes': (200, 100), 'learning_rate_init': 0.01, 'max_iter': 500, 'solver': 'sgd'}"/>
        <s v="{'activation': 'identity', 'hidden_layer_sizes': (200, 100), 'learning_rate_init': 0.005, 'max_iter': 1500, 'solver': 'sgd'}"/>
        <s v="{'activation': 'tanh', 'hidden_layer_sizes': (100, 50), 'learning_rate_init': 0.005, 'max_iter': 500, 'solver': 'sgd'}"/>
        <s v="{'activation': 'tanh', 'hidden_layer_sizes': (200, 100), 'learning_rate_init': 0.005, 'max_iter': 1000, 'solver': 'sgd'}"/>
        <s v="{'activation': 'identity', 'hidden_layer_sizes': (200, 100), 'learning_rate_init': 0.005, 'max_iter': 500, 'solver': 'sgd'}"/>
        <s v="{'activation': 'tanh', 'hidden_layer_sizes': (200, 100), 'learning_rate_init': 0.005, 'max_iter': 500, 'solver': 'sgd'}"/>
        <s v="{'activation': 'logistic', 'hidden_layer_sizes': (150, 75), 'learning_rate_init': 0.001, 'max_iter': 500, 'solver': 'adam'}"/>
        <s v="{'activation': 'relu', 'hidden_layer_sizes': 100, 'learning_rate_init': 0.005, 'max_iter': 1500, 'solver': 'sgd'}"/>
        <s v="{'activation': 'relu', 'hidden_layer_sizes': 100, 'learning_rate_init': 0.005, 'max_iter': 1000, 'solver': 'sgd'}"/>
        <s v="{'activation': 'logistic', 'hidden_layer_sizes': (150, 75), 'learning_rate_init': 0.001, 'max_iter': 1500, 'solver': 'adam'}"/>
        <s v="{'activation': 'logistic', 'hidden_layer_sizes': (150, 75), 'learning_rate_init': 0.001, 'max_iter': 1000, 'solver': 'adam'}"/>
        <s v="{'activation': 'tanh', 'hidden_layer_sizes': (150, 75), 'learning_rate_init': 0.01, 'max_iter': 1500, 'solver': 'sgd'}"/>
        <s v="{'activation': 'tanh', 'hidden_layer_sizes': (150, 75), 'learning_rate_init': 0.01, 'max_iter': 1000, 'solver': 'sgd'}"/>
        <s v="{'activation': 'tanh', 'hidden_layer_sizes': (150, 75), 'learning_rate_init': 0.01, 'max_iter': 500, 'solver': 'sgd'}"/>
        <s v="{'activation': 'relu', 'hidden_layer_sizes': 150, 'learning_rate_init': 0.005, 'max_iter': 1500, 'solver': 'sgd'}"/>
        <s v="{'activation': 'identity', 'hidden_layer_sizes': (150, 75), 'learning_rate_init': 0.01, 'max_iter': 500, 'solver': 'sgd'}"/>
        <s v="{'activation': 'identity', 'hidden_layer_sizes': (150, 75), 'learning_rate_init': 0.01, 'max_iter': 1500, 'solver': 'sgd'}"/>
        <s v="{'activation': 'relu', 'hidden_layer_sizes': (200, 75, 25), 'learning_rate_init': 0.001, 'max_iter': 1500, 'solver': 'sgd'}"/>
        <s v="{'activation': 'relu', 'hidden_layer_sizes': (200, 75, 25), 'learning_rate_init': 0.001, 'max_iter': 1000, 'solver': 'sgd'}"/>
        <s v="{'activation': 'identity', 'hidden_layer_sizes': (150, 75), 'learning_rate_init': 0.01, 'max_iter': 1000, 'solver': 'sgd'}"/>
        <s v="{'activation': 'relu', 'hidden_layer_sizes': 150, 'learning_rate_init': 0.01, 'max_iter': 1500, 'solver': 'sgd'}"/>
        <s v="{'activation': 'relu', 'hidden_layer_sizes': 150, 'learning_rate_init': 0.01, 'max_iter': 1000, 'solver': 'sgd'}"/>
        <s v="{'activation': 'relu', 'hidden_layer_sizes': 50, 'learning_rate_init': 0.005, 'max_iter': 1500, 'solver': 'sgd'}"/>
        <s v="{'activation': 'relu', 'hidden_layer_sizes': 150, 'learning_rate_init': 0.005, 'max_iter': 1000, 'solver': 'adam'}"/>
        <s v="{'activation': 'relu', 'hidden_layer_sizes': (150, 75), 'learning_rate_init': 0.001, 'max_iter': 1500, 'solver': 'adam'}"/>
        <s v="{'activation': 'relu', 'hidden_layer_sizes': 150, 'learning_rate_init': 0.005, 'max_iter': 500, 'solver': 'adam'}"/>
        <s v="{'activation': 'relu', 'hidden_layer_sizes': (150, 75), 'learning_rate_init': 0.001, 'max_iter': 1000, 'solver': 'adam'}"/>
        <s v="{'activation': 'relu', 'hidden_layer_sizes': (150, 75), 'learning_rate_init': 0.001, 'max_iter': 500, 'solver': 'adam'}"/>
        <s v="{'activation': 'relu', 'hidden_layer_sizes': 150, 'learning_rate_init': 0.005, 'max_iter': 1500, 'solver': 'adam'}"/>
        <s v="{'activation': 'logistic', 'hidden_layer_sizes': (200, 75, 25), 'learning_rate_init': 0.01, 'max_iter': 1000, 'solver': 'adam'}"/>
        <s v="{'activation': 'logistic', 'hidden_layer_sizes': (150, 75), 'learning_rate_init': 0.01, 'max_iter': 1000, 'solver': 'adam'}"/>
        <s v="{'activation': 'logistic', 'hidden_layer_sizes': (200, 75, 25), 'learning_rate_init': 0.01, 'max_iter': 1500, 'solver': 'adam'}"/>
        <s v="{'activation': 'logistic', 'hidden_layer_sizes': (150, 75), 'learning_rate_init': 0.01, 'max_iter': 500, 'solver': 'adam'}"/>
        <s v="{'activation': 'relu', 'hidden_layer_sizes': (200, 100, 50), 'learning_rate_init': 0.01, 'max_iter': 1500, 'solver': 'adam'}"/>
        <s v="{'activation': 'relu', 'hidden_layer_sizes': (200, 100, 50), 'learning_rate_init': 0.01, 'max_iter': 1000, 'solver': 'adam'}"/>
        <s v="{'activation': 'relu', 'hidden_layer_sizes': (200, 100, 50), 'learning_rate_init': 0.01, 'max_iter': 500, 'solver': 'adam'}"/>
        <s v="{'activation': 'relu', 'hidden_layer_sizes': (100, 50), 'learning_rate_init': 0.01, 'max_iter': 1500, 'solver': 'adam'}"/>
        <s v="{'activation': 'relu', 'hidden_layer_sizes': (100, 50), 'learning_rate_init': 0.01, 'max_iter': 1000, 'solver': 'adam'}"/>
        <s v="{'activation': 'relu', 'hidden_layer_sizes': (100, 50), 'learning_rate_init': 0.01, 'max_iter': 500, 'solver': 'adam'}"/>
        <s v="{'activation': 'logistic', 'hidden_layer_sizes': (200, 75, 25), 'learning_rate_init': 0.01, 'max_iter': 500, 'solver': 'adam'}"/>
        <s v="{'activation': 'logistic', 'hidden_layer_sizes': (150, 75), 'learning_rate_init': 0.01, 'max_iter': 1500, 'solver': 'adam'}"/>
        <s v="{'activation': 'logistic', 'hidden_layer_sizes': (200, 100, 50), 'learning_rate_init': 0.01, 'max_iter': 1000, 'solver': 'adam'}"/>
        <s v="{'activation': 'logistic', 'hidden_layer_sizes': (200, 100, 50), 'learning_rate_init': 0.01, 'max_iter': 1500, 'solver': 'adam'}"/>
        <s v="{'activation': 'logistic', 'hidden_layer_sizes': (200, 100, 50), 'learning_rate_init': 0.01, 'max_iter': 500, 'solver': 'adam'}"/>
        <s v="{'activation': 'identity', 'hidden_layer_sizes': 50, 'learning_rate_init': 0.01, 'max_iter': 500, 'solver': 'adam'}"/>
        <s v="{'activation': 'identity', 'hidden_layer_sizes': 50, 'learning_rate_init': 0.01, 'max_iter': 1000, 'solver': 'adam'}"/>
        <s v="{'activation': 'identity', 'hidden_layer_sizes': 50, 'learning_rate_init': 0.01, 'max_iter': 1500, 'solver': 'adam'}"/>
        <s v="{'activation': 'tanh', 'hidden_layer_sizes': 100, 'learning_rate_init': 0.001, 'max_iter': 1000, 'solver': 'adam'}"/>
        <s v="{'activation': 'tanh', 'hidden_layer_sizes': (200, 100, 50), 'learning_rate_init': 0.001, 'max_iter': 1000, 'solver': 'sgd'}"/>
        <s v="{'activation': 'logistic', 'hidden_layer_sizes': 150, 'learning_rate_init': 0.001, 'max_iter': 1500, 'solver': 'adam'}"/>
        <s v="{'activation': 'identity', 'hidden_layer_sizes': (200, 100, 50), 'learning_rate_init': 0.005, 'max_iter': 1000, 'solver': 'sgd'}"/>
        <s v="{'activation': 'tanh', 'hidden_layer_sizes': 100, 'learning_rate_init': 0.001, 'max_iter': 500, 'solver': 'adam'}"/>
        <s v="{'activation': 'identity', 'hidden_layer_sizes': (200, 100, 50), 'learning_rate_init': 0.005, 'max_iter': 500, 'solver': 'sgd'}"/>
        <s v="{'activation': 'logistic', 'hidden_layer_sizes': 150, 'learning_rate_init': 0.001, 'max_iter': 1000, 'solver': 'adam'}"/>
        <s v="{'activation': 'logistic', 'hidden_layer_sizes': 150, 'learning_rate_init': 0.001, 'max_iter': 500, 'solver': 'adam'}"/>
        <s v="{'activation': 'tanh', 'hidden_layer_sizes': (200, 100, 50), 'learning_rate_init': 0.001, 'max_iter': 1500, 'solver': 'sgd'}"/>
        <s v="{'activation': 'identity', 'hidden_layer_sizes': (200, 100, 50), 'learning_rate_init': 0.01, 'max_iter': 1500, 'solver': 'sgd'}"/>
        <s v="{'activation': 'identity', 'hidden_layer_sizes': (200, 100, 50), 'learning_rate_init': 0.01, 'max_iter': 1000, 'solver': 'sgd'}"/>
        <s v="{'activation': 'identity', 'hidden_layer_sizes': (200, 100, 50), 'learning_rate_init': 0.01, 'max_iter': 500, 'solver': 'sgd'}"/>
        <s v="{'activation': 'identity', 'hidden_layer_sizes': (200, 100, 50), 'learning_rate_init': 0.005, 'max_iter': 1500, 'solver': 'sgd'}"/>
        <s v="{'activation': 'tanh', 'hidden_layer_sizes': 100, 'learning_rate_init': 0.001, 'max_iter': 1500, 'solver': 'adam'}"/>
        <s v="{'activation': 'tanh', 'hidden_layer_sizes': (200, 75, 25), 'learning_rate_init': 0.005, 'max_iter': 1500, 'solver': 'sgd'}"/>
        <s v="{'activation': 'tanh', 'hidden_layer_sizes': (200, 75, 25), 'learning_rate_init': 0.005, 'max_iter': 1000, 'solver': 'sgd'}"/>
        <s v="{'activation': 'tanh', 'hidden_layer_sizes': (200, 75, 25), 'learning_rate_init': 0.005, 'max_iter': 500, 'solver': 'sgd'}"/>
        <s v="{'activation': 'tanh', 'hidden_layer_sizes': 50, 'learning_rate_init': 0.001, 'max_iter': 1000, 'solver': 'adam'}"/>
        <s v="{'activation': 'identity', 'hidden_layer_sizes': 50, 'learning_rate_init': 0.001, 'max_iter': 1000, 'solver': 'adam'}"/>
        <s v="{'activation': 'tanh', 'hidden_layer_sizes': 50, 'learning_rate_init': 0.001, 'max_iter': 500, 'solver': 'adam'}"/>
        <s v="{'activation': 'tanh', 'hidden_layer_sizes': 50, 'learning_rate_init': 0.001, 'max_iter': 1500, 'solver': 'adam'}"/>
        <s v="{'activation': 'tanh', 'hidden_layer_sizes': (100, 50), 'learning_rate_init': 0.001, 'max_iter': 500, 'solver': 'adam'}"/>
        <s v="{'activation': 'tanh', 'hidden_layer_sizes': (100, 50), 'learning_rate_init': 0.001, 'max_iter': 1000, 'solver': 'adam'}"/>
        <s v="{'activation': 'tanh', 'hidden_layer_sizes': (100, 50), 'learning_rate_init': 0.001, 'max_iter': 1500, 'solver': 'adam'}"/>
        <s v="{'activation': 'tanh', 'hidden_layer_sizes': (200, 75, 25), 'learning_rate_init': 0.001, 'max_iter': 1500, 'solver': 'sgd'}"/>
        <s v="{'activation': 'tanh', 'hidden_layer_sizes': (200, 75, 25), 'learning_rate_init': 0.001, 'max_iter': 1000, 'solver': 'sgd'}"/>
        <s v="{'activation': 'identity', 'hidden_layer_sizes': 50, 'learning_rate_init': 0.001, 'max_iter': 500, 'solver': 'adam'}"/>
        <s v="{'activation': 'identity', 'hidden_layer_sizes': (200, 75, 25), 'learning_rate_init': 0.001, 'max_iter': 1000, 'solver': 'sgd'}"/>
        <s v="{'activation': 'identity', 'hidden_layer_sizes': (200, 75, 25), 'learning_rate_init': 0.001, 'max_iter': 1500, 'solver': 'sgd'}"/>
        <s v="{'activation': 'identity', 'hidden_layer_sizes': (200, 100, 50), 'learning_rate_init': 0.001, 'max_iter': 1000, 'solver': 'sgd'}"/>
        <s v="{'activation': 'identity', 'hidden_layer_sizes': (100, 50), 'learning_rate_init': 0.001, 'max_iter': 500, 'solver': 'adam'}"/>
        <s v="{'activation': 'identity', 'hidden_layer_sizes': (100, 50), 'learning_rate_init': 0.001, 'max_iter': 1000, 'solver': 'adam'}"/>
        <s v="{'activation': 'identity', 'hidden_layer_sizes': (100, 50), 'learning_rate_init': 0.001, 'max_iter': 1500, 'solver': 'adam'}"/>
        <s v="{'activation': 'identity', 'hidden_layer_sizes': (200, 75, 25), 'learning_rate_init': 0.01, 'max_iter': 1500, 'solver': 'sgd'}"/>
        <s v="{'activation': 'identity', 'hidden_layer_sizes': (200, 75, 25), 'learning_rate_init': 0.005, 'max_iter': 1500, 'solver': 'sgd'}"/>
        <s v="{'activation': 'identity', 'hidden_layer_sizes': (200, 75, 25), 'learning_rate_init': 0.005, 'max_iter': 1000, 'solver': 'sgd'}"/>
        <s v="{'activation': 'identity', 'hidden_layer_sizes': (200, 75, 25), 'learning_rate_init': 0.01, 'max_iter': 500, 'solver': 'sgd'}"/>
        <s v="{'activation': 'identity', 'hidden_layer_sizes': (200, 75, 25), 'learning_rate_init': 0.005, 'max_iter': 500, 'solver': 'sgd'}"/>
        <s v="{'activation': 'identity', 'hidden_layer_sizes': 50, 'learning_rate_init': 0.001, 'max_iter': 1500, 'solver': 'adam'}"/>
        <s v="{'activation': 'identity', 'hidden_layer_sizes': (200, 100, 50), 'learning_rate_init': 0.001, 'max_iter': 1500, 'solver': 'sgd'}"/>
        <s v="{'activation': 'identity', 'hidden_layer_sizes': (200, 75, 25), 'learning_rate_init': 0.01, 'max_iter': 1000, 'solver': 'sgd'}"/>
        <s v="{'activation': 'identity', 'hidden_layer_sizes': (150, 75), 'learning_rate_init': 0.005, 'max_iter': 1500, 'solver': 'sgd'}"/>
        <s v="{'activation': 'logistic', 'hidden_layer_sizes': 100, 'learning_rate_init': 0.005, 'max_iter': 500, 'solver': 'adam'}"/>
        <s v="{'activation': 'relu', 'hidden_layer_sizes': 50, 'learning_rate_init': 0.01, 'max_iter': 1000, 'solver': 'sgd'}"/>
        <s v="{'activation': 'logistic', 'hidden_layer_sizes': 100, 'learning_rate_init': 0.005, 'max_iter': 1500, 'solver': 'adam'}"/>
        <s v="{'activation': 'tanh', 'hidden_layer_sizes': 150, 'learning_rate_init': 0.005, 'max_iter': 1500, 'solver': 'sgd'}"/>
        <s v="{'activation': 'logistic', 'hidden_layer_sizes': 100, 'learning_rate_init': 0.005, 'max_iter': 1000, 'solver': 'adam'}"/>
        <s v="{'activation': 'relu', 'hidden_layer_sizes': (200, 100), 'learning_rate_init': 0.005, 'max_iter': 1500, 'solver': 'adam'}"/>
        <s v="{'activation': 'relu', 'hidden_layer_sizes': (200, 100), 'learning_rate_init': 0.005, 'max_iter': 1000, 'solver': 'adam'}"/>
        <s v="{'activation': 'relu', 'hidden_layer_sizes': 150, 'learning_rate_init': 0.001, 'max_iter': 1500, 'solver': 'adam'}"/>
        <s v="{'activation': 'relu', 'hidden_layer_sizes': (200, 100), 'learning_rate_init': 0.005, 'max_iter': 500, 'solver': 'adam'}"/>
        <s v="{'activation': 'tanh', 'hidden_layer_sizes': 50, 'learning_rate_init': 0.01, 'max_iter': 1500, 'solver': 'sgd'}"/>
        <s v="{'activation': 'identity', 'hidden_layer_sizes': (150, 75), 'learning_rate_init': 0.005, 'max_iter': 500, 'solver': 'sgd'}"/>
        <s v="{'activation': 'relu', 'hidden_layer_sizes': (200, 75, 25), 'learning_rate_init': 0.001, 'max_iter': 1000, 'solver': 'adam'}"/>
        <s v="{'activation': 'identity', 'hidden_layer_sizes': (150, 75), 'learning_rate_init': 0.005, 'max_iter': 1000, 'solver': 'sgd'}"/>
        <s v="{'activation': 'tanh', 'hidden_layer_sizes': 50, 'learning_rate_init': 0.01, 'max_iter': 1000, 'solver': 'sgd'}"/>
        <s v="{'activation': 'relu', 'hidden_layer_sizes': (200, 75, 25), 'learning_rate_init': 0.001, 'max_iter': 500, 'solver': 'adam'}"/>
        <s v="{'activation': 'relu', 'hidden_layer_sizes': 100, 'learning_rate_init': 0.01, 'max_iter': 1000, 'solver': 'sgd'}"/>
        <s v="{'activation': 'relu', 'hidden_layer_sizes': 150, 'learning_rate_init': 0.001, 'max_iter': 1000, 'solver': 'adam'}"/>
        <s v="{'activation': 'logistic', 'hidden_layer_sizes': 150, 'learning_rate_init': 0.01, 'max_iter': 1000, 'solver': 'adam'}"/>
        <s v="{'activation': 'logistic', 'hidden_layer_sizes': 150, 'learning_rate_init': 0.01, 'max_iter': 500, 'solver': 'adam'}"/>
        <s v="{'activation': 'identity', 'hidden_layer_sizes': 50, 'learning_rate_init': 0.01, 'max_iter': 1000, 'solver': 'sgd'}"/>
        <s v="{'activation': 'identity', 'hidden_layer_sizes': 50, 'learning_rate_init': 0.01, 'max_iter': 1500, 'solver': 'sgd'}"/>
        <s v="{'activation': 'relu', 'hidden_layer_sizes': (200, 75, 25), 'learning_rate_init': 0.001, 'max_iter': 1500, 'solver': 'adam'}"/>
        <s v="{'activation': 'tanh', 'hidden_layer_sizes': (150, 75), 'learning_rate_init': 0.005, 'max_iter': 1000, 'solver': 'sgd'}"/>
        <s v="{'activation': 'relu', 'hidden_layer_sizes': 100, 'learning_rate_init': 0.01, 'max_iter': 1500, 'solver': 'sgd'}"/>
        <s v="{'activation': 'tanh', 'hidden_layer_sizes': (150, 75), 'learning_rate_init': 0.005, 'max_iter': 500, 'solver': 'sgd'}"/>
        <s v="{'activation': 'relu', 'hidden_layer_sizes': 150, 'learning_rate_init': 0.001, 'max_iter': 500, 'solver': 'adam'}"/>
        <s v="{'activation': 'tanh', 'hidden_layer_sizes': (150, 75), 'learning_rate_init': 0.005, 'max_iter': 1500, 'solver': 'sgd'}"/>
        <s v="{'activation': 'identity', 'hidden_layer_sizes': 150, 'learning_rate_init': 0.005, 'max_iter': 1500, 'solver': 'sgd'}"/>
        <s v="{'activation': 'logistic', 'hidden_layer_sizes': 150, 'learning_rate_init': 0.01, 'max_iter': 1500, 'solver': 'adam'}"/>
        <s v="{'activation': 'relu', 'hidden_layer_sizes': 50, 'learning_rate_init': 0.01, 'max_iter': 1500, 'solver': 'sgd'}"/>
        <s v="{'activation': 'logistic', 'hidden_layer_sizes': (200, 100), 'learning_rate_init': 0.005, 'max_iter': 500, 'solver': 'adam'}"/>
        <s v="{'activation': 'tanh', 'hidden_layer_sizes': (200, 75, 25), 'learning_rate_init': 0.001, 'max_iter': 1000, 'solver': 'adam'}"/>
        <s v="{'activation': 'tanh', 'hidden_layer_sizes': (200, 75, 25), 'learning_rate_init': 0.001, 'max_iter': 1500, 'solver': 'adam'}"/>
        <s v="{'activation': 'logistic', 'hidden_layer_sizes': (200, 100), 'learning_rate_init': 0.005, 'max_iter': 1500, 'solver': 'adam'}"/>
        <s v="{'activation': 'identity', 'hidden_layer_sizes': (200, 75, 25), 'learning_rate_init': 0.001, 'max_iter': 1500, 'solver': 'adam'}"/>
        <s v="{'activation': 'identity', 'hidden_layer_sizes': (200, 75, 25), 'learning_rate_init': 0.001, 'max_iter': 500, 'solver': 'adam'}"/>
        <s v="{'activation': 'identity', 'hidden_layer_sizes': (200, 75, 25), 'learning_rate_init': 0.001, 'max_iter': 1000, 'solver': 'adam'}"/>
        <s v="{'activation': 'identity', 'hidden_layer_sizes': (100, 50), 'learning_rate_init': 0.005, 'max_iter': 500, 'solver': 'adam'}"/>
        <s v="{'activation': 'identity', 'hidden_layer_sizes': (100, 50), 'learning_rate_init': 0.005, 'max_iter': 1500, 'solver': 'adam'}"/>
        <s v="{'activation': 'tanh', 'hidden_layer_sizes': (200, 75, 25), 'learning_rate_init': 0.001, 'max_iter': 500, 'solver': 'adam'}"/>
        <s v="{'activation': 'identity', 'hidden_layer_sizes': (150, 75), 'learning_rate_init': 0.001, 'max_iter': 1500, 'solver': 'adam'}"/>
        <s v="{'activation': 'identity', 'hidden_layer_sizes': (150, 75), 'learning_rate_init': 0.001, 'max_iter': 1000, 'solver': 'adam'}"/>
        <s v="{'activation': 'identity', 'hidden_layer_sizes': (150, 75), 'learning_rate_init': 0.001, 'max_iter': 500, 'solver': 'adam'}"/>
        <s v="{'activation': 'identity', 'hidden_layer_sizes': (100, 50), 'learning_rate_init': 0.005, 'max_iter': 1000, 'solver': 'adam'}"/>
        <s v="{'activation': 'logistic', 'hidden_layer_sizes': (200, 100), 'learning_rate_init': 0.005, 'max_iter': 1000, 'solver': 'adam'}"/>
        <s v="{'activation': 'tanh', 'hidden_layer_sizes': 150, 'learning_rate_init': 0.01, 'max_iter': 1000, 'solver': 'adam'}"/>
        <s v="{'activation': 'tanh', 'hidden_layer_sizes': 150, 'learning_rate_init': 0.01, 'max_iter': 500, 'solver': 'adam'}"/>
        <s v="{'activation': 'tanh', 'hidden_layer_sizes': 150, 'learning_rate_init': 0.01, 'max_iter': 1500, 'solver': 'adam'}"/>
        <s v="{'activation': 'tanh', 'hidden_layer_sizes': (200, 100), 'learning_rate_init': 0.005, 'max_iter': 1500, 'solver': 'adam'}"/>
        <s v="{'activation': 'tanh', 'hidden_layer_sizes': (200, 100), 'learning_rate_init': 0.005, 'max_iter': 500, 'solver': 'adam'}"/>
        <s v="{'activation': 'tanh', 'hidden_layer_sizes': (200, 100), 'learning_rate_init': 0.005, 'max_iter': 1000, 'solver': 'adam'}"/>
        <s v="{'activation': 'logistic', 'hidden_layer_sizes': (200, 100, 50), 'learning_rate_init': 0.001, 'max_iter': 500, 'solver': 'adam'}"/>
        <s v="{'activation': 'logistic', 'hidden_layer_sizes': (200, 100, 50), 'learning_rate_init': 0.001, 'max_iter': 1000, 'solver': 'adam'}"/>
        <s v="{'activation': 'logistic', 'hidden_layer_sizes': (200, 100, 50), 'learning_rate_init': 0.001, 'max_iter': 1500, 'solver': 'adam'}"/>
        <s v="{'activation': 'identity', 'hidden_layer_sizes': 100, 'learning_rate_init': 0.01, 'max_iter': 500, 'solver': 'adam'}"/>
        <s v="{'activation': 'tanh', 'hidden_layer_sizes': (200, 75, 25), 'learning_rate_init': 0.01, 'max_iter': 1500, 'solver': 'adam'}"/>
        <s v="{'activation': 'tanh', 'hidden_layer_sizes': (200, 75, 25), 'learning_rate_init': 0.01, 'max_iter': 500, 'solver': 'adam'}"/>
        <s v="{'activation': 'identity', 'hidden_layer_sizes': 100, 'learning_rate_init': 0.01, 'max_iter': 1000, 'solver': 'adam'}"/>
        <s v="{'activation': 'identity', 'hidden_layer_sizes': 100, 'learning_rate_init': 0.01, 'max_iter': 1500, 'solver': 'adam'}"/>
        <s v="{'activation': 'tanh', 'hidden_layer_sizes': (200, 75, 25), 'learning_rate_init': 0.01, 'max_iter': 1000, 'solver': 'adam'}"/>
        <s v="{'activation': 'tanh', 'hidden_layer_sizes': (200, 100), 'learning_rate_init': 0.01, 'max_iter': 1500, 'solver': 'adam'}"/>
        <s v="{'activation': 'tanh', 'hidden_layer_sizes': (200, 100), 'learning_rate_init': 0.01, 'max_iter': 1000, 'solver': 'adam'}"/>
        <s v="{'activation': 'tanh', 'hidden_layer_sizes': (200, 100), 'learning_rate_init': 0.01, 'max_iter': 500, 'solver': 'adam'}"/>
        <s v="{'activation': 'identity', 'hidden_layer_sizes': 100, 'learning_rate_init': 0.005, 'max_iter': 1000, 'solver': 'adam'}"/>
        <s v="{'activation': 'identity', 'hidden_layer_sizes': 100, 'learning_rate_init': 0.005, 'max_iter': 500, 'solver': 'adam'}"/>
        <s v="{'activation': 'identity', 'hidden_layer_sizes': 100, 'learning_rate_init': 0.005, 'max_iter': 1500, 'solver': 'adam'}"/>
        <s v="{'activation': 'tanh', 'hidden_layer_sizes': 150, 'learning_rate_init': 0.001, 'max_iter': 1000, 'solver': 'adam'}"/>
        <s v="{'activation': 'tanh', 'hidden_layer_sizes': 150, 'learning_rate_init': 0.001, 'max_iter': 1500, 'solver': 'adam'}"/>
        <s v="{'activation': 'tanh', 'hidden_layer_sizes': (200, 100, 50), 'learning_rate_init': 0.005, 'max_iter': 1500, 'solver': 'sgd'}"/>
        <s v="{'activation': 'tanh', 'hidden_layer_sizes': 150, 'learning_rate_init': 0.001, 'max_iter': 500, 'solver': 'adam'}"/>
        <s v="{'activation': 'tanh', 'hidden_layer_sizes': 100, 'learning_rate_init': 0.01, 'max_iter': 1500, 'solver': 'sgd'}"/>
        <s v="{'activation': 'tanh', 'hidden_layer_sizes': 100, 'learning_rate_init': 0.01, 'max_iter': 1000, 'solver': 'sgd'}"/>
        <s v="{'activation': 'identity', 'hidden_layer_sizes': 100, 'learning_rate_init': 0.01, 'max_iter': 1000, 'solver': 'sgd'}"/>
        <s v="{'activation': 'identity', 'hidden_layer_sizes': 100, 'learning_rate_init': 0.01, 'max_iter': 1500, 'solver': 'sgd'}"/>
        <s v="{'activation': 'identity', 'hidden_layer_sizes': 150, 'learning_rate_init': 0.001, 'max_iter': 500, 'solver': 'adam'}"/>
        <s v="{'activation': 'tanh', 'hidden_layer_sizes': (200, 100, 50), 'learning_rate_init': 0.005, 'max_iter': 500, 'solver': 'sgd'}"/>
        <s v="{'activation': 'identity', 'hidden_layer_sizes': 150, 'learning_rate_init': 0.001, 'max_iter': 1000, 'solver': 'adam'}"/>
        <s v="{'activation': 'identity', 'hidden_layer_sizes': 150, 'learning_rate_init': 0.001, 'max_iter': 1500, 'solver': 'adam'}"/>
        <s v="{'activation': 'tanh', 'hidden_layer_sizes': (200, 100, 50), 'learning_rate_init': 0.005, 'max_iter': 1000, 'solver': 'sgd'}"/>
        <s v="{'activation': 'identity', 'hidden_layer_sizes': 150, 'learning_rate_init': 0.01, 'max_iter': 1000, 'solver': 'sgd'}"/>
        <s v="{'activation': 'tanh', 'hidden_layer_sizes': (150, 75), 'learning_rate_init': 0.001, 'max_iter': 1500, 'solver': 'sgd'}"/>
        <s v="{'activation': 'identity', 'hidden_layer_sizes': 150, 'learning_rate_init': 0.01, 'max_iter': 1000, 'solver': 'adam'}"/>
        <s v="{'activation': 'identity', 'hidden_layer_sizes': 150, 'learning_rate_init': 0.01, 'max_iter': 500, 'solver': 'adam'}"/>
        <s v="{'activation': 'identity', 'hidden_layer_sizes': 150, 'learning_rate_init': 0.01, 'max_iter': 1500, 'solver': 'adam'}"/>
        <s v="{'activation': 'identity', 'hidden_layer_sizes': 150, 'learning_rate_init': 0.01, 'max_iter': 1500, 'solver': 'sgd'}"/>
        <s v="{'activation': 'relu', 'hidden_layer_sizes': (100, 50), 'learning_rate_init': 0.001, 'max_iter': 1500, 'solver': 'adam'}"/>
        <s v="{'activation': 'identity', 'hidden_layer_sizes': (150, 75), 'learning_rate_init': 0.001, 'max_iter': 1500, 'solver': 'sgd'}"/>
        <s v="{'activation': 'relu', 'hidden_layer_sizes': (100, 50), 'learning_rate_init': 0.001, 'max_iter': 500, 'solver': 'adam'}"/>
        <s v="{'activation': 'relu', 'hidden_layer_sizes': (100, 50), 'learning_rate_init': 0.001, 'max_iter': 1000, 'solver': 'adam'}"/>
        <s v="{'activation': 'tanh', 'hidden_layer_sizes': 150, 'learning_rate_init': 0.01, 'max_iter': 1000, 'solver': 'sgd'}"/>
        <s v="{'activation': 'tanh', 'hidden_layer_sizes': 150, 'learning_rate_init': 0.01, 'max_iter': 1500, 'solver': 'sgd'}"/>
        <s v="{'activation': 'identity', 'hidden_layer_sizes': (200, 100, 50), 'learning_rate_init': 0.01, 'max_iter': 500, 'solver': 'adam'}"/>
        <s v="{'activation': 'logistic', 'hidden_layer_sizes': 50, 'learning_rate_init': 0.005, 'max_iter': 1000, 'solver': 'adam'}"/>
        <s v="{'activation': 'tanh', 'hidden_layer_sizes': (200, 100, 50), 'learning_rate_init': 0.001, 'max_iter': 1000, 'solver': 'adam'}"/>
        <s v="{'activation': 'tanh', 'hidden_layer_sizes': (200, 100, 50), 'learning_rate_init': 0.001, 'max_iter': 500, 'solver': 'adam'}"/>
        <s v="{'activation': 'logistic', 'hidden_layer_sizes': 50, 'learning_rate_init': 0.005, 'max_iter': 1500, 'solver': 'adam'}"/>
        <s v="{'activation': 'logistic', 'hidden_layer_sizes': 100, 'learning_rate_init': 0.01, 'max_iter': 500, 'solver': 'adam'}"/>
        <s v="{'activation': 'logistic', 'hidden_layer_sizes': 50, 'learning_rate_init': 0.001, 'max_iter': 1500, 'solver': 'adam'}"/>
        <s v="{'activation': 'identity', 'hidden_layer_sizes': (200, 100, 50), 'learning_rate_init': 0.01, 'max_iter': 1000, 'solver': 'adam'}"/>
        <s v="{'activation': 'logistic', 'hidden_layer_sizes': 100, 'learning_rate_init': 0.01, 'max_iter': 1500, 'solver': 'adam'}"/>
        <s v="{'activation': 'logistic', 'hidden_layer_sizes': 100, 'learning_rate_init': 0.01, 'max_iter': 1000, 'solver': 'adam'}"/>
        <s v="{'activation': 'logistic', 'hidden_layer_sizes': 50, 'learning_rate_init': 0.001, 'max_iter': 1000, 'solver': 'adam'}"/>
        <s v="{'activation': 'identity', 'hidden_layer_sizes': (200, 100, 50), 'learning_rate_init': 0.01, 'max_iter': 1500, 'solver': 'adam'}"/>
        <s v="{'activation': 'tanh', 'hidden_layer_sizes': (200, 100, 50), 'learning_rate_init': 0.001, 'max_iter': 1500, 'solver': 'adam'}"/>
        <s v="{'activation': 'logistic', 'hidden_layer_sizes': 50, 'learning_rate_init': 0.005, 'max_iter': 500, 'solver': 'adam'}"/>
        <s v="{'activation': 'relu', 'hidden_layer_sizes': (100, 50), 'learning_rate_init': 0.001, 'max_iter': 1500, 'solver': 'sgd'}"/>
        <s v="{'activation': 'tanh', 'hidden_layer_sizes': (150, 75), 'learning_rate_init': 0.001, 'max_iter': 1500, 'solver': 'adam'}"/>
        <s v="{'activation': 'logistic', 'hidden_layer_sizes': (200, 100), 'learning_rate_init': 0.01, 'max_iter': 1500, 'solver': 'adam'}"/>
        <s v="{'activation': 'tanh', 'hidden_layer_sizes': (150, 75), 'learning_rate_init': 0.001, 'max_iter': 1000, 'solver': 'adam'}"/>
        <s v="{'activation': 'logistic', 'hidden_layer_sizes': (200, 100), 'learning_rate_init': 0.01, 'max_iter': 1000, 'solver': 'adam'}"/>
        <s v="{'activation': 'logistic', 'hidden_layer_sizes': (100, 50), 'learning_rate_init': 0.01, 'max_iter': 1500, 'solver': 'adam'}"/>
        <s v="{'activation': 'logistic', 'hidden_layer_sizes': (100, 50), 'learning_rate_init': 0.01, 'max_iter': 1000, 'solver': 'adam'}"/>
        <s v="{'activation': 'logistic', 'hidden_layer_sizes': (200, 100), 'learning_rate_init': 0.01, 'max_iter': 500, 'solver': 'adam'}"/>
        <s v="{'activation': 'tanh', 'hidden_layer_sizes': (150, 75), 'learning_rate_init': 0.001, 'max_iter': 500, 'solver': 'adam'}"/>
        <s v="{'activation': 'logistic', 'hidden_layer_sizes': (100, 50), 'learning_rate_init': 0.01, 'max_iter': 500, 'solver': 'adam'}"/>
        <s v="{'activation': 'tanh', 'hidden_layer_sizes': 100, 'learning_rate_init': 0.01, 'max_iter': 1000, 'solver': 'adam'}"/>
        <s v="{'activation': 'tanh', 'hidden_layer_sizes': 100, 'learning_rate_init': 0.01, 'max_iter': 500, 'solver': 'adam'}"/>
        <s v="{'activation': 'tanh', 'hidden_layer_sizes': 100, 'learning_rate_init': 0.01, 'max_iter': 1500, 'solver': 'adam'}"/>
        <s v="{'activation': 'tanh', 'hidden_layer_sizes': (100, 50), 'learning_rate_init': 0.01, 'max_iter': 1500, 'solver': 'adam'}"/>
        <s v="{'activation': 'tanh', 'hidden_layer_sizes': (100, 50), 'learning_rate_init': 0.01, 'max_iter': 1000, 'solver': 'adam'}"/>
        <s v="{'activation': 'tanh', 'hidden_layer_sizes': (100, 50), 'learning_rate_init': 0.01, 'max_iter': 500, 'solver': 'adam'}"/>
        <s v="{'activation': 'identity', 'hidden_layer_sizes': (150, 75), 'learning_rate_init': 0.005, 'max_iter': 1500, 'solver': 'adam'}"/>
        <s v="{'activation': 'identity', 'hidden_layer_sizes': (150, 75), 'learning_rate_init': 0.005, 'max_iter': 1000, 'solver': 'adam'}"/>
        <s v="{'activation': 'identity', 'hidden_layer_sizes': (150, 75), 'learning_rate_init': 0.005, 'max_iter': 500, 'solver': 'adam'}"/>
        <s v="{'activation': 'identity', 'hidden_layer_sizes': (200, 100), 'learning_rate_init': 0.001, 'max_iter': 1500, 'solver': 'adam'}"/>
        <s v="{'activation': 'identity', 'hidden_layer_sizes': (200, 100), 'learning_rate_init': 0.001, 'max_iter': 1000, 'solver': 'adam'}"/>
        <s v="{'activation': 'identity', 'hidden_layer_sizes': (200, 100), 'learning_rate_init': 0.001, 'max_iter': 500, 'solver': 'adam'}"/>
        <s v="{'activation': 'identity', 'hidden_layer_sizes': 100, 'learning_rate_init': 0.005, 'max_iter': 1500, 'solver': 'sgd'}"/>
        <s v="{'activation': 'tanh', 'hidden_layer_sizes': 100, 'learning_rate_init': 0.005, 'max_iter': 1500, 'solver': 'sgd'}"/>
        <s v="{'activation': 'identity', 'hidden_layer_sizes': (100, 50), 'learning_rate_init': 0.01, 'max_iter': 500, 'solver': 'adam'}"/>
        <s v="{'activation': 'identity', 'hidden_layer_sizes': (100, 50), 'learning_rate_init': 0.01, 'max_iter': 1000, 'solver': 'adam'}"/>
        <s v="{'activation': 'identity', 'hidden_layer_sizes': (100, 50), 'learning_rate_init': 0.01, 'max_iter': 1500, 'solver': 'adam'}"/>
        <s v="{'activation': 'identity', 'hidden_layer_sizes': 50, 'learning_rate_init': 0.005, 'max_iter': 1500, 'solver': 'sgd'}"/>
        <s v="{'activation': 'relu', 'hidden_layer_sizes': (100, 50), 'learning_rate_init': 0.01, 'max_iter': 1000, 'solver': 'sgd'}"/>
        <s v="{'activation': 'relu', 'hidden_layer_sizes': 50, 'learning_rate_init': 0.005, 'max_iter': 500, 'solver': 'adam'}"/>
        <s v="{'activation': 'relu', 'hidden_layer_sizes': 50, 'learning_rate_init': 0.005, 'max_iter': 1000, 'solver': 'adam'}"/>
        <s v="{'activation': 'relu', 'hidden_layer_sizes': 50, 'learning_rate_init': 0.005, 'max_iter': 1500, 'solver': 'adam'}"/>
        <s v="{'activation': 'relu', 'hidden_layer_sizes': (100, 50), 'learning_rate_init': 0.01, 'max_iter': 1500, 'solver': 'sgd'}"/>
        <s v="{'activation': 'relu', 'hidden_layer_sizes': (100, 50), 'learning_rate_init': 0.01, 'max_iter': 500, 'solver': 'sgd'}"/>
        <s v="{'activation': 'relu', 'hidden_layer_sizes': (100, 50), 'learning_rate_init': 0.005, 'max_iter': 1500, 'solver': 'sgd'}"/>
        <s v="{'activation': 'relu', 'hidden_layer_sizes': (100, 50), 'learning_rate_init': 0.005, 'max_iter': 1000, 'solver': 'sgd'}"/>
        <s v="{'activation': 'relu', 'hidden_layer_sizes': (100, 50), 'learning_rate_init': 0.005, 'max_iter': 500, 'solver': 'sgd'}"/>
        <s v="{'activation': 'logistic', 'hidden_layer_sizes': (200, 100), 'learning_rate_init': 0.001, 'max_iter': 500, 'solver': 'adam'}"/>
        <s v="{'activation': 'logistic', 'hidden_layer_sizes': 100, 'learning_rate_init': 0.001, 'max_iter': 500, 'solver': 'adam'}"/>
        <s v="{'activation': 'tanh', 'hidden_layer_sizes': 50, 'learning_rate_init': 0.005, 'max_iter': 1500, 'solver': 'sgd'}"/>
        <s v="{'activation': 'logistic', 'hidden_layer_sizes': 100, 'learning_rate_init': 0.001, 'max_iter': 1000, 'solver': 'adam'}"/>
        <s v="{'activation': 'logistic', 'hidden_layer_sizes': (100, 50), 'learning_rate_init': 0.001, 'max_iter': 1000, 'solver': 'adam'}"/>
        <s v="{'activation': 'logistic', 'hidden_layer_sizes': (100, 50), 'learning_rate_init': 0.001, 'max_iter': 1500, 'solver': 'adam'}"/>
        <s v="{'activation': 'tanh', 'hidden_layer_sizes': 150, 'learning_rate_init': 0.005, 'max_iter': 1500, 'solver': 'adam'}"/>
        <s v="{'activation': 'tanh', 'hidden_layer_sizes': 150, 'learning_rate_init': 0.005, 'max_iter': 1000, 'solver': 'adam'}"/>
        <s v="{'activation': 'tanh', 'hidden_layer_sizes': 150, 'learning_rate_init': 0.005, 'max_iter': 500, 'solver': 'adam'}"/>
        <s v="{'activation': 'tanh', 'hidden_layer_sizes': 100, 'learning_rate_init': 0.005, 'max_iter': 1500, 'solver': 'adam'}"/>
        <s v="{'activation': 'tanh', 'hidden_layer_sizes': 100, 'learning_rate_init': 0.005, 'max_iter': 1000, 'solver': 'adam'}"/>
        <s v="{'activation': 'tanh', 'hidden_layer_sizes': 100, 'learning_rate_init': 0.005, 'max_iter': 500, 'solver': 'adam'}"/>
        <s v="{'activation': 'logistic', 'hidden_layer_sizes': (200, 100), 'learning_rate_init': 0.001, 'max_iter': 1500, 'solver': 'adam'}"/>
        <s v="{'activation': 'logistic', 'hidden_layer_sizes': 100, 'learning_rate_init': 0.001, 'max_iter': 1500, 'solver': 'adam'}"/>
        <s v="{'activation': 'logistic', 'hidden_layer_sizes': (100, 50), 'learning_rate_init': 0.001, 'max_iter': 500, 'solver': 'adam'}"/>
        <s v="{'activation': 'logistic', 'hidden_layer_sizes': (200, 100), 'learning_rate_init': 0.001, 'max_iter': 1000, 'solver': 'adam'}"/>
        <s v="{'activation': 'identity', 'hidden_layer_sizes': (200, 100), 'learning_rate_init': 0.005, 'max_iter': 1000, 'solver': 'adam'}"/>
        <s v="{'activation': 'relu', 'hidden_layer_sizes': 100, 'learning_rate_init': 0.001, 'max_iter': 1500, 'solver': 'adam'}"/>
        <s v="{'activation': 'relu', 'hidden_layer_sizes': 100, 'learning_rate_init': 0.001, 'max_iter': 500, 'solver': 'adam'}"/>
        <s v="{'activation': 'identity', 'hidden_layer_sizes': (200, 100), 'learning_rate_init': 0.005, 'max_iter': 1500, 'solver': 'adam'}"/>
        <s v="{'activation': 'relu', 'hidden_layer_sizes': 100, 'learning_rate_init': 0.001, 'max_iter': 1000, 'solver': 'adam'}"/>
        <s v="{'activation': 'identity', 'hidden_layer_sizes': (200, 100), 'learning_rate_init': 0.005, 'max_iter': 500, 'solver': 'adam'}"/>
        <s v="{'activation': 'relu', 'hidden_layer_sizes': 50, 'learning_rate_init': 0.001, 'max_iter': 500, 'solver': 'adam'}"/>
        <s v="{'activation': 'relu', 'hidden_layer_sizes': 50, 'learning_rate_init': 0.001, 'max_iter': 1500, 'solver': 'adam'}"/>
        <s v="{'activation': 'tanh', 'hidden_layer_sizes': 50, 'learning_rate_init': 0.005, 'max_iter': 500, 'solver': 'adam'}"/>
        <s v="{'activation': 'tanh', 'hidden_layer_sizes': 50, 'learning_rate_init': 0.005, 'max_iter': 1500, 'solver': 'adam'}"/>
        <s v="{'activation': 'tanh', 'hidden_layer_sizes': 50, 'learning_rate_init': 0.005, 'max_iter': 1000, 'solver': 'adam'}"/>
        <s v="{'activation': 'relu', 'hidden_layer_sizes': 50, 'learning_rate_init': 0.001, 'max_iter': 1000, 'solver': 'adam'}"/>
        <s v="{'activation': 'identity', 'hidden_layer_sizes': (150, 75), 'learning_rate_init': 0.01, 'max_iter': 500, 'solver': 'adam'}"/>
        <s v="{'activation': 'identity', 'hidden_layer_sizes': (150, 75), 'learning_rate_init': 0.01, 'max_iter': 1500, 'solver': 'adam'}"/>
        <s v="{'activation': 'identity', 'hidden_layer_sizes': (150, 75), 'learning_rate_init': 0.01, 'max_iter': 1000, 'solver': 'adam'}"/>
        <s v="{'activation': 'tanh', 'hidden_layer_sizes': (200, 75, 25), 'learning_rate_init': 0.005, 'max_iter': 1500, 'solver': 'adam'}"/>
        <s v="{'activation': 'tanh', 'hidden_layer_sizes': (200, 75, 25), 'learning_rate_init': 0.005, 'max_iter': 500, 'solver': 'adam'}"/>
        <s v="{'activation': 'tanh', 'hidden_layer_sizes': (200, 75, 25), 'learning_rate_init': 0.005, 'max_iter': 1000, 'solver': 'adam'}"/>
        <s v="{'activation': 'identity', 'hidden_layer_sizes': 100, 'learning_rate_init': 0.001, 'max_iter': 500, 'solver': 'adam'}"/>
        <s v="{'activation': 'identity', 'hidden_layer_sizes': 100, 'learning_rate_init': 0.001, 'max_iter': 1000, 'solver': 'adam'}"/>
        <s v="{'activation': 'identity', 'hidden_layer_sizes': 100, 'learning_rate_init': 0.001, 'max_iter': 1500, 'solver': 'adam'}"/>
        <s v="{'activation': 'identity', 'hidden_layer_sizes': 150, 'learning_rate_init': 0.005, 'max_iter': 500, 'solver': 'adam'}"/>
        <s v="{'activation': 'identity', 'hidden_layer_sizes': 150, 'learning_rate_init': 0.005, 'max_iter': 1000, 'solver': 'adam'}"/>
        <s v="{'activation': 'identity', 'hidden_layer_sizes': 150, 'learning_rate_init': 0.005, 'max_iter': 1500, 'solver': 'adam'}"/>
        <s v="{'activation': 'logistic', 'hidden_layer_sizes': 50, 'learning_rate_init': 0.01, 'max_iter': 500, 'solver': 'adam'}"/>
        <s v="{'activation': 'tanh', 'hidden_layer_sizes': (150, 75), 'learning_rate_init': 0.005, 'max_iter': 500, 'solver': 'adam'}"/>
        <s v="{'activation': 'relu', 'hidden_layer_sizes': 100, 'learning_rate_init': 0.005, 'max_iter': 1500, 'solver': 'adam'}"/>
        <s v="{'activation': 'logistic', 'hidden_layer_sizes': 50, 'learning_rate_init': 0.01, 'max_iter': 1500, 'solver': 'adam'}"/>
        <s v="{'activation': 'relu', 'hidden_layer_sizes': 100, 'learning_rate_init': 0.005, 'max_iter': 500, 'solver': 'adam'}"/>
        <s v="{'activation': 'tanh', 'hidden_layer_sizes': (150, 75), 'learning_rate_init': 0.005, 'max_iter': 1000, 'solver': 'adam'}"/>
        <s v="{'activation': 'relu', 'hidden_layer_sizes': 100, 'learning_rate_init': 0.005, 'max_iter': 1000, 'solver': 'adam'}"/>
        <s v="{'activation': 'tanh', 'hidden_layer_sizes': (150, 75), 'learning_rate_init': 0.005, 'max_iter': 1500, 'solver': 'adam'}"/>
        <s v="{'activation': 'logistic', 'hidden_layer_sizes': 50, 'learning_rate_init': 0.01, 'max_iter': 1000, 'solver': 'adam'}"/>
        <s v="{'activation': 'tanh', 'hidden_layer_sizes': 50, 'learning_rate_init': 0.01, 'max_iter': 1000, 'solver': 'adam'}"/>
        <s v="{'activation': 'tanh', 'hidden_layer_sizes': 50, 'learning_rate_init': 0.01, 'max_iter': 1500, 'solver': 'adam'}"/>
        <s v="{'activation': 'tanh', 'hidden_layer_sizes': 50, 'learning_rate_init': 0.01, 'max_iter': 500, 'solver': 'adam'}"/>
        <s v="{'activation': 'identity', 'hidden_layer_sizes': 50, 'learning_rate_init': 0.005, 'max_iter': 500, 'solver': 'adam'}"/>
        <s v="{'activation': 'identity', 'hidden_layer_sizes': 50, 'learning_rate_init': 0.005, 'max_iter': 1000, 'solver': 'adam'}"/>
        <s v="{'activation': 'identity', 'hidden_layer_sizes': 50, 'learning_rate_init': 0.005, 'max_iter': 1500, 'solver': 'adam'}"/>
        <s v="{'activation': 'logistic', 'hidden_layer_sizes': (200, 100, 50), 'learning_rate_init': 0.005, 'max_iter': 1000, 'solver': 'adam'}"/>
        <s v="{'activation': 'logistic', 'hidden_layer_sizes': (200, 100, 50), 'learning_rate_init': 0.005, 'max_iter': 1500, 'solver': 'adam'}"/>
        <s v="{'activation': 'logistic', 'hidden_layer_sizes': (200, 75, 25), 'learning_rate_init': 0.001, 'max_iter': 500, 'solver': 'adam'}"/>
        <s v="{'activation': 'logistic', 'hidden_layer_sizes': (200, 100, 50), 'learning_rate_init': 0.005, 'max_iter': 500, 'solver': 'adam'}"/>
        <s v="{'activation': 'logistic', 'hidden_layer_sizes': (200, 75, 25), 'learning_rate_init': 0.001, 'max_iter': 1500, 'solver': 'adam'}"/>
        <s v="{'activation': 'logistic', 'hidden_layer_sizes': (200, 75, 25), 'learning_rate_init': 0.001, 'max_iter': 1000, 'solver': 'adam'}"/>
        <s v="{'activation': 'identity', 'hidden_layer_sizes': (200, 75, 25), 'learning_rate_init': 0.005, 'max_iter': 500, 'solver': 'adam'}"/>
        <s v="{'activation': 'identity', 'hidden_layer_sizes': (200, 75, 25), 'learning_rate_init': 0.005, 'max_iter': 1000, 'solver': 'adam'}"/>
        <s v="{'activation': 'identity', 'hidden_layer_sizes': (200, 75, 25), 'learning_rate_init': 0.005, 'max_iter': 1500, 'solver': 'adam'}"/>
        <s v="{'activation': 'relu', 'hidden_layer_sizes': (150, 75), 'learning_rate_init': 0.01, 'max_iter': 1500, 'solver': 'adam'}"/>
        <s v="{'activation': 'relu', 'hidden_layer_sizes': (150, 75), 'learning_rate_init': 0.01, 'max_iter': 1000, 'solver': 'adam'}"/>
        <s v="{'activation': 'relu', 'hidden_layer_sizes': (150, 75), 'learning_rate_init': 0.01, 'max_iter': 500, 'solver': 'adam'}"/>
        <s v="{'activation': 'identity', 'hidden_layer_sizes': (200, 75, 25), 'learning_rate_init': 0.01, 'max_iter': 500, 'solver': 'adam'}"/>
        <s v="{'activation': 'identity', 'hidden_layer_sizes': (200, 75, 25), 'learning_rate_init': 0.01, 'max_iter': 1500, 'solver': 'adam'}"/>
        <s v="{'activation': 'identity', 'hidden_layer_sizes': (200, 75, 25), 'learning_rate_init': 0.01, 'max_iter': 1000, 'solver': 'adam'}"/>
        <s v="{'activation': 'logistic', 'hidden_layer_sizes': (200, 75, 25), 'learning_rate_init': 0.005, 'max_iter': 1000, 'solver': 'adam'}"/>
        <s v="{'activation': 'logistic', 'hidden_layer_sizes': (200, 75, 25), 'learning_rate_init': 0.005, 'max_iter': 1500, 'solver': 'adam'}"/>
        <s v="{'activation': 'logistic', 'hidden_layer_sizes': (200, 75, 25), 'learning_rate_init': 0.005, 'max_iter': 500, 'solver': 'adam'}"/>
        <s v="{'activation': 'tanh', 'hidden_layer_sizes': (200, 100), 'learning_rate_init': 0.001, 'max_iter': 1500, 'solver': 'adam'}"/>
        <s v="{'activation': 'tanh', 'hidden_layer_sizes': (200, 100), 'learning_rate_init': 0.001, 'max_iter': 500, 'solver': 'adam'}"/>
        <s v="{'activation': 'tanh', 'hidden_layer_sizes': (200, 100), 'learning_rate_init': 0.001, 'max_iter': 1000, 'solver': 'adam'}"/>
        <s v="{'activation': 'logistic', 'hidden_layer_sizes': (200, 100), 'learning_rate_init': 0.005, 'max_iter': 1000, 'solver': 'sgd'}"/>
        <s v="{'activation': 'logistic', 'hidden_layer_sizes': (200, 100), 'learning_rate_init': 0.005, 'max_iter': 1500, 'solver': 'sgd'}"/>
        <s v="{'activation': 'logistic', 'hidden_layer_sizes': (200, 100), 'learning_rate_init': 0.005, 'max_iter': 500, 'solver': 'sgd'}"/>
        <s v="{'activation': 'tanh', 'hidden_layer_sizes': (200, 100, 50), 'learning_rate_init': 0.01, 'max_iter': 500, 'solver': 'adam'}"/>
        <s v="{'activation': 'tanh', 'hidden_layer_sizes': (200, 100, 50), 'learning_rate_init': 0.01, 'max_iter': 1000, 'solver': 'adam'}"/>
        <s v="{'activation': 'tanh', 'hidden_layer_sizes': (200, 100, 50), 'learning_rate_init': 0.01, 'max_iter': 1500, 'solver': 'adam'}"/>
        <s v="{'activation': 'logistic', 'hidden_layer_sizes': (200, 75, 25), 'learning_rate_init': 0.001, 'max_iter': 1000, 'solver': 'sgd'}"/>
        <s v="{'activation': 'logistic', 'hidden_layer_sizes': (200, 100), 'learning_rate_init': 0.001, 'max_iter': 1000, 'solver': 'sgd'}"/>
        <s v="{'activation': 'logistic', 'hidden_layer_sizes': (200, 75, 25), 'learning_rate_init': 0.01, 'max_iter': 500, 'solver': 'sgd'}"/>
        <s v="{'activation': 'logistic', 'hidden_layer_sizes': (150, 75), 'learning_rate_init': 0.01, 'max_iter': 1500, 'solver': 'sgd'}"/>
        <s v="{'activation': 'logistic', 'hidden_layer_sizes': (200, 75, 25), 'learning_rate_init': 0.005, 'max_iter': 1500, 'solver': 'sgd'}"/>
        <s v="{'activation': 'logistic', 'hidden_layer_sizes': (200, 75, 25), 'learning_rate_init': 0.005, 'max_iter': 1000, 'solver': 'sgd'}"/>
        <s v="{'activation': 'logistic', 'hidden_layer_sizes': (200, 100), 'learning_rate_init': 0.001, 'max_iter': 1500, 'solver': 'sgd'}"/>
        <s v="{'activation': 'logistic', 'hidden_layer_sizes': (200, 75, 25), 'learning_rate_init': 0.001, 'max_iter': 500, 'solver': 'sgd'}"/>
        <s v="{'activation': 'logistic', 'hidden_layer_sizes': (200, 75, 25), 'learning_rate_init': 0.005, 'max_iter': 500, 'solver': 'sgd'}"/>
        <s v="{'activation': 'logistic', 'hidden_layer_sizes': (200, 75, 25), 'learning_rate_init': 0.01, 'max_iter': 1000, 'solver': 'sgd'}"/>
        <s v="{'activation': 'logistic', 'hidden_layer_sizes': (200, 100), 'learning_rate_init': 0.01, 'max_iter': 500, 'solver': 'sgd'}"/>
        <s v="{'activation': 'logistic', 'hidden_layer_sizes': (200, 100), 'learning_rate_init': 0.01, 'max_iter': 1000, 'solver': 'sgd'}"/>
        <s v="{'activation': 'logistic', 'hidden_layer_sizes': (200, 75, 25), 'learning_rate_init': 0.001, 'max_iter': 1500, 'solver': 'sgd'}"/>
        <s v="{'activation': 'logistic', 'hidden_layer_sizes': (200, 100), 'learning_rate_init': 0.01, 'max_iter': 1500, 'solver': 'sgd'}"/>
        <s v="{'activation': 'logistic', 'hidden_layer_sizes': (150, 75), 'learning_rate_init': 0.01, 'max_iter': 1000, 'solver': 'sgd'}"/>
        <s v="{'activation': 'logistic', 'hidden_layer_sizes': 50, 'learning_rate_init': 0.001, 'max_iter': 1500, 'solver': 'sgd'}"/>
        <s v="{'activation': 'logistic', 'hidden_layer_sizes': (150, 75), 'learning_rate_init': 0.01, 'max_iter': 500, 'solver': 'sgd'}"/>
        <s v="{'activation': 'logistic', 'hidden_layer_sizes': 150, 'learning_rate_init': 0.001, 'max_iter': 1000, 'solver': 'sgd'}"/>
        <s v="{'activation': 'logistic', 'hidden_layer_sizes': (100, 50), 'learning_rate_init': 0.005, 'max_iter': 1000, 'solver': 'sgd'}"/>
        <s v="{'activation': 'logistic', 'hidden_layer_sizes': (100, 50), 'learning_rate_init': 0.005, 'max_iter': 500, 'solver': 'sgd'}"/>
        <s v="{'activation': 'logistic', 'hidden_layer_sizes': (100, 50), 'learning_rate_init': 0.001, 'max_iter': 1500, 'solver': 'sgd'}"/>
        <s v="{'activation': 'logistic', 'hidden_layer_sizes': (100, 50), 'learning_rate_init': 0.001, 'max_iter': 1000, 'solver': 'sgd'}"/>
        <s v="{'activation': 'logistic', 'hidden_layer_sizes': (100, 50), 'learning_rate_init': 0.001, 'max_iter': 500, 'solver': 'sgd'}"/>
        <s v="{'activation': 'logistic', 'hidden_layer_sizes': 150, 'learning_rate_init': 0.001, 'max_iter': 1500, 'solver': 'sgd'}"/>
        <s v="{'activation': 'logistic', 'hidden_layer_sizes': 150, 'learning_rate_init': 0.001, 'max_iter': 500, 'solver': 'sgd'}"/>
        <s v="{'activation': 'logistic', 'hidden_layer_sizes': (100, 50), 'learning_rate_init': 0.01, 'max_iter': 500, 'solver': 'sgd'}"/>
        <s v="{'activation': 'logistic', 'hidden_layer_sizes': 100, 'learning_rate_init': 0.001, 'max_iter': 1500, 'solver': 'sgd'}"/>
        <s v="{'activation': 'logistic', 'hidden_layer_sizes': 100, 'learning_rate_init': 0.001, 'max_iter': 1000, 'solver': 'sgd'}"/>
        <s v="{'activation': 'logistic', 'hidden_layer_sizes': 100, 'learning_rate_init': 0.001, 'max_iter': 500, 'solver': 'sgd'}"/>
        <s v="{'activation': 'logistic', 'hidden_layer_sizes': 50, 'learning_rate_init': 0.001, 'max_iter': 500, 'solver': 'sgd'}"/>
        <s v="{'activation': 'logistic', 'hidden_layer_sizes': (200, 100), 'learning_rate_init': 0.001, 'max_iter': 500, 'solver': 'sgd'}"/>
        <s v="{'activation': 'logistic', 'hidden_layer_sizes': 50, 'learning_rate_init': 0.001, 'max_iter': 1000, 'solver': 'sgd'}"/>
        <s v="{'activation': 'logistic', 'hidden_layer_sizes': (100, 50), 'learning_rate_init': 0.005, 'max_iter': 1500, 'solver': 'sgd'}"/>
        <s v="{'activation': 'logistic', 'hidden_layer_sizes': (100, 50), 'learning_rate_init': 0.01, 'max_iter': 1000, 'solver': 'sgd'}"/>
        <s v="{'activation': 'logistic', 'hidden_layer_sizes': (200, 75, 25), 'learning_rate_init': 0.01, 'max_iter': 1500, 'solver': 'sgd'}"/>
        <s v="{'activation': 'logistic', 'hidden_layer_sizes': (150, 75), 'learning_rate_init': 0.005, 'max_iter': 1500, 'solver': 'sgd'}"/>
        <s v="{'activation': 'logistic', 'hidden_layer_sizes': (200, 100, 50), 'learning_rate_init': 0.001, 'max_iter': 500, 'solver': 'sgd'}"/>
        <s v="{'activation': 'logistic', 'hidden_layer_sizes': (200, 100, 50), 'learning_rate_init': 0.001, 'max_iter': 1000, 'solver': 'sgd'}"/>
        <s v="{'activation': 'logistic', 'hidden_layer_sizes': (200, 100, 50), 'learning_rate_init': 0.001, 'max_iter': 1500, 'solver': 'sgd'}"/>
        <s v="{'activation': 'logistic', 'hidden_layer_sizes': (200, 100, 50), 'learning_rate_init': 0.005, 'max_iter': 500, 'solver': 'sgd'}"/>
        <s v="{'activation': 'logistic', 'hidden_layer_sizes': (200, 100, 50), 'learning_rate_init': 0.005, 'max_iter': 1000, 'solver': 'sgd'}"/>
        <s v="{'activation': 'logistic', 'hidden_layer_sizes': (200, 100, 50), 'learning_rate_init': 0.005, 'max_iter': 1500, 'solver': 'sgd'}"/>
        <s v="{'activation': 'logistic', 'hidden_layer_sizes': (200, 100, 50), 'learning_rate_init': 0.01, 'max_iter': 500, 'solver': 'sgd'}"/>
        <s v="{'activation': 'logistic', 'hidden_layer_sizes': (100, 50), 'learning_rate_init': 0.01, 'max_iter': 1500, 'solver': 'sgd'}"/>
        <s v="{'activation': 'logistic', 'hidden_layer_sizes': (150, 75), 'learning_rate_init': 0.005, 'max_iter': 1000, 'solver': 'sgd'}"/>
        <s v="{'activation': 'logistic', 'hidden_layer_sizes': (150, 75), 'learning_rate_init': 0.005, 'max_iter': 500, 'solver': 'sgd'}"/>
        <s v="{'activation': 'logistic', 'hidden_layer_sizes': (150, 75), 'learning_rate_init': 0.001, 'max_iter': 1500, 'solver': 'sgd'}"/>
        <s v="{'activation': 'logistic', 'hidden_layer_sizes': (200, 100, 50), 'learning_rate_init': 0.01, 'max_iter': 1500, 'solver': 'sgd'}"/>
        <s v="{'activation': 'logistic', 'hidden_layer_sizes': (150, 75), 'learning_rate_init': 0.001, 'max_iter': 1000, 'solver': 'sgd'}"/>
        <s v="{'activation': 'logistic', 'hidden_layer_sizes': (150, 75), 'learning_rate_init': 0.001, 'max_iter': 500, 'solver': 'sgd'}"/>
        <s v="{'activation': 'logistic', 'hidden_layer_sizes': (200, 100, 50), 'learning_rate_init': 0.01, 'max_iter': 1000, 'solver': 'sgd'}"/>
      </sharedItems>
    </cacheField>
    <cacheField name="f1_score" numFmtId="0">
      <sharedItems containsSemiMixedTypes="0" containsString="0" containsNumber="1" minValue="0.27278138528138501" maxValue="0.78163793103448198"/>
    </cacheField>
    <cacheField name="status" numFmtId="0">
      <sharedItems count="1">
        <s v="sucesso"/>
      </sharedItems>
    </cacheField>
    <cacheField name="params_sem_iter" numFmtId="0">
      <sharedItems count="175">
        <s v="{'activation': 'tanh', 'hidden_layer_sizes': (150, 75), 'learning_rate_init': 0.01,  'solver': 'adam'}"/>
        <s v="{'activation': 'relu', 'hidden_layer_sizes': (200, 100, 50), 'learning_rate_init': 0.001,  'solver': 'adam'}"/>
        <s v="{'activation': 'relu', 'hidden_layer_sizes': (200, 100), 'learning_rate_init': 0.001,  'solver': 'sgd'}"/>
        <s v="{'activation': 'tanh', 'hidden_layer_sizes': (200, 100, 50), 'learning_rate_init': 0.005,  'solver': 'adam'}"/>
        <s v="{'activation': 'identity', 'hidden_layer_sizes': (200, 100, 50), 'learning_rate_init': 0.001,  'solver': 'adam'}"/>
        <s v="{'activation': 'relu', 'hidden_layer_sizes': (150, 75), 'learning_rate_init': 0.005,  'solver': 'adam'}"/>
        <s v="{'activation': 'relu', 'hidden_layer_sizes': (200, 100, 50), 'learning_rate_init': 0.005,  'solver': 'adam'}"/>
        <s v="{'activation': 'relu', 'hidden_layer_sizes': 150, 'learning_rate_init': 0.01,  'solver': 'adam'}"/>
        <s v="{'activation': 'relu', 'hidden_layer_sizes': (200, 100, 50), 'learning_rate_init': 0.001,  'solver': 'sgd'}"/>
        <s v="{'activation': 'relu', 'hidden_layer_sizes': (200, 100), 'learning_rate_init': 0.001,  'solver': 'adam'}"/>
        <s v="{'activation': 'relu', 'hidden_layer_sizes': (150, 75), 'learning_rate_init': 0.005,  'solver': 'sgd'}"/>
        <s v="{'activation': 'relu', 'hidden_layer_sizes': (200, 75, 25), 'learning_rate_init': 0.01,  'solver': 'adam'}"/>
        <s v="{'activation': 'relu', 'hidden_layer_sizes': (150, 75), 'learning_rate_init': 0.001,  'solver': 'sgd'}"/>
        <s v="{'activation': 'relu', 'hidden_layer_sizes': (100, 50), 'learning_rate_init': 0.005,  'solver': 'adam'}"/>
        <s v="{'activation': 'relu', 'hidden_layer_sizes': (200, 75, 25), 'learning_rate_init': 0.005,  'solver': 'adam'}"/>
        <s v="{'activation': 'relu', 'hidden_layer_sizes': (200, 100), 'learning_rate_init': 0.005,  'solver': 'sgd'}"/>
        <s v="{'activation': 'tanh', 'hidden_layer_sizes': (100, 50), 'learning_rate_init': 0.005,  'solver': 'adam'}"/>
        <s v="{'activation': 'relu', 'hidden_layer_sizes': 100, 'learning_rate_init': 0.01,  'solver': 'adam'}"/>
        <s v="{'activation': 'identity', 'hidden_layer_sizes': (200, 100, 50), 'learning_rate_init': 0.005,  'solver': 'adam'}"/>
        <s v="{'activation': 'relu', 'hidden_layer_sizes': (200, 75, 25), 'learning_rate_init': 0.01,  'solver': 'sgd'}"/>
        <s v="{'activation': 'identity', 'hidden_layer_sizes': (200, 100), 'learning_rate_init': 0.01,  'solver': 'adam'}"/>
        <s v="{'activation': 'tanh', 'hidden_layer_sizes': (100, 50), 'learning_rate_init': 0.001,  'solver': 'sgd'}"/>
        <s v="{'activation': 'identity', 'hidden_layer_sizes': (100, 50), 'learning_rate_init': 0.001,  'solver': 'sgd'}"/>
        <s v="{'activation': 'relu', 'hidden_layer_sizes': (150, 75), 'learning_rate_init': 0.01,  'solver': 'sgd'}"/>
        <s v="{'activation': 'relu', 'hidden_layer_sizes': (200, 100), 'learning_rate_init': 0.01,  'solver': 'adam'}"/>
        <s v="{'activation': 'logistic', 'hidden_layer_sizes': (100, 50), 'learning_rate_init': 0.005,  'solver': 'adam'}"/>
        <s v="{'activation': 'relu', 'hidden_layer_sizes': (200, 100), 'learning_rate_init': 0.01,  'solver': 'sgd'}"/>
        <s v="{'activation': 'logistic', 'hidden_layer_sizes': (150, 75), 'learning_rate_init': 0.005,  'solver': 'adam'}"/>
        <s v="{'activation': 'relu', 'hidden_layer_sizes': 50, 'learning_rate_init': 0.01,  'solver': 'adam'}"/>
        <s v="{'activation': 'tanh', 'hidden_layer_sizes': (200, 100, 50), 'learning_rate_init': 0.01,  'solver': 'sgd'}"/>
        <s v="{'activation': 'tanh', 'hidden_layer_sizes': (200, 75, 25), 'learning_rate_init': 0.01,  'solver': 'sgd'}"/>
        <s v="{'activation': 'tanh', 'hidden_layer_sizes': (200, 100), 'learning_rate_init': 0.01,  'solver': 'sgd'}"/>
        <s v="{'activation': 'tanh', 'hidden_layer_sizes': (200, 100), 'learning_rate_init': 0.005,  'solver': 'sgd'}"/>
        <s v="{'activation': 'tanh', 'hidden_layer_sizes': (100, 50), 'learning_rate_init': 0.01,  'solver': 'sgd'}"/>
        <s v="{'activation': 'logistic', 'hidden_layer_sizes': 150, 'learning_rate_init': 0.005,  'solver': 'adam'}"/>
        <s v="{'activation': 'tanh', 'hidden_layer_sizes': (100, 50), 'learning_rate_init': 0.005,  'solver': 'sgd'}"/>
        <s v="{'activation': 'relu', 'hidden_layer_sizes': (200, 100, 50), 'learning_rate_init': 0.01,  'solver': 'sgd'}"/>
        <s v="{'activation': 'identity', 'hidden_layer_sizes': (100, 50), 'learning_rate_init': 0.01,  'solver': 'sgd'}"/>
        <s v="{'activation': 'relu', 'hidden_layer_sizes': (200, 100, 50), 'learning_rate_init': 0.005,  'solver': 'sgd'}"/>
        <s v="{'activation': 'relu', 'hidden_layer_sizes': (200, 75, 25), 'learning_rate_init': 0.005,  'solver': 'sgd'}"/>
        <s v="{'activation': 'identity', 'hidden_layer_sizes': (100, 50), 'learning_rate_init': 0.005,  'solver': 'sgd'}"/>
        <s v="{'activation': 'identity', 'hidden_layer_sizes': (200, 100), 'learning_rate_init': 0.01,  'solver': 'sgd'}"/>
        <s v="{'activation': 'identity', 'hidden_layer_sizes': (200, 100), 'learning_rate_init': 0.005,  'solver': 'sgd'}"/>
        <s v="{'activation': 'logistic', 'hidden_layer_sizes': (150, 75), 'learning_rate_init': 0.001,  'solver': 'adam'}"/>
        <s v="{'activation': 'relu', 'hidden_layer_sizes': 100, 'learning_rate_init': 0.005,  'solver': 'sgd'}"/>
        <s v="{'activation': 'tanh', 'hidden_layer_sizes': (150, 75), 'learning_rate_init': 0.01,  'solver': 'sgd'}"/>
        <s v="{'activation': 'relu', 'hidden_layer_sizes': 150, 'learning_rate_init': 0.005,  'solver': 'sgd'}"/>
        <s v="{'activation': 'identity', 'hidden_layer_sizes': (150, 75), 'learning_rate_init': 0.01,  'solver': 'sgd'}"/>
        <s v="{'activation': 'relu', 'hidden_layer_sizes': (200, 75, 25), 'learning_rate_init': 0.001,  'solver': 'sgd'}"/>
        <s v="{'activation': 'relu', 'hidden_layer_sizes': 150, 'learning_rate_init': 0.01,  'solver': 'sgd'}"/>
        <s v="{'activation': 'relu', 'hidden_layer_sizes': 50, 'learning_rate_init': 0.005,  'solver': 'sgd'}"/>
        <s v="{'activation': 'relu', 'hidden_layer_sizes': 150, 'learning_rate_init': 0.005,  'solver': 'adam'}"/>
        <s v="{'activation': 'relu', 'hidden_layer_sizes': (150, 75), 'learning_rate_init': 0.001,  'solver': 'adam'}"/>
        <s v="{'activation': 'logistic', 'hidden_layer_sizes': (200, 75, 25), 'learning_rate_init': 0.01,  'solver': 'adam'}"/>
        <s v="{'activation': 'logistic', 'hidden_layer_sizes': (150, 75), 'learning_rate_init': 0.01,  'solver': 'adam'}"/>
        <s v="{'activation': 'relu', 'hidden_layer_sizes': (200, 100, 50), 'learning_rate_init': 0.01,  'solver': 'adam'}"/>
        <s v="{'activation': 'relu', 'hidden_layer_sizes': (100, 50), 'learning_rate_init': 0.01,  'solver': 'adam'}"/>
        <s v="{'activation': 'logistic', 'hidden_layer_sizes': (200, 100, 50), 'learning_rate_init': 0.01,  'solver': 'adam'}"/>
        <s v="{'activation': 'identity', 'hidden_layer_sizes': 50, 'learning_rate_init': 0.01,  'solver': 'adam'}"/>
        <s v="{'activation': 'tanh', 'hidden_layer_sizes': 100, 'learning_rate_init': 0.001,  'solver': 'adam'}"/>
        <s v="{'activation': 'tanh', 'hidden_layer_sizes': (200, 100, 50), 'learning_rate_init': 0.001,  'solver': 'sgd'}"/>
        <s v="{'activation': 'logistic', 'hidden_layer_sizes': 150, 'learning_rate_init': 0.001,  'solver': 'adam'}"/>
        <s v="{'activation': 'identity', 'hidden_layer_sizes': (200, 100, 50), 'learning_rate_init': 0.005,  'solver': 'sgd'}"/>
        <s v="{'activation': 'identity', 'hidden_layer_sizes': (200, 100, 50), 'learning_rate_init': 0.01,  'solver': 'sgd'}"/>
        <s v="{'activation': 'tanh', 'hidden_layer_sizes': (200, 75, 25), 'learning_rate_init': 0.005,  'solver': 'sgd'}"/>
        <s v="{'activation': 'tanh', 'hidden_layer_sizes': 50, 'learning_rate_init': 0.001,  'solver': 'adam'}"/>
        <s v="{'activation': 'identity', 'hidden_layer_sizes': 50, 'learning_rate_init': 0.001,  'solver': 'adam'}"/>
        <s v="{'activation': 'tanh', 'hidden_layer_sizes': (100, 50), 'learning_rate_init': 0.001,  'solver': 'adam'}"/>
        <s v="{'activation': 'tanh', 'hidden_layer_sizes': (200, 75, 25), 'learning_rate_init': 0.001,  'solver': 'sgd'}"/>
        <s v="{'activation': 'identity', 'hidden_layer_sizes': (200, 75, 25), 'learning_rate_init': 0.001,  'solver': 'sgd'}"/>
        <s v="{'activation': 'identity', 'hidden_layer_sizes': (200, 100, 50), 'learning_rate_init': 0.001,  'solver': 'sgd'}"/>
        <s v="{'activation': 'identity', 'hidden_layer_sizes': (100, 50), 'learning_rate_init': 0.001,  'solver': 'adam'}"/>
        <s v="{'activation': 'identity', 'hidden_layer_sizes': (200, 75, 25), 'learning_rate_init': 0.01,  'solver': 'sgd'}"/>
        <s v="{'activation': 'identity', 'hidden_layer_sizes': (200, 75, 25), 'learning_rate_init': 0.005,  'solver': 'sgd'}"/>
        <s v="{'activation': 'identity', 'hidden_layer_sizes': (150, 75), 'learning_rate_init': 0.005,  'solver': 'sgd'}"/>
        <s v="{'activation': 'logistic', 'hidden_layer_sizes': 100, 'learning_rate_init': 0.005,  'solver': 'adam'}"/>
        <s v="{'activation': 'relu', 'hidden_layer_sizes': 50, 'learning_rate_init': 0.01,  'solver': 'sgd'}"/>
        <s v="{'activation': 'tanh', 'hidden_layer_sizes': 150, 'learning_rate_init': 0.005,  'solver': 'sgd'}"/>
        <s v="{'activation': 'relu', 'hidden_layer_sizes': (200, 100), 'learning_rate_init': 0.005,  'solver': 'adam'}"/>
        <s v="{'activation': 'relu', 'hidden_layer_sizes': 150, 'learning_rate_init': 0.001,  'solver': 'adam'}"/>
        <s v="{'activation': 'tanh', 'hidden_layer_sizes': 50, 'learning_rate_init': 0.01,  'solver': 'sgd'}"/>
        <s v="{'activation': 'relu', 'hidden_layer_sizes': (200, 75, 25), 'learning_rate_init': 0.001,  'solver': 'adam'}"/>
        <s v="{'activation': 'relu', 'hidden_layer_sizes': 100, 'learning_rate_init': 0.01,  'solver': 'sgd'}"/>
        <s v="{'activation': 'logistic', 'hidden_layer_sizes': 150, 'learning_rate_init': 0.01,  'solver': 'adam'}"/>
        <s v="{'activation': 'identity', 'hidden_layer_sizes': 50, 'learning_rate_init': 0.01,  'solver': 'sgd'}"/>
        <s v="{'activation': 'tanh', 'hidden_layer_sizes': (150, 75), 'learning_rate_init': 0.005,  'solver': 'sgd'}"/>
        <s v="{'activation': 'identity', 'hidden_layer_sizes': 150, 'learning_rate_init': 0.005,  'solver': 'sgd'}"/>
        <s v="{'activation': 'logistic', 'hidden_layer_sizes': (200, 100), 'learning_rate_init': 0.005,  'solver': 'adam'}"/>
        <s v="{'activation': 'tanh', 'hidden_layer_sizes': (200, 75, 25), 'learning_rate_init': 0.001,  'solver': 'adam'}"/>
        <s v="{'activation': 'identity', 'hidden_layer_sizes': (200, 75, 25), 'learning_rate_init': 0.001,  'solver': 'adam'}"/>
        <s v="{'activation': 'identity', 'hidden_layer_sizes': (100, 50), 'learning_rate_init': 0.005,  'solver': 'adam'}"/>
        <s v="{'activation': 'identity', 'hidden_layer_sizes': (150, 75), 'learning_rate_init': 0.001,  'solver': 'adam'}"/>
        <s v="{'activation': 'tanh', 'hidden_layer_sizes': 150, 'learning_rate_init': 0.01,  'solver': 'adam'}"/>
        <s v="{'activation': 'tanh', 'hidden_layer_sizes': (200, 100), 'learning_rate_init': 0.005,  'solver': 'adam'}"/>
        <s v="{'activation': 'logistic', 'hidden_layer_sizes': (200, 100, 50), 'learning_rate_init': 0.001,  'solver': 'adam'}"/>
        <s v="{'activation': 'identity', 'hidden_layer_sizes': 100, 'learning_rate_init': 0.01,  'solver': 'adam'}"/>
        <s v="{'activation': 'tanh', 'hidden_layer_sizes': (200, 75, 25), 'learning_rate_init': 0.01,  'solver': 'adam'}"/>
        <s v="{'activation': 'tanh', 'hidden_layer_sizes': (200, 100), 'learning_rate_init': 0.01,  'solver': 'adam'}"/>
        <s v="{'activation': 'identity', 'hidden_layer_sizes': 100, 'learning_rate_init': 0.005,  'solver': 'adam'}"/>
        <s v="{'activation': 'tanh', 'hidden_layer_sizes': 150, 'learning_rate_init': 0.001,  'solver': 'adam'}"/>
        <s v="{'activation': 'tanh', 'hidden_layer_sizes': (200, 100, 50), 'learning_rate_init': 0.005,  'solver': 'sgd'}"/>
        <s v="{'activation': 'tanh', 'hidden_layer_sizes': 100, 'learning_rate_init': 0.01,  'solver': 'sgd'}"/>
        <s v="{'activation': 'identity', 'hidden_layer_sizes': 100, 'learning_rate_init': 0.01,  'solver': 'sgd'}"/>
        <s v="{'activation': 'identity', 'hidden_layer_sizes': 150, 'learning_rate_init': 0.001,  'solver': 'adam'}"/>
        <s v="{'activation': 'identity', 'hidden_layer_sizes': 150, 'learning_rate_init': 0.01,  'solver': 'sgd'}"/>
        <s v="{'activation': 'tanh', 'hidden_layer_sizes': (150, 75), 'learning_rate_init': 0.001,  'solver': 'sgd'}"/>
        <s v="{'activation': 'identity', 'hidden_layer_sizes': 150, 'learning_rate_init': 0.01,  'solver': 'adam'}"/>
        <s v="{'activation': 'relu', 'hidden_layer_sizes': (100, 50), 'learning_rate_init': 0.001,  'solver': 'adam'}"/>
        <s v="{'activation': 'identity', 'hidden_layer_sizes': (150, 75), 'learning_rate_init': 0.001,  'solver': 'sgd'}"/>
        <s v="{'activation': 'tanh', 'hidden_layer_sizes': 150, 'learning_rate_init': 0.01,  'solver': 'sgd'}"/>
        <s v="{'activation': 'identity', 'hidden_layer_sizes': (200, 100, 50), 'learning_rate_init': 0.01,  'solver': 'adam'}"/>
        <s v="{'activation': 'logistic', 'hidden_layer_sizes': 50, 'learning_rate_init': 0.005,  'solver': 'adam'}"/>
        <s v="{'activation': 'tanh', 'hidden_layer_sizes': (200, 100, 50), 'learning_rate_init': 0.001,  'solver': 'adam'}"/>
        <s v="{'activation': 'logistic', 'hidden_layer_sizes': 100, 'learning_rate_init': 0.01,  'solver': 'adam'}"/>
        <s v="{'activation': 'logistic', 'hidden_layer_sizes': 50, 'learning_rate_init': 0.001,  'solver': 'adam'}"/>
        <s v="{'activation': 'relu', 'hidden_layer_sizes': (100, 50), 'learning_rate_init': 0.001,  'solver': 'sgd'}"/>
        <s v="{'activation': 'tanh', 'hidden_layer_sizes': (150, 75), 'learning_rate_init': 0.001,  'solver': 'adam'}"/>
        <s v="{'activation': 'logistic', 'hidden_layer_sizes': (200, 100), 'learning_rate_init': 0.01,  'solver': 'adam'}"/>
        <s v="{'activation': 'logistic', 'hidden_layer_sizes': (100, 50), 'learning_rate_init': 0.01,  'solver': 'adam'}"/>
        <s v="{'activation': 'tanh', 'hidden_layer_sizes': 100, 'learning_rate_init': 0.01,  'solver': 'adam'}"/>
        <s v="{'activation': 'tanh', 'hidden_layer_sizes': (100, 50), 'learning_rate_init': 0.01,  'solver': 'adam'}"/>
        <s v="{'activation': 'identity', 'hidden_layer_sizes': (150, 75), 'learning_rate_init': 0.005,  'solver': 'adam'}"/>
        <s v="{'activation': 'identity', 'hidden_layer_sizes': (200, 100), 'learning_rate_init': 0.001,  'solver': 'adam'}"/>
        <s v="{'activation': 'identity', 'hidden_layer_sizes': 100, 'learning_rate_init': 0.005,  'solver': 'sgd'}"/>
        <s v="{'activation': 'tanh', 'hidden_layer_sizes': 100, 'learning_rate_init': 0.005,  'solver': 'sgd'}"/>
        <s v="{'activation': 'identity', 'hidden_layer_sizes': (100, 50), 'learning_rate_init': 0.01,  'solver': 'adam'}"/>
        <s v="{'activation': 'identity', 'hidden_layer_sizes': 50, 'learning_rate_init': 0.005,  'solver': 'sgd'}"/>
        <s v="{'activation': 'relu', 'hidden_layer_sizes': (100, 50), 'learning_rate_init': 0.01,  'solver': 'sgd'}"/>
        <s v="{'activation': 'relu', 'hidden_layer_sizes': 50, 'learning_rate_init': 0.005,  'solver': 'adam'}"/>
        <s v="{'activation': 'relu', 'hidden_layer_sizes': (100, 50), 'learning_rate_init': 0.005,  'solver': 'sgd'}"/>
        <s v="{'activation': 'logistic', 'hidden_layer_sizes': (200, 100), 'learning_rate_init': 0.001,  'solver': 'adam'}"/>
        <s v="{'activation': 'logistic', 'hidden_layer_sizes': 100, 'learning_rate_init': 0.001,  'solver': 'adam'}"/>
        <s v="{'activation': 'tanh', 'hidden_layer_sizes': 50, 'learning_rate_init': 0.005,  'solver': 'sgd'}"/>
        <s v="{'activation': 'logistic', 'hidden_layer_sizes': (100, 50), 'learning_rate_init': 0.001,  'solver': 'adam'}"/>
        <s v="{'activation': 'tanh', 'hidden_layer_sizes': 150, 'learning_rate_init': 0.005,  'solver': 'adam'}"/>
        <s v="{'activation': 'tanh', 'hidden_layer_sizes': 100, 'learning_rate_init': 0.005,  'solver': 'adam'}"/>
        <s v="{'activation': 'identity', 'hidden_layer_sizes': (200, 100), 'learning_rate_init': 0.005,  'solver': 'adam'}"/>
        <s v="{'activation': 'relu', 'hidden_layer_sizes': 100, 'learning_rate_init': 0.001,  'solver': 'adam'}"/>
        <s v="{'activation': 'relu', 'hidden_layer_sizes': 50, 'learning_rate_init': 0.001,  'solver': 'adam'}"/>
        <s v="{'activation': 'tanh', 'hidden_layer_sizes': 50, 'learning_rate_init': 0.005,  'solver': 'adam'}"/>
        <s v="{'activation': 'identity', 'hidden_layer_sizes': (150, 75), 'learning_rate_init': 0.01,  'solver': 'adam'}"/>
        <s v="{'activation': 'tanh', 'hidden_layer_sizes': (200, 75, 25), 'learning_rate_init': 0.005,  'solver': 'adam'}"/>
        <s v="{'activation': 'identity', 'hidden_layer_sizes': 100, 'learning_rate_init': 0.001,  'solver': 'adam'}"/>
        <s v="{'activation': 'identity', 'hidden_layer_sizes': 150, 'learning_rate_init': 0.005,  'solver': 'adam'}"/>
        <s v="{'activation': 'logistic', 'hidden_layer_sizes': 50, 'learning_rate_init': 0.01,  'solver': 'adam'}"/>
        <s v="{'activation': 'tanh', 'hidden_layer_sizes': (150, 75), 'learning_rate_init': 0.005,  'solver': 'adam'}"/>
        <s v="{'activation': 'relu', 'hidden_layer_sizes': 100, 'learning_rate_init': 0.005,  'solver': 'adam'}"/>
        <s v="{'activation': 'tanh', 'hidden_layer_sizes': 50, 'learning_rate_init': 0.01,  'solver': 'adam'}"/>
        <s v="{'activation': 'identity', 'hidden_layer_sizes': 50, 'learning_rate_init': 0.005,  'solver': 'adam'}"/>
        <s v="{'activation': 'logistic', 'hidden_layer_sizes': (200, 100, 50), 'learning_rate_init': 0.005,  'solver': 'adam'}"/>
        <s v="{'activation': 'logistic', 'hidden_layer_sizes': (200, 75, 25), 'learning_rate_init': 0.001,  'solver': 'adam'}"/>
        <s v="{'activation': 'identity', 'hidden_layer_sizes': (200, 75, 25), 'learning_rate_init': 0.005,  'solver': 'adam'}"/>
        <s v="{'activation': 'relu', 'hidden_layer_sizes': (150, 75), 'learning_rate_init': 0.01,  'solver': 'adam'}"/>
        <s v="{'activation': 'identity', 'hidden_layer_sizes': (200, 75, 25), 'learning_rate_init': 0.01,  'solver': 'adam'}"/>
        <s v="{'activation': 'logistic', 'hidden_layer_sizes': (200, 75, 25), 'learning_rate_init': 0.005,  'solver': 'adam'}"/>
        <s v="{'activation': 'tanh', 'hidden_layer_sizes': (200, 100), 'learning_rate_init': 0.001,  'solver': 'adam'}"/>
        <s v="{'activation': 'logistic', 'hidden_layer_sizes': (200, 100), 'learning_rate_init': 0.005,  'solver': 'sgd'}"/>
        <s v="{'activation': 'tanh', 'hidden_layer_sizes': (200, 100, 50), 'learning_rate_init': 0.01,  'solver': 'adam'}"/>
        <s v="{'activation': 'logistic', 'hidden_layer_sizes': (200, 75, 25), 'learning_rate_init': 0.001,  'solver': 'sgd'}"/>
        <s v="{'activation': 'logistic', 'hidden_layer_sizes': (200, 100), 'learning_rate_init': 0.001,  'solver': 'sgd'}"/>
        <s v="{'activation': 'logistic', 'hidden_layer_sizes': (200, 75, 25), 'learning_rate_init': 0.01,  'solver': 'sgd'}"/>
        <s v="{'activation': 'logistic', 'hidden_layer_sizes': (150, 75), 'learning_rate_init': 0.01,  'solver': 'sgd'}"/>
        <s v="{'activation': 'logistic', 'hidden_layer_sizes': (200, 75, 25), 'learning_rate_init': 0.005,  'solver': 'sgd'}"/>
        <s v="{'activation': 'logistic', 'hidden_layer_sizes': (200, 100), 'learning_rate_init': 0.01,  'solver': 'sgd'}"/>
        <s v="{'activation': 'logistic', 'hidden_layer_sizes': 50, 'learning_rate_init': 0.001,  'solver': 'sgd'}"/>
        <s v="{'activation': 'logistic', 'hidden_layer_sizes': 150, 'learning_rate_init': 0.001,  'solver': 'sgd'}"/>
        <s v="{'activation': 'logistic', 'hidden_layer_sizes': (100, 50), 'learning_rate_init': 0.005,  'solver': 'sgd'}"/>
        <s v="{'activation': 'logistic', 'hidden_layer_sizes': (100, 50), 'learning_rate_init': 0.001,  'solver': 'sgd'}"/>
        <s v="{'activation': 'logistic', 'hidden_layer_sizes': (100, 50), 'learning_rate_init': 0.01,  'solver': 'sgd'}"/>
        <s v="{'activation': 'logistic', 'hidden_layer_sizes': 100, 'learning_rate_init': 0.001,  'solver': 'sgd'}"/>
        <s v="{'activation': 'logistic', 'hidden_layer_sizes': (150, 75), 'learning_rate_init': 0.005,  'solver': 'sgd'}"/>
        <s v="{'activation': 'logistic', 'hidden_layer_sizes': (200, 100, 50), 'learning_rate_init': 0.001,  'solver': 'sgd'}"/>
        <s v="{'activation': 'logistic', 'hidden_layer_sizes': (200, 100, 50), 'learning_rate_init': 0.005,  'solver': 'sgd'}"/>
        <s v="{'activation': 'logistic', 'hidden_layer_sizes': (200, 100, 50), 'learning_rate_init': 0.01,  'solver': 'sgd'}"/>
        <s v="{'activation': 'logistic', 'hidden_layer_sizes': (150, 75), 'learning_rate_init': 0.001,  'solver': 'sgd'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">
  <r>
    <x v="0"/>
    <n v="0.80683553122178997"/>
    <x v="0"/>
    <x v="0"/>
  </r>
  <r>
    <x v="1"/>
    <n v="0.80683553122178997"/>
    <x v="0"/>
    <x v="0"/>
  </r>
  <r>
    <x v="2"/>
    <n v="0.80683553122178997"/>
    <x v="0"/>
    <x v="0"/>
  </r>
  <r>
    <x v="3"/>
    <n v="0.79280393681943195"/>
    <x v="0"/>
    <x v="1"/>
  </r>
  <r>
    <x v="4"/>
    <n v="0.79280393681943195"/>
    <x v="0"/>
    <x v="1"/>
  </r>
  <r>
    <x v="5"/>
    <n v="0.79280393681943195"/>
    <x v="0"/>
    <x v="1"/>
  </r>
  <r>
    <x v="6"/>
    <n v="0.78796843016847695"/>
    <x v="0"/>
    <x v="2"/>
  </r>
  <r>
    <x v="7"/>
    <n v="0.78796843016847695"/>
    <x v="0"/>
    <x v="2"/>
  </r>
  <r>
    <x v="8"/>
    <n v="0.78796843016847695"/>
    <x v="0"/>
    <x v="2"/>
  </r>
  <r>
    <x v="9"/>
    <n v="0.78796843016847695"/>
    <x v="0"/>
    <x v="3"/>
  </r>
  <r>
    <x v="10"/>
    <n v="0.78796843016847695"/>
    <x v="0"/>
    <x v="3"/>
  </r>
  <r>
    <x v="11"/>
    <n v="0.78796843016847695"/>
    <x v="0"/>
    <x v="3"/>
  </r>
  <r>
    <x v="12"/>
    <n v="0.78796843016847695"/>
    <x v="0"/>
    <x v="4"/>
  </r>
  <r>
    <x v="13"/>
    <n v="0.78796843016847695"/>
    <x v="0"/>
    <x v="4"/>
  </r>
  <r>
    <x v="14"/>
    <n v="0.78796843016847695"/>
    <x v="0"/>
    <x v="4"/>
  </r>
  <r>
    <x v="15"/>
    <n v="0.78716269841269804"/>
    <x v="0"/>
    <x v="5"/>
  </r>
  <r>
    <x v="16"/>
    <n v="0.78716269841269804"/>
    <x v="0"/>
    <x v="5"/>
  </r>
  <r>
    <x v="17"/>
    <n v="0.78716269841269804"/>
    <x v="0"/>
    <x v="5"/>
  </r>
  <r>
    <x v="18"/>
    <n v="0.78163793103448198"/>
    <x v="0"/>
    <x v="6"/>
  </r>
  <r>
    <x v="19"/>
    <n v="0.78163793103448198"/>
    <x v="0"/>
    <x v="6"/>
  </r>
  <r>
    <x v="20"/>
    <n v="0.78163793103448198"/>
    <x v="0"/>
    <x v="6"/>
  </r>
  <r>
    <x v="21"/>
    <n v="0.78139692228675195"/>
    <x v="0"/>
    <x v="7"/>
  </r>
  <r>
    <x v="22"/>
    <n v="0.78139692228675195"/>
    <x v="0"/>
    <x v="7"/>
  </r>
  <r>
    <x v="23"/>
    <n v="0.78139692228675195"/>
    <x v="0"/>
    <x v="7"/>
  </r>
  <r>
    <x v="24"/>
    <n v="0.77570588235294102"/>
    <x v="0"/>
    <x v="8"/>
  </r>
  <r>
    <x v="25"/>
    <n v="0.77570588235294102"/>
    <x v="0"/>
    <x v="8"/>
  </r>
  <r>
    <x v="26"/>
    <n v="0.77570588235294102"/>
    <x v="0"/>
    <x v="8"/>
  </r>
  <r>
    <x v="27"/>
    <n v="0.77563639220615899"/>
    <x v="0"/>
    <x v="9"/>
  </r>
  <r>
    <x v="28"/>
    <n v="0.77563639220615899"/>
    <x v="0"/>
    <x v="10"/>
  </r>
  <r>
    <x v="29"/>
    <n v="0.77563639220615899"/>
    <x v="0"/>
    <x v="10"/>
  </r>
  <r>
    <x v="30"/>
    <n v="0.77563639220615899"/>
    <x v="0"/>
    <x v="10"/>
  </r>
  <r>
    <x v="31"/>
    <n v="0.77563639220615899"/>
    <x v="0"/>
    <x v="9"/>
  </r>
  <r>
    <x v="32"/>
    <n v="0.77563639220615899"/>
    <x v="0"/>
    <x v="9"/>
  </r>
  <r>
    <x v="33"/>
    <n v="0.77549598488426996"/>
    <x v="0"/>
    <x v="11"/>
  </r>
  <r>
    <x v="34"/>
    <n v="0.77549598488426996"/>
    <x v="0"/>
    <x v="12"/>
  </r>
  <r>
    <x v="35"/>
    <n v="0.77549598488426996"/>
    <x v="0"/>
    <x v="12"/>
  </r>
  <r>
    <x v="36"/>
    <n v="0.77549598488426996"/>
    <x v="0"/>
    <x v="12"/>
  </r>
  <r>
    <x v="37"/>
    <n v="0.77549598488426996"/>
    <x v="0"/>
    <x v="11"/>
  </r>
  <r>
    <x v="38"/>
    <n v="0.77549598488426996"/>
    <x v="0"/>
    <x v="11"/>
  </r>
  <r>
    <x v="39"/>
    <n v="0.77528409090909001"/>
    <x v="0"/>
    <x v="13"/>
  </r>
  <r>
    <x v="40"/>
    <n v="0.77528409090909001"/>
    <x v="0"/>
    <x v="13"/>
  </r>
  <r>
    <x v="41"/>
    <n v="0.77528409090909001"/>
    <x v="0"/>
    <x v="13"/>
  </r>
  <r>
    <x v="42"/>
    <n v="0.77500000000000002"/>
    <x v="0"/>
    <x v="14"/>
  </r>
  <r>
    <x v="43"/>
    <n v="0.77500000000000002"/>
    <x v="0"/>
    <x v="15"/>
  </r>
  <r>
    <x v="44"/>
    <n v="0.77500000000000002"/>
    <x v="0"/>
    <x v="15"/>
  </r>
  <r>
    <x v="45"/>
    <n v="0.77500000000000002"/>
    <x v="0"/>
    <x v="14"/>
  </r>
  <r>
    <x v="46"/>
    <n v="0.77500000000000002"/>
    <x v="0"/>
    <x v="15"/>
  </r>
  <r>
    <x v="47"/>
    <n v="0.77500000000000002"/>
    <x v="0"/>
    <x v="16"/>
  </r>
  <r>
    <x v="48"/>
    <n v="0.77500000000000002"/>
    <x v="0"/>
    <x v="14"/>
  </r>
  <r>
    <x v="49"/>
    <n v="0.77500000000000002"/>
    <x v="0"/>
    <x v="16"/>
  </r>
  <r>
    <x v="50"/>
    <n v="0.77500000000000002"/>
    <x v="0"/>
    <x v="16"/>
  </r>
  <r>
    <x v="51"/>
    <n v="0.77464285714285697"/>
    <x v="0"/>
    <x v="17"/>
  </r>
  <r>
    <x v="52"/>
    <n v="0.77464285714285697"/>
    <x v="0"/>
    <x v="18"/>
  </r>
  <r>
    <x v="53"/>
    <n v="0.77464285714285697"/>
    <x v="0"/>
    <x v="17"/>
  </r>
  <r>
    <x v="54"/>
    <n v="0.77464285714285697"/>
    <x v="0"/>
    <x v="18"/>
  </r>
  <r>
    <x v="55"/>
    <n v="0.77464285714285697"/>
    <x v="0"/>
    <x v="17"/>
  </r>
  <r>
    <x v="56"/>
    <n v="0.77464285714285697"/>
    <x v="0"/>
    <x v="18"/>
  </r>
  <r>
    <x v="57"/>
    <n v="0.77421165790730995"/>
    <x v="0"/>
    <x v="19"/>
  </r>
  <r>
    <x v="58"/>
    <n v="0.77421165790730995"/>
    <x v="0"/>
    <x v="19"/>
  </r>
  <r>
    <x v="59"/>
    <n v="0.77421165790730995"/>
    <x v="0"/>
    <x v="19"/>
  </r>
  <r>
    <x v="60"/>
    <n v="0.769484011912692"/>
    <x v="0"/>
    <x v="20"/>
  </r>
  <r>
    <x v="61"/>
    <n v="0.769484011912692"/>
    <x v="0"/>
    <x v="20"/>
  </r>
  <r>
    <x v="62"/>
    <n v="0.769484011912692"/>
    <x v="0"/>
    <x v="20"/>
  </r>
  <r>
    <x v="63"/>
    <n v="0.76944885984536204"/>
    <x v="0"/>
    <x v="21"/>
  </r>
  <r>
    <x v="64"/>
    <n v="0.76944885984536204"/>
    <x v="0"/>
    <x v="21"/>
  </r>
  <r>
    <x v="65"/>
    <n v="0.76944885984536204"/>
    <x v="0"/>
    <x v="21"/>
  </r>
  <r>
    <x v="66"/>
    <n v="0.76934106012347103"/>
    <x v="0"/>
    <x v="22"/>
  </r>
  <r>
    <x v="67"/>
    <n v="0.76934106012347103"/>
    <x v="0"/>
    <x v="23"/>
  </r>
  <r>
    <x v="68"/>
    <n v="0.76934106012347103"/>
    <x v="0"/>
    <x v="22"/>
  </r>
  <r>
    <x v="69"/>
    <n v="0.76934106012347103"/>
    <x v="0"/>
    <x v="22"/>
  </r>
  <r>
    <x v="70"/>
    <n v="0.76934106012347103"/>
    <x v="0"/>
    <x v="23"/>
  </r>
  <r>
    <x v="71"/>
    <n v="0.76934106012347103"/>
    <x v="0"/>
    <x v="23"/>
  </r>
  <r>
    <x v="72"/>
    <n v="0.76916009852216705"/>
    <x v="0"/>
    <x v="24"/>
  </r>
  <r>
    <x v="73"/>
    <n v="0.76916009852216705"/>
    <x v="0"/>
    <x v="25"/>
  </r>
  <r>
    <x v="74"/>
    <n v="0.76916009852216705"/>
    <x v="0"/>
    <x v="26"/>
  </r>
  <r>
    <x v="75"/>
    <n v="0.76916009852216705"/>
    <x v="0"/>
    <x v="26"/>
  </r>
  <r>
    <x v="76"/>
    <n v="0.76916009852216705"/>
    <x v="0"/>
    <x v="24"/>
  </r>
  <r>
    <x v="77"/>
    <n v="0.76916009852216705"/>
    <x v="0"/>
    <x v="27"/>
  </r>
  <r>
    <x v="78"/>
    <n v="0.76916009852216705"/>
    <x v="0"/>
    <x v="25"/>
  </r>
  <r>
    <x v="79"/>
    <n v="0.76916009852216705"/>
    <x v="0"/>
    <x v="25"/>
  </r>
  <r>
    <x v="80"/>
    <n v="0.76916009852216705"/>
    <x v="0"/>
    <x v="26"/>
  </r>
  <r>
    <x v="81"/>
    <n v="0.76916009852216705"/>
    <x v="0"/>
    <x v="24"/>
  </r>
  <r>
    <x v="82"/>
    <n v="0.76916009852216705"/>
    <x v="0"/>
    <x v="27"/>
  </r>
  <r>
    <x v="83"/>
    <n v="0.76916009852216705"/>
    <x v="0"/>
    <x v="28"/>
  </r>
  <r>
    <x v="84"/>
    <n v="0.76916009852216705"/>
    <x v="0"/>
    <x v="28"/>
  </r>
  <r>
    <x v="85"/>
    <n v="0.76916009852216705"/>
    <x v="0"/>
    <x v="28"/>
  </r>
  <r>
    <x v="86"/>
    <n v="0.76916009852216705"/>
    <x v="0"/>
    <x v="27"/>
  </r>
  <r>
    <x v="87"/>
    <n v="0.76890531784599503"/>
    <x v="0"/>
    <x v="29"/>
  </r>
  <r>
    <x v="88"/>
    <n v="0.76890531784599503"/>
    <x v="0"/>
    <x v="30"/>
  </r>
  <r>
    <x v="89"/>
    <n v="0.76890531784599503"/>
    <x v="0"/>
    <x v="29"/>
  </r>
  <r>
    <x v="90"/>
    <n v="0.76890531784599503"/>
    <x v="0"/>
    <x v="30"/>
  </r>
  <r>
    <x v="91"/>
    <n v="0.76890531784599503"/>
    <x v="0"/>
    <x v="30"/>
  </r>
  <r>
    <x v="92"/>
    <n v="0.76890531784599503"/>
    <x v="0"/>
    <x v="31"/>
  </r>
  <r>
    <x v="93"/>
    <n v="0.76890531784599503"/>
    <x v="0"/>
    <x v="31"/>
  </r>
  <r>
    <x v="94"/>
    <n v="0.76890531784599503"/>
    <x v="0"/>
    <x v="29"/>
  </r>
  <r>
    <x v="95"/>
    <n v="0.76890531784599503"/>
    <x v="0"/>
    <x v="31"/>
  </r>
  <r>
    <x v="96"/>
    <n v="0.76890531784599503"/>
    <x v="0"/>
    <x v="32"/>
  </r>
  <r>
    <x v="97"/>
    <n v="0.76890531784599503"/>
    <x v="0"/>
    <x v="33"/>
  </r>
  <r>
    <x v="98"/>
    <n v="0.76890531784599503"/>
    <x v="0"/>
    <x v="33"/>
  </r>
  <r>
    <x v="99"/>
    <n v="0.76890531784599503"/>
    <x v="0"/>
    <x v="33"/>
  </r>
  <r>
    <x v="100"/>
    <n v="0.76857591425967697"/>
    <x v="0"/>
    <x v="34"/>
  </r>
  <r>
    <x v="101"/>
    <n v="0.76857591425967697"/>
    <x v="0"/>
    <x v="34"/>
  </r>
  <r>
    <x v="102"/>
    <n v="0.76857591425967697"/>
    <x v="0"/>
    <x v="34"/>
  </r>
  <r>
    <x v="103"/>
    <n v="0.76817093286696603"/>
    <x v="0"/>
    <x v="35"/>
  </r>
  <r>
    <x v="104"/>
    <n v="0.76817093286696603"/>
    <x v="0"/>
    <x v="35"/>
  </r>
  <r>
    <x v="105"/>
    <n v="0.76817093286696603"/>
    <x v="0"/>
    <x v="35"/>
  </r>
  <r>
    <x v="106"/>
    <n v="0.76768926249451497"/>
    <x v="0"/>
    <x v="36"/>
  </r>
  <r>
    <x v="107"/>
    <n v="0.76768926249451497"/>
    <x v="0"/>
    <x v="36"/>
  </r>
  <r>
    <x v="108"/>
    <n v="0.76768926249451497"/>
    <x v="0"/>
    <x v="36"/>
  </r>
  <r>
    <x v="109"/>
    <n v="0.76768926249451497"/>
    <x v="0"/>
    <x v="37"/>
  </r>
  <r>
    <x v="110"/>
    <n v="0.76768926249451497"/>
    <x v="0"/>
    <x v="37"/>
  </r>
  <r>
    <x v="111"/>
    <n v="0.76768926249451497"/>
    <x v="0"/>
    <x v="37"/>
  </r>
  <r>
    <x v="112"/>
    <n v="0.76317174732872395"/>
    <x v="0"/>
    <x v="38"/>
  </r>
  <r>
    <x v="113"/>
    <n v="0.76317174732872395"/>
    <x v="0"/>
    <x v="38"/>
  </r>
  <r>
    <x v="114"/>
    <n v="0.76317174732872395"/>
    <x v="0"/>
    <x v="39"/>
  </r>
  <r>
    <x v="115"/>
    <n v="0.76317174732872395"/>
    <x v="0"/>
    <x v="39"/>
  </r>
  <r>
    <x v="116"/>
    <n v="0.76317174732872395"/>
    <x v="0"/>
    <x v="39"/>
  </r>
  <r>
    <x v="117"/>
    <n v="0.76317174732872395"/>
    <x v="0"/>
    <x v="38"/>
  </r>
  <r>
    <x v="118"/>
    <n v="0.76302353960006297"/>
    <x v="0"/>
    <x v="40"/>
  </r>
  <r>
    <x v="119"/>
    <n v="0.76302353960006297"/>
    <x v="0"/>
    <x v="40"/>
  </r>
  <r>
    <x v="120"/>
    <n v="0.76302353960006297"/>
    <x v="0"/>
    <x v="41"/>
  </r>
  <r>
    <x v="121"/>
    <n v="0.76302353960006297"/>
    <x v="0"/>
    <x v="41"/>
  </r>
  <r>
    <x v="122"/>
    <n v="0.76302353960006297"/>
    <x v="0"/>
    <x v="40"/>
  </r>
  <r>
    <x v="123"/>
    <n v="0.76279987373737301"/>
    <x v="0"/>
    <x v="42"/>
  </r>
  <r>
    <x v="124"/>
    <n v="0.76279987373737301"/>
    <x v="0"/>
    <x v="43"/>
  </r>
  <r>
    <x v="125"/>
    <n v="0.76279987373737301"/>
    <x v="0"/>
    <x v="42"/>
  </r>
  <r>
    <x v="126"/>
    <n v="0.76279987373737301"/>
    <x v="0"/>
    <x v="44"/>
  </r>
  <r>
    <x v="127"/>
    <n v="0.76279987373737301"/>
    <x v="0"/>
    <x v="45"/>
  </r>
  <r>
    <x v="128"/>
    <n v="0.76279987373737301"/>
    <x v="0"/>
    <x v="45"/>
  </r>
  <r>
    <x v="129"/>
    <n v="0.76279987373737301"/>
    <x v="0"/>
    <x v="45"/>
  </r>
  <r>
    <x v="130"/>
    <n v="0.76279987373737301"/>
    <x v="0"/>
    <x v="44"/>
  </r>
  <r>
    <x v="131"/>
    <n v="0.76279987373737301"/>
    <x v="0"/>
    <x v="43"/>
  </r>
  <r>
    <x v="132"/>
    <n v="0.76279987373737301"/>
    <x v="0"/>
    <x v="43"/>
  </r>
  <r>
    <x v="133"/>
    <n v="0.76279987373737301"/>
    <x v="0"/>
    <x v="44"/>
  </r>
  <r>
    <x v="134"/>
    <n v="0.76279987373737301"/>
    <x v="0"/>
    <x v="42"/>
  </r>
  <r>
    <x v="135"/>
    <n v="0.76249999999999996"/>
    <x v="0"/>
    <x v="46"/>
  </r>
  <r>
    <x v="136"/>
    <n v="0.76249999999999996"/>
    <x v="0"/>
    <x v="47"/>
  </r>
  <r>
    <x v="137"/>
    <n v="0.76249999999999996"/>
    <x v="0"/>
    <x v="48"/>
  </r>
  <r>
    <x v="138"/>
    <n v="0.76249999999999996"/>
    <x v="0"/>
    <x v="48"/>
  </r>
  <r>
    <x v="139"/>
    <n v="0.76249999999999996"/>
    <x v="0"/>
    <x v="48"/>
  </r>
  <r>
    <x v="140"/>
    <n v="0.76249999999999996"/>
    <x v="0"/>
    <x v="47"/>
  </r>
  <r>
    <x v="141"/>
    <n v="0.76249999999999996"/>
    <x v="0"/>
    <x v="46"/>
  </r>
  <r>
    <x v="142"/>
    <n v="0.76249999999999996"/>
    <x v="0"/>
    <x v="47"/>
  </r>
  <r>
    <x v="143"/>
    <n v="0.76249999999999996"/>
    <x v="0"/>
    <x v="46"/>
  </r>
  <r>
    <x v="144"/>
    <n v="0.76212301587301501"/>
    <x v="0"/>
    <x v="49"/>
  </r>
  <r>
    <x v="145"/>
    <n v="0.76212301587301501"/>
    <x v="0"/>
    <x v="50"/>
  </r>
  <r>
    <x v="146"/>
    <n v="0.76212301587301501"/>
    <x v="0"/>
    <x v="49"/>
  </r>
  <r>
    <x v="147"/>
    <n v="0.76212301587301501"/>
    <x v="0"/>
    <x v="50"/>
  </r>
  <r>
    <x v="148"/>
    <n v="0.76212301587301501"/>
    <x v="0"/>
    <x v="49"/>
  </r>
  <r>
    <x v="149"/>
    <n v="0.76212301587301501"/>
    <x v="0"/>
    <x v="50"/>
  </r>
  <r>
    <x v="150"/>
    <n v="0.76166786112438201"/>
    <x v="0"/>
    <x v="51"/>
  </r>
  <r>
    <x v="151"/>
    <n v="0.76166786112438201"/>
    <x v="0"/>
    <x v="51"/>
  </r>
  <r>
    <x v="152"/>
    <n v="0.76166786112438201"/>
    <x v="0"/>
    <x v="51"/>
  </r>
  <r>
    <x v="153"/>
    <n v="0.75698663605322003"/>
    <x v="0"/>
    <x v="52"/>
  </r>
  <r>
    <x v="154"/>
    <n v="0.75698663605322003"/>
    <x v="0"/>
    <x v="52"/>
  </r>
  <r>
    <x v="155"/>
    <n v="0.75698663605322003"/>
    <x v="0"/>
    <x v="52"/>
  </r>
  <r>
    <x v="156"/>
    <n v="0.75687300931933399"/>
    <x v="0"/>
    <x v="53"/>
  </r>
  <r>
    <x v="157"/>
    <n v="0.75687300931933399"/>
    <x v="0"/>
    <x v="54"/>
  </r>
  <r>
    <x v="158"/>
    <n v="0.75687300931933399"/>
    <x v="0"/>
    <x v="55"/>
  </r>
  <r>
    <x v="159"/>
    <n v="0.75687300931933399"/>
    <x v="0"/>
    <x v="54"/>
  </r>
  <r>
    <x v="160"/>
    <n v="0.75687300931933399"/>
    <x v="0"/>
    <x v="55"/>
  </r>
  <r>
    <x v="161"/>
    <n v="0.75687300931933399"/>
    <x v="0"/>
    <x v="55"/>
  </r>
  <r>
    <x v="162"/>
    <n v="0.75687300931933399"/>
    <x v="0"/>
    <x v="53"/>
  </r>
  <r>
    <x v="163"/>
    <n v="0.75687300931933399"/>
    <x v="0"/>
    <x v="54"/>
  </r>
  <r>
    <x v="164"/>
    <n v="0.75687300931933399"/>
    <x v="0"/>
    <x v="53"/>
  </r>
  <r>
    <x v="165"/>
    <n v="0.756682266009852"/>
    <x v="0"/>
    <x v="56"/>
  </r>
  <r>
    <x v="166"/>
    <n v="0.756682266009852"/>
    <x v="0"/>
    <x v="57"/>
  </r>
  <r>
    <x v="167"/>
    <n v="0.756682266009852"/>
    <x v="0"/>
    <x v="58"/>
  </r>
  <r>
    <x v="168"/>
    <n v="0.756682266009852"/>
    <x v="0"/>
    <x v="57"/>
  </r>
  <r>
    <x v="169"/>
    <n v="0.756682266009852"/>
    <x v="0"/>
    <x v="57"/>
  </r>
  <r>
    <x v="170"/>
    <n v="0.756682266009852"/>
    <x v="0"/>
    <x v="58"/>
  </r>
  <r>
    <x v="171"/>
    <n v="0.756682266009852"/>
    <x v="0"/>
    <x v="59"/>
  </r>
  <r>
    <x v="172"/>
    <n v="0.756682266009852"/>
    <x v="0"/>
    <x v="59"/>
  </r>
  <r>
    <x v="173"/>
    <n v="0.756682266009852"/>
    <x v="0"/>
    <x v="59"/>
  </r>
  <r>
    <x v="174"/>
    <n v="0.756682266009852"/>
    <x v="0"/>
    <x v="56"/>
  </r>
  <r>
    <x v="175"/>
    <n v="0.756682266009852"/>
    <x v="0"/>
    <x v="60"/>
  </r>
  <r>
    <x v="176"/>
    <n v="0.756682266009852"/>
    <x v="0"/>
    <x v="60"/>
  </r>
  <r>
    <x v="177"/>
    <n v="0.756682266009852"/>
    <x v="0"/>
    <x v="60"/>
  </r>
  <r>
    <x v="178"/>
    <n v="0.756682266009852"/>
    <x v="0"/>
    <x v="58"/>
  </r>
  <r>
    <x v="179"/>
    <n v="0.756682266009852"/>
    <x v="0"/>
    <x v="56"/>
  </r>
  <r>
    <x v="180"/>
    <n v="0.756413713405238"/>
    <x v="0"/>
    <x v="61"/>
  </r>
  <r>
    <x v="181"/>
    <n v="0.756413713405238"/>
    <x v="0"/>
    <x v="62"/>
  </r>
  <r>
    <x v="182"/>
    <n v="0.756413713405238"/>
    <x v="0"/>
    <x v="63"/>
  </r>
  <r>
    <x v="183"/>
    <n v="0.756413713405238"/>
    <x v="0"/>
    <x v="62"/>
  </r>
  <r>
    <x v="184"/>
    <n v="0.756413713405238"/>
    <x v="0"/>
    <x v="61"/>
  </r>
  <r>
    <x v="185"/>
    <n v="0.756413713405238"/>
    <x v="0"/>
    <x v="63"/>
  </r>
  <r>
    <x v="186"/>
    <n v="0.756413713405238"/>
    <x v="0"/>
    <x v="61"/>
  </r>
  <r>
    <x v="187"/>
    <n v="0.756413713405238"/>
    <x v="0"/>
    <x v="63"/>
  </r>
  <r>
    <x v="188"/>
    <n v="0.756413713405238"/>
    <x v="0"/>
    <x v="62"/>
  </r>
  <r>
    <x v="189"/>
    <n v="0.75606650421966004"/>
    <x v="0"/>
    <x v="64"/>
  </r>
  <r>
    <x v="190"/>
    <n v="0.75606650421966004"/>
    <x v="0"/>
    <x v="64"/>
  </r>
  <r>
    <x v="191"/>
    <n v="0.75606650421966004"/>
    <x v="0"/>
    <x v="65"/>
  </r>
  <r>
    <x v="192"/>
    <n v="0.75606650421966004"/>
    <x v="0"/>
    <x v="65"/>
  </r>
  <r>
    <x v="193"/>
    <n v="0.75606650421966004"/>
    <x v="0"/>
    <x v="65"/>
  </r>
  <r>
    <x v="194"/>
    <n v="0.75606650421966004"/>
    <x v="0"/>
    <x v="66"/>
  </r>
  <r>
    <x v="195"/>
    <n v="0.75606650421966004"/>
    <x v="0"/>
    <x v="66"/>
  </r>
  <r>
    <x v="196"/>
    <n v="0.75606650421966004"/>
    <x v="0"/>
    <x v="66"/>
  </r>
  <r>
    <x v="197"/>
    <n v="0.75606650421966004"/>
    <x v="0"/>
    <x v="67"/>
  </r>
  <r>
    <x v="198"/>
    <n v="0.75606650421966004"/>
    <x v="0"/>
    <x v="68"/>
  </r>
  <r>
    <x v="199"/>
    <n v="0.75606650421966004"/>
    <x v="0"/>
    <x v="69"/>
  </r>
  <r>
    <x v="200"/>
    <n v="0.75606650421966004"/>
    <x v="0"/>
    <x v="68"/>
  </r>
  <r>
    <x v="201"/>
    <n v="0.75606650421966004"/>
    <x v="0"/>
    <x v="70"/>
  </r>
  <r>
    <x v="202"/>
    <n v="0.75606650421966004"/>
    <x v="0"/>
    <x v="71"/>
  </r>
  <r>
    <x v="203"/>
    <n v="0.75606650421966004"/>
    <x v="0"/>
    <x v="70"/>
  </r>
  <r>
    <x v="204"/>
    <n v="0.75606650421966004"/>
    <x v="0"/>
    <x v="71"/>
  </r>
  <r>
    <x v="205"/>
    <n v="0.75606650421966004"/>
    <x v="0"/>
    <x v="70"/>
  </r>
  <r>
    <x v="206"/>
    <n v="0.75606650421966004"/>
    <x v="0"/>
    <x v="71"/>
  </r>
  <r>
    <x v="207"/>
    <n v="0.75606650421966004"/>
    <x v="0"/>
    <x v="67"/>
  </r>
  <r>
    <x v="208"/>
    <n v="0.75606650421966004"/>
    <x v="0"/>
    <x v="67"/>
  </r>
  <r>
    <x v="209"/>
    <n v="0.75606650421966004"/>
    <x v="0"/>
    <x v="68"/>
  </r>
  <r>
    <x v="210"/>
    <n v="0.75563963194085604"/>
    <x v="0"/>
    <x v="72"/>
  </r>
  <r>
    <x v="211"/>
    <n v="0.75563963194085604"/>
    <x v="0"/>
    <x v="72"/>
  </r>
  <r>
    <x v="212"/>
    <n v="0.75563963194085604"/>
    <x v="0"/>
    <x v="72"/>
  </r>
  <r>
    <x v="213"/>
    <n v="0.75563963194085604"/>
    <x v="0"/>
    <x v="73"/>
  </r>
  <r>
    <x v="214"/>
    <n v="0.75563963194085604"/>
    <x v="0"/>
    <x v="73"/>
  </r>
  <r>
    <x v="215"/>
    <n v="0.75563963194085604"/>
    <x v="0"/>
    <x v="73"/>
  </r>
  <r>
    <x v="216"/>
    <n v="0.75513192533205697"/>
    <x v="0"/>
    <x v="74"/>
  </r>
  <r>
    <x v="217"/>
    <n v="0.75513192533205697"/>
    <x v="0"/>
    <x v="74"/>
  </r>
  <r>
    <x v="218"/>
    <n v="0.75513192533205697"/>
    <x v="0"/>
    <x v="74"/>
  </r>
  <r>
    <x v="219"/>
    <n v="0.75078431372549004"/>
    <x v="0"/>
    <x v="75"/>
  </r>
  <r>
    <x v="220"/>
    <n v="0.75078431372549004"/>
    <x v="0"/>
    <x v="75"/>
  </r>
  <r>
    <x v="221"/>
    <n v="0.75078431372549004"/>
    <x v="0"/>
    <x v="75"/>
  </r>
  <r>
    <x v="222"/>
    <n v="0.75070710245128802"/>
    <x v="0"/>
    <x v="76"/>
  </r>
  <r>
    <x v="223"/>
    <n v="0.75070710245128802"/>
    <x v="0"/>
    <x v="76"/>
  </r>
  <r>
    <x v="224"/>
    <n v="0.75070710245128802"/>
    <x v="0"/>
    <x v="77"/>
  </r>
  <r>
    <x v="225"/>
    <n v="0.75070710245128802"/>
    <x v="0"/>
    <x v="77"/>
  </r>
  <r>
    <x v="226"/>
    <n v="0.75070710245128802"/>
    <x v="0"/>
    <x v="76"/>
  </r>
  <r>
    <x v="227"/>
    <n v="0.75070710245128802"/>
    <x v="0"/>
    <x v="78"/>
  </r>
  <r>
    <x v="228"/>
    <n v="0.75070710245128802"/>
    <x v="0"/>
    <x v="77"/>
  </r>
  <r>
    <x v="229"/>
    <n v="0.75070710245128802"/>
    <x v="0"/>
    <x v="78"/>
  </r>
  <r>
    <x v="230"/>
    <n v="0.75070710245128802"/>
    <x v="0"/>
    <x v="78"/>
  </r>
  <r>
    <x v="231"/>
    <n v="0.75055109431585498"/>
    <x v="0"/>
    <x v="79"/>
  </r>
  <r>
    <x v="232"/>
    <n v="0.75055109431585498"/>
    <x v="0"/>
    <x v="80"/>
  </r>
  <r>
    <x v="233"/>
    <n v="0.75055109431585498"/>
    <x v="0"/>
    <x v="79"/>
  </r>
  <r>
    <x v="234"/>
    <n v="0.75055109431585498"/>
    <x v="0"/>
    <x v="80"/>
  </r>
  <r>
    <x v="235"/>
    <n v="0.75055109431585498"/>
    <x v="0"/>
    <x v="79"/>
  </r>
  <r>
    <x v="236"/>
    <n v="0.75055109431585498"/>
    <x v="0"/>
    <x v="81"/>
  </r>
  <r>
    <x v="237"/>
    <n v="0.75055109431585498"/>
    <x v="0"/>
    <x v="80"/>
  </r>
  <r>
    <x v="238"/>
    <n v="0.75055109431585498"/>
    <x v="0"/>
    <x v="81"/>
  </r>
  <r>
    <x v="239"/>
    <n v="0.75055109431585498"/>
    <x v="0"/>
    <x v="81"/>
  </r>
  <r>
    <x v="240"/>
    <n v="0.75031565656565602"/>
    <x v="0"/>
    <x v="82"/>
  </r>
  <r>
    <x v="241"/>
    <n v="0.75031565656565602"/>
    <x v="0"/>
    <x v="82"/>
  </r>
  <r>
    <x v="242"/>
    <n v="0.75031565656565602"/>
    <x v="0"/>
    <x v="82"/>
  </r>
  <r>
    <x v="243"/>
    <n v="0.75031565656565602"/>
    <x v="0"/>
    <x v="83"/>
  </r>
  <r>
    <x v="244"/>
    <n v="0.75031565656565602"/>
    <x v="0"/>
    <x v="84"/>
  </r>
  <r>
    <x v="245"/>
    <n v="0.75031565656565602"/>
    <x v="0"/>
    <x v="85"/>
  </r>
  <r>
    <x v="246"/>
    <n v="0.75031565656565602"/>
    <x v="0"/>
    <x v="86"/>
  </r>
  <r>
    <x v="247"/>
    <n v="0.75031565656565602"/>
    <x v="0"/>
    <x v="87"/>
  </r>
  <r>
    <x v="248"/>
    <n v="0.75031565656565602"/>
    <x v="0"/>
    <x v="87"/>
  </r>
  <r>
    <x v="249"/>
    <n v="0.75031565656565602"/>
    <x v="0"/>
    <x v="88"/>
  </r>
  <r>
    <x v="250"/>
    <n v="0.75031565656565602"/>
    <x v="0"/>
    <x v="88"/>
  </r>
  <r>
    <x v="251"/>
    <n v="0.75031565656565602"/>
    <x v="0"/>
    <x v="88"/>
  </r>
  <r>
    <x v="252"/>
    <n v="0.75031565656565602"/>
    <x v="0"/>
    <x v="89"/>
  </r>
  <r>
    <x v="253"/>
    <n v="0.75031565656565602"/>
    <x v="0"/>
    <x v="89"/>
  </r>
  <r>
    <x v="254"/>
    <n v="0.75031565656565602"/>
    <x v="0"/>
    <x v="89"/>
  </r>
  <r>
    <x v="255"/>
    <n v="0.75031565656565602"/>
    <x v="0"/>
    <x v="90"/>
  </r>
  <r>
    <x v="256"/>
    <n v="0.75031565656565602"/>
    <x v="0"/>
    <x v="90"/>
  </r>
  <r>
    <x v="257"/>
    <n v="0.75031565656565602"/>
    <x v="0"/>
    <x v="90"/>
  </r>
  <r>
    <x v="258"/>
    <n v="0.75031565656565602"/>
    <x v="0"/>
    <x v="84"/>
  </r>
  <r>
    <x v="259"/>
    <n v="0.75031565656565602"/>
    <x v="0"/>
    <x v="84"/>
  </r>
  <r>
    <x v="260"/>
    <n v="0.75031565656565602"/>
    <x v="0"/>
    <x v="91"/>
  </r>
  <r>
    <x v="261"/>
    <n v="0.75031565656565602"/>
    <x v="0"/>
    <x v="86"/>
  </r>
  <r>
    <x v="262"/>
    <n v="0.75031565656565602"/>
    <x v="0"/>
    <x v="86"/>
  </r>
  <r>
    <x v="263"/>
    <n v="0.75031565656565602"/>
    <x v="0"/>
    <x v="87"/>
  </r>
  <r>
    <x v="264"/>
    <n v="0.75031565656565602"/>
    <x v="0"/>
    <x v="92"/>
  </r>
  <r>
    <x v="265"/>
    <n v="0.75031565656565602"/>
    <x v="0"/>
    <x v="85"/>
  </r>
  <r>
    <x v="266"/>
    <n v="0.75031565656565602"/>
    <x v="0"/>
    <x v="92"/>
  </r>
  <r>
    <x v="267"/>
    <n v="0.75031565656565602"/>
    <x v="0"/>
    <x v="85"/>
  </r>
  <r>
    <x v="268"/>
    <n v="0.75031565656565602"/>
    <x v="0"/>
    <x v="93"/>
  </r>
  <r>
    <x v="269"/>
    <n v="0.75031565656565602"/>
    <x v="0"/>
    <x v="83"/>
  </r>
  <r>
    <x v="270"/>
    <n v="0.75031565656565602"/>
    <x v="0"/>
    <x v="93"/>
  </r>
  <r>
    <x v="271"/>
    <n v="0.75031565656565602"/>
    <x v="0"/>
    <x v="91"/>
  </r>
  <r>
    <x v="272"/>
    <n v="0.75031565656565602"/>
    <x v="0"/>
    <x v="83"/>
  </r>
  <r>
    <x v="273"/>
    <n v="0.75031565656565602"/>
    <x v="0"/>
    <x v="92"/>
  </r>
  <r>
    <x v="274"/>
    <n v="0.75031565656565602"/>
    <x v="0"/>
    <x v="93"/>
  </r>
  <r>
    <x v="275"/>
    <n v="0.75031565656565602"/>
    <x v="0"/>
    <x v="91"/>
  </r>
  <r>
    <x v="276"/>
    <n v="0.75"/>
    <x v="0"/>
    <x v="94"/>
  </r>
  <r>
    <x v="277"/>
    <n v="0.75"/>
    <x v="0"/>
    <x v="95"/>
  </r>
  <r>
    <x v="278"/>
    <n v="0.75"/>
    <x v="0"/>
    <x v="95"/>
  </r>
  <r>
    <x v="279"/>
    <n v="0.75"/>
    <x v="0"/>
    <x v="96"/>
  </r>
  <r>
    <x v="280"/>
    <n v="0.75"/>
    <x v="0"/>
    <x v="97"/>
  </r>
  <r>
    <x v="281"/>
    <n v="0.75"/>
    <x v="0"/>
    <x v="94"/>
  </r>
  <r>
    <x v="282"/>
    <n v="0.75"/>
    <x v="0"/>
    <x v="97"/>
  </r>
  <r>
    <x v="283"/>
    <n v="0.75"/>
    <x v="0"/>
    <x v="98"/>
  </r>
  <r>
    <x v="284"/>
    <n v="0.75"/>
    <x v="0"/>
    <x v="94"/>
  </r>
  <r>
    <x v="285"/>
    <n v="0.75"/>
    <x v="0"/>
    <x v="95"/>
  </r>
  <r>
    <x v="286"/>
    <n v="0.75"/>
    <x v="0"/>
    <x v="97"/>
  </r>
  <r>
    <x v="287"/>
    <n v="0.75"/>
    <x v="0"/>
    <x v="98"/>
  </r>
  <r>
    <x v="288"/>
    <n v="0.75"/>
    <x v="0"/>
    <x v="98"/>
  </r>
  <r>
    <x v="289"/>
    <n v="0.74960317460317405"/>
    <x v="0"/>
    <x v="99"/>
  </r>
  <r>
    <x v="290"/>
    <n v="0.74960317460317405"/>
    <x v="0"/>
    <x v="99"/>
  </r>
  <r>
    <x v="291"/>
    <n v="0.74960317460317405"/>
    <x v="0"/>
    <x v="99"/>
  </r>
  <r>
    <x v="292"/>
    <n v="0.74960317460317405"/>
    <x v="0"/>
    <x v="100"/>
  </r>
  <r>
    <x v="293"/>
    <n v="0.74960317460317405"/>
    <x v="0"/>
    <x v="101"/>
  </r>
  <r>
    <x v="294"/>
    <n v="0.74960317460317405"/>
    <x v="0"/>
    <x v="102"/>
  </r>
  <r>
    <x v="295"/>
    <n v="0.74960317460317405"/>
    <x v="0"/>
    <x v="102"/>
  </r>
  <r>
    <x v="296"/>
    <n v="0.74960317460317405"/>
    <x v="0"/>
    <x v="101"/>
  </r>
  <r>
    <x v="297"/>
    <n v="0.74960317460317405"/>
    <x v="0"/>
    <x v="103"/>
  </r>
  <r>
    <x v="298"/>
    <n v="0.74960317460317405"/>
    <x v="0"/>
    <x v="103"/>
  </r>
  <r>
    <x v="299"/>
    <n v="0.74960317460317405"/>
    <x v="0"/>
    <x v="103"/>
  </r>
  <r>
    <x v="300"/>
    <n v="0.74960317460317405"/>
    <x v="0"/>
    <x v="101"/>
  </r>
  <r>
    <x v="301"/>
    <n v="0.74960317460317405"/>
    <x v="0"/>
    <x v="102"/>
  </r>
  <r>
    <x v="302"/>
    <n v="0.74960317460317405"/>
    <x v="0"/>
    <x v="100"/>
  </r>
  <r>
    <x v="303"/>
    <n v="0.74960317460317405"/>
    <x v="0"/>
    <x v="100"/>
  </r>
  <r>
    <x v="304"/>
    <n v="0.74912406434145495"/>
    <x v="0"/>
    <x v="104"/>
  </r>
  <r>
    <x v="305"/>
    <n v="0.74912406434145495"/>
    <x v="0"/>
    <x v="104"/>
  </r>
  <r>
    <x v="306"/>
    <n v="0.74912406434145495"/>
    <x v="0"/>
    <x v="105"/>
  </r>
  <r>
    <x v="307"/>
    <n v="0.74912406434145495"/>
    <x v="0"/>
    <x v="105"/>
  </r>
  <r>
    <x v="308"/>
    <n v="0.74912406434145495"/>
    <x v="0"/>
    <x v="105"/>
  </r>
  <r>
    <x v="309"/>
    <n v="0.74912406434145495"/>
    <x v="0"/>
    <x v="104"/>
  </r>
  <r>
    <x v="310"/>
    <n v="0.74856138107416803"/>
    <x v="0"/>
    <x v="106"/>
  </r>
  <r>
    <x v="311"/>
    <n v="0.74856138107416803"/>
    <x v="0"/>
    <x v="106"/>
  </r>
  <r>
    <x v="312"/>
    <n v="0.74856138107416803"/>
    <x v="0"/>
    <x v="107"/>
  </r>
  <r>
    <x v="313"/>
    <n v="0.74856138107416803"/>
    <x v="0"/>
    <x v="107"/>
  </r>
  <r>
    <x v="314"/>
    <n v="0.74856138107416803"/>
    <x v="0"/>
    <x v="107"/>
  </r>
  <r>
    <x v="315"/>
    <n v="0.74856138107416803"/>
    <x v="0"/>
    <x v="106"/>
  </r>
  <r>
    <x v="316"/>
    <n v="0.74456336455190197"/>
    <x v="0"/>
    <x v="108"/>
  </r>
  <r>
    <x v="317"/>
    <n v="0.74456336455190197"/>
    <x v="0"/>
    <x v="108"/>
  </r>
  <r>
    <x v="318"/>
    <n v="0.74456336455190197"/>
    <x v="0"/>
    <x v="108"/>
  </r>
  <r>
    <x v="319"/>
    <n v="0.74452441226107702"/>
    <x v="0"/>
    <x v="109"/>
  </r>
  <r>
    <x v="320"/>
    <n v="0.74452441226107702"/>
    <x v="0"/>
    <x v="109"/>
  </r>
  <r>
    <x v="321"/>
    <n v="0.74452441226107702"/>
    <x v="0"/>
    <x v="109"/>
  </r>
  <r>
    <x v="322"/>
    <n v="0.74440495851519795"/>
    <x v="0"/>
    <x v="110"/>
  </r>
  <r>
    <x v="323"/>
    <n v="0.74440495851519795"/>
    <x v="0"/>
    <x v="111"/>
  </r>
  <r>
    <x v="324"/>
    <n v="0.74440495851519795"/>
    <x v="0"/>
    <x v="110"/>
  </r>
  <r>
    <x v="325"/>
    <n v="0.74440495851519795"/>
    <x v="0"/>
    <x v="110"/>
  </r>
  <r>
    <x v="326"/>
    <n v="0.74440495851519795"/>
    <x v="0"/>
    <x v="112"/>
  </r>
  <r>
    <x v="327"/>
    <n v="0.74440495851519795"/>
    <x v="0"/>
    <x v="112"/>
  </r>
  <r>
    <x v="328"/>
    <n v="0.74440495851519795"/>
    <x v="0"/>
    <x v="113"/>
  </r>
  <r>
    <x v="329"/>
    <n v="0.74440495851519795"/>
    <x v="0"/>
    <x v="111"/>
  </r>
  <r>
    <x v="330"/>
    <n v="0.74440495851519795"/>
    <x v="0"/>
    <x v="112"/>
  </r>
  <r>
    <x v="331"/>
    <n v="0.74440495851519795"/>
    <x v="0"/>
    <x v="113"/>
  </r>
  <r>
    <x v="332"/>
    <n v="0.74440495851519795"/>
    <x v="0"/>
    <x v="111"/>
  </r>
  <r>
    <x v="333"/>
    <n v="0.74440495851519795"/>
    <x v="0"/>
    <x v="113"/>
  </r>
  <r>
    <x v="334"/>
    <n v="0.74440495851519795"/>
    <x v="0"/>
    <x v="114"/>
  </r>
  <r>
    <x v="335"/>
    <n v="0.74440495851519795"/>
    <x v="0"/>
    <x v="114"/>
  </r>
  <r>
    <x v="336"/>
    <n v="0.74440495851519795"/>
    <x v="0"/>
    <x v="114"/>
  </r>
  <r>
    <x v="337"/>
    <n v="0.74420443349753695"/>
    <x v="0"/>
    <x v="115"/>
  </r>
  <r>
    <x v="338"/>
    <n v="0.74420443349753695"/>
    <x v="0"/>
    <x v="115"/>
  </r>
  <r>
    <x v="339"/>
    <n v="0.74420443349753695"/>
    <x v="0"/>
    <x v="115"/>
  </r>
  <r>
    <x v="340"/>
    <n v="0.74392210896448197"/>
    <x v="0"/>
    <x v="116"/>
  </r>
  <r>
    <x v="341"/>
    <n v="0.74392210896448197"/>
    <x v="0"/>
    <x v="117"/>
  </r>
  <r>
    <x v="342"/>
    <n v="0.74392210896448197"/>
    <x v="0"/>
    <x v="116"/>
  </r>
  <r>
    <x v="343"/>
    <n v="0.74392210896448197"/>
    <x v="0"/>
    <x v="116"/>
  </r>
  <r>
    <x v="344"/>
    <n v="0.74392210896448197"/>
    <x v="0"/>
    <x v="118"/>
  </r>
  <r>
    <x v="345"/>
    <n v="0.74392210896448197"/>
    <x v="0"/>
    <x v="118"/>
  </r>
  <r>
    <x v="346"/>
    <n v="0.74392210896448197"/>
    <x v="0"/>
    <x v="118"/>
  </r>
  <r>
    <x v="347"/>
    <n v="0.74392210896448197"/>
    <x v="0"/>
    <x v="117"/>
  </r>
  <r>
    <x v="348"/>
    <n v="0.74392210896448197"/>
    <x v="0"/>
    <x v="117"/>
  </r>
  <r>
    <x v="349"/>
    <n v="0.74392210896448197"/>
    <x v="0"/>
    <x v="119"/>
  </r>
  <r>
    <x v="350"/>
    <n v="0.74392210896448197"/>
    <x v="0"/>
    <x v="120"/>
  </r>
  <r>
    <x v="351"/>
    <n v="0.74392210896448197"/>
    <x v="0"/>
    <x v="119"/>
  </r>
  <r>
    <x v="352"/>
    <n v="0.74392210896448197"/>
    <x v="0"/>
    <x v="120"/>
  </r>
  <r>
    <x v="353"/>
    <n v="0.74392210896448197"/>
    <x v="0"/>
    <x v="121"/>
  </r>
  <r>
    <x v="354"/>
    <n v="0.74392210896448197"/>
    <x v="0"/>
    <x v="120"/>
  </r>
  <r>
    <x v="355"/>
    <n v="0.74392210896448197"/>
    <x v="0"/>
    <x v="121"/>
  </r>
  <r>
    <x v="356"/>
    <n v="0.74392210896448197"/>
    <x v="0"/>
    <x v="122"/>
  </r>
  <r>
    <x v="357"/>
    <n v="0.74392210896448197"/>
    <x v="0"/>
    <x v="121"/>
  </r>
  <r>
    <x v="358"/>
    <n v="0.74392210896448197"/>
    <x v="0"/>
    <x v="122"/>
  </r>
  <r>
    <x v="359"/>
    <n v="0.74392210896448197"/>
    <x v="0"/>
    <x v="122"/>
  </r>
  <r>
    <x v="360"/>
    <n v="0.74392210896448197"/>
    <x v="0"/>
    <x v="119"/>
  </r>
  <r>
    <x v="361"/>
    <n v="0.743557094179642"/>
    <x v="0"/>
    <x v="123"/>
  </r>
  <r>
    <x v="362"/>
    <n v="0.743557094179642"/>
    <x v="0"/>
    <x v="123"/>
  </r>
  <r>
    <x v="363"/>
    <n v="0.743557094179642"/>
    <x v="0"/>
    <x v="124"/>
  </r>
  <r>
    <x v="364"/>
    <n v="0.743557094179642"/>
    <x v="0"/>
    <x v="123"/>
  </r>
  <r>
    <x v="365"/>
    <n v="0.743557094179642"/>
    <x v="0"/>
    <x v="124"/>
  </r>
  <r>
    <x v="366"/>
    <n v="0.743557094179642"/>
    <x v="0"/>
    <x v="125"/>
  </r>
  <r>
    <x v="367"/>
    <n v="0.743557094179642"/>
    <x v="0"/>
    <x v="125"/>
  </r>
  <r>
    <x v="368"/>
    <n v="0.743557094179642"/>
    <x v="0"/>
    <x v="124"/>
  </r>
  <r>
    <x v="369"/>
    <n v="0.743557094179642"/>
    <x v="0"/>
    <x v="125"/>
  </r>
  <r>
    <x v="370"/>
    <n v="0.743557094179642"/>
    <x v="0"/>
    <x v="126"/>
  </r>
  <r>
    <x v="371"/>
    <n v="0.743557094179642"/>
    <x v="0"/>
    <x v="127"/>
  </r>
  <r>
    <x v="372"/>
    <n v="0.743557094179642"/>
    <x v="0"/>
    <x v="126"/>
  </r>
  <r>
    <x v="373"/>
    <n v="0.743557094179642"/>
    <x v="0"/>
    <x v="127"/>
  </r>
  <r>
    <x v="374"/>
    <n v="0.743557094179642"/>
    <x v="0"/>
    <x v="126"/>
  </r>
  <r>
    <x v="375"/>
    <n v="0.743557094179642"/>
    <x v="0"/>
    <x v="127"/>
  </r>
  <r>
    <x v="376"/>
    <n v="0.74310833101474605"/>
    <x v="0"/>
    <x v="128"/>
  </r>
  <r>
    <x v="377"/>
    <n v="0.74310833101474605"/>
    <x v="0"/>
    <x v="129"/>
  </r>
  <r>
    <x v="378"/>
    <n v="0.74310833101474605"/>
    <x v="0"/>
    <x v="129"/>
  </r>
  <r>
    <x v="379"/>
    <n v="0.74310833101474605"/>
    <x v="0"/>
    <x v="129"/>
  </r>
  <r>
    <x v="380"/>
    <n v="0.74310833101474605"/>
    <x v="0"/>
    <x v="130"/>
  </r>
  <r>
    <x v="381"/>
    <n v="0.74310833101474605"/>
    <x v="0"/>
    <x v="131"/>
  </r>
  <r>
    <x v="382"/>
    <n v="0.74310833101474605"/>
    <x v="0"/>
    <x v="131"/>
  </r>
  <r>
    <x v="383"/>
    <n v="0.74310833101474605"/>
    <x v="0"/>
    <x v="128"/>
  </r>
  <r>
    <x v="384"/>
    <n v="0.74310833101474605"/>
    <x v="0"/>
    <x v="131"/>
  </r>
  <r>
    <x v="385"/>
    <n v="0.74310833101474605"/>
    <x v="0"/>
    <x v="128"/>
  </r>
  <r>
    <x v="386"/>
    <n v="0.74310833101474605"/>
    <x v="0"/>
    <x v="132"/>
  </r>
  <r>
    <x v="387"/>
    <n v="0.74310833101474605"/>
    <x v="0"/>
    <x v="132"/>
  </r>
  <r>
    <x v="388"/>
    <n v="0.74310833101474605"/>
    <x v="0"/>
    <x v="130"/>
  </r>
  <r>
    <x v="389"/>
    <n v="0.74310833101474605"/>
    <x v="0"/>
    <x v="132"/>
  </r>
  <r>
    <x v="390"/>
    <n v="0.74310833101474605"/>
    <x v="0"/>
    <x v="130"/>
  </r>
  <r>
    <x v="391"/>
    <n v="0.73824245757385198"/>
    <x v="0"/>
    <x v="133"/>
  </r>
  <r>
    <x v="392"/>
    <n v="0.73824245757385198"/>
    <x v="0"/>
    <x v="133"/>
  </r>
  <r>
    <x v="393"/>
    <n v="0.73824245757385198"/>
    <x v="0"/>
    <x v="134"/>
  </r>
  <r>
    <x v="394"/>
    <n v="0.73824245757385198"/>
    <x v="0"/>
    <x v="133"/>
  </r>
  <r>
    <x v="395"/>
    <n v="0.73824245757385198"/>
    <x v="0"/>
    <x v="134"/>
  </r>
  <r>
    <x v="396"/>
    <n v="0.73824245757385198"/>
    <x v="0"/>
    <x v="134"/>
  </r>
  <r>
    <x v="397"/>
    <n v="0.73807864903164799"/>
    <x v="0"/>
    <x v="135"/>
  </r>
  <r>
    <x v="398"/>
    <n v="0.73807864903164799"/>
    <x v="0"/>
    <x v="135"/>
  </r>
  <r>
    <x v="399"/>
    <n v="0.73807864903164799"/>
    <x v="0"/>
    <x v="136"/>
  </r>
  <r>
    <x v="400"/>
    <n v="0.73807864903164799"/>
    <x v="0"/>
    <x v="135"/>
  </r>
  <r>
    <x v="401"/>
    <n v="0.73807864903164799"/>
    <x v="0"/>
    <x v="137"/>
  </r>
  <r>
    <x v="402"/>
    <n v="0.73807864903164799"/>
    <x v="0"/>
    <x v="137"/>
  </r>
  <r>
    <x v="403"/>
    <n v="0.73807864903164799"/>
    <x v="0"/>
    <x v="136"/>
  </r>
  <r>
    <x v="404"/>
    <n v="0.73807864903164799"/>
    <x v="0"/>
    <x v="136"/>
  </r>
  <r>
    <x v="405"/>
    <n v="0.73807864903164799"/>
    <x v="0"/>
    <x v="137"/>
  </r>
  <r>
    <x v="406"/>
    <n v="0.73783143939393903"/>
    <x v="0"/>
    <x v="138"/>
  </r>
  <r>
    <x v="407"/>
    <n v="0.73783143939393903"/>
    <x v="0"/>
    <x v="139"/>
  </r>
  <r>
    <x v="408"/>
    <n v="0.73783143939393903"/>
    <x v="0"/>
    <x v="139"/>
  </r>
  <r>
    <x v="409"/>
    <n v="0.73783143939393903"/>
    <x v="0"/>
    <x v="140"/>
  </r>
  <r>
    <x v="410"/>
    <n v="0.73783143939393903"/>
    <x v="0"/>
    <x v="139"/>
  </r>
  <r>
    <x v="411"/>
    <n v="0.73783143939393903"/>
    <x v="0"/>
    <x v="141"/>
  </r>
  <r>
    <x v="412"/>
    <n v="0.73783143939393903"/>
    <x v="0"/>
    <x v="140"/>
  </r>
  <r>
    <x v="413"/>
    <n v="0.73783143939393903"/>
    <x v="0"/>
    <x v="141"/>
  </r>
  <r>
    <x v="414"/>
    <n v="0.73783143939393903"/>
    <x v="0"/>
    <x v="140"/>
  </r>
  <r>
    <x v="415"/>
    <n v="0.73783143939393903"/>
    <x v="0"/>
    <x v="138"/>
  </r>
  <r>
    <x v="416"/>
    <n v="0.73783143939393903"/>
    <x v="0"/>
    <x v="138"/>
  </r>
  <r>
    <x v="417"/>
    <n v="0.73750000000000004"/>
    <x v="0"/>
    <x v="142"/>
  </r>
  <r>
    <x v="418"/>
    <n v="0.73750000000000004"/>
    <x v="0"/>
    <x v="142"/>
  </r>
  <r>
    <x v="419"/>
    <n v="0.73750000000000004"/>
    <x v="0"/>
    <x v="143"/>
  </r>
  <r>
    <x v="420"/>
    <n v="0.73750000000000004"/>
    <x v="0"/>
    <x v="143"/>
  </r>
  <r>
    <x v="421"/>
    <n v="0.73750000000000004"/>
    <x v="0"/>
    <x v="142"/>
  </r>
  <r>
    <x v="422"/>
    <n v="0.73750000000000004"/>
    <x v="0"/>
    <x v="143"/>
  </r>
  <r>
    <x v="423"/>
    <n v="0.73708333333333298"/>
    <x v="0"/>
    <x v="144"/>
  </r>
  <r>
    <x v="424"/>
    <n v="0.73708333333333298"/>
    <x v="0"/>
    <x v="145"/>
  </r>
  <r>
    <x v="425"/>
    <n v="0.73708333333333298"/>
    <x v="0"/>
    <x v="145"/>
  </r>
  <r>
    <x v="426"/>
    <n v="0.73708333333333298"/>
    <x v="0"/>
    <x v="145"/>
  </r>
  <r>
    <x v="427"/>
    <n v="0.73708333333333298"/>
    <x v="0"/>
    <x v="146"/>
  </r>
  <r>
    <x v="428"/>
    <n v="0.73708333333333298"/>
    <x v="0"/>
    <x v="146"/>
  </r>
  <r>
    <x v="429"/>
    <n v="0.73708333333333298"/>
    <x v="0"/>
    <x v="144"/>
  </r>
  <r>
    <x v="430"/>
    <n v="0.73708333333333298"/>
    <x v="0"/>
    <x v="144"/>
  </r>
  <r>
    <x v="431"/>
    <n v="0.73172660098522102"/>
    <x v="0"/>
    <x v="147"/>
  </r>
  <r>
    <x v="432"/>
    <n v="0.73172660098522102"/>
    <x v="0"/>
    <x v="147"/>
  </r>
  <r>
    <x v="433"/>
    <n v="0.73172660098522102"/>
    <x v="0"/>
    <x v="147"/>
  </r>
  <r>
    <x v="434"/>
    <n v="0.73143050452372405"/>
    <x v="0"/>
    <x v="148"/>
  </r>
  <r>
    <x v="435"/>
    <n v="0.73143050452372405"/>
    <x v="0"/>
    <x v="148"/>
  </r>
  <r>
    <x v="436"/>
    <n v="0.73143050452372405"/>
    <x v="0"/>
    <x v="148"/>
  </r>
  <r>
    <x v="437"/>
    <n v="0.73143050452372405"/>
    <x v="0"/>
    <x v="149"/>
  </r>
  <r>
    <x v="438"/>
    <n v="0.73143050452372405"/>
    <x v="0"/>
    <x v="150"/>
  </r>
  <r>
    <x v="439"/>
    <n v="0.73143050452372405"/>
    <x v="0"/>
    <x v="149"/>
  </r>
  <r>
    <x v="440"/>
    <n v="0.73143050452372405"/>
    <x v="0"/>
    <x v="151"/>
  </r>
  <r>
    <x v="441"/>
    <n v="0.73143050452372405"/>
    <x v="0"/>
    <x v="151"/>
  </r>
  <r>
    <x v="442"/>
    <n v="0.73143050452372405"/>
    <x v="0"/>
    <x v="150"/>
  </r>
  <r>
    <x v="443"/>
    <n v="0.73143050452372405"/>
    <x v="0"/>
    <x v="150"/>
  </r>
  <r>
    <x v="444"/>
    <n v="0.73143050452372405"/>
    <x v="0"/>
    <x v="149"/>
  </r>
  <r>
    <x v="445"/>
    <n v="0.73143050452372405"/>
    <x v="0"/>
    <x v="151"/>
  </r>
  <r>
    <x v="446"/>
    <n v="0.73104768413962495"/>
    <x v="0"/>
    <x v="152"/>
  </r>
  <r>
    <x v="447"/>
    <n v="0.73104768413962495"/>
    <x v="0"/>
    <x v="152"/>
  </r>
  <r>
    <x v="448"/>
    <n v="0.73104768413962495"/>
    <x v="0"/>
    <x v="152"/>
  </r>
  <r>
    <x v="449"/>
    <n v="0.73057703008863595"/>
    <x v="0"/>
    <x v="153"/>
  </r>
  <r>
    <x v="450"/>
    <n v="0.73057703008863595"/>
    <x v="0"/>
    <x v="154"/>
  </r>
  <r>
    <x v="451"/>
    <n v="0.73057703008863595"/>
    <x v="0"/>
    <x v="154"/>
  </r>
  <r>
    <x v="452"/>
    <n v="0.73057703008863595"/>
    <x v="0"/>
    <x v="154"/>
  </r>
  <r>
    <x v="453"/>
    <n v="0.73057703008863595"/>
    <x v="0"/>
    <x v="153"/>
  </r>
  <r>
    <x v="454"/>
    <n v="0.73057703008863595"/>
    <x v="0"/>
    <x v="153"/>
  </r>
  <r>
    <x v="455"/>
    <n v="0.72586274509803905"/>
    <x v="0"/>
    <x v="155"/>
  </r>
  <r>
    <x v="456"/>
    <n v="0.72586274509803905"/>
    <x v="0"/>
    <x v="155"/>
  </r>
  <r>
    <x v="457"/>
    <n v="0.72586274509803905"/>
    <x v="0"/>
    <x v="155"/>
  </r>
  <r>
    <x v="458"/>
    <n v="0.72577781269641695"/>
    <x v="0"/>
    <x v="156"/>
  </r>
  <r>
    <x v="459"/>
    <n v="0.72577781269641695"/>
    <x v="0"/>
    <x v="156"/>
  </r>
  <r>
    <x v="460"/>
    <n v="0.72577781269641695"/>
    <x v="0"/>
    <x v="157"/>
  </r>
  <r>
    <x v="461"/>
    <n v="0.72577781269641695"/>
    <x v="0"/>
    <x v="157"/>
  </r>
  <r>
    <x v="462"/>
    <n v="0.72577781269641695"/>
    <x v="0"/>
    <x v="157"/>
  </r>
  <r>
    <x v="463"/>
    <n v="0.72577452667814102"/>
    <x v="0"/>
    <x v="158"/>
  </r>
  <r>
    <x v="464"/>
    <n v="0.72577452667814102"/>
    <x v="0"/>
    <x v="158"/>
  </r>
  <r>
    <x v="465"/>
    <n v="0.72577452667814102"/>
    <x v="0"/>
    <x v="158"/>
  </r>
  <r>
    <x v="466"/>
    <n v="0.725606203747441"/>
    <x v="0"/>
    <x v="159"/>
  </r>
  <r>
    <x v="467"/>
    <n v="0.725606203747441"/>
    <x v="0"/>
    <x v="159"/>
  </r>
  <r>
    <x v="468"/>
    <n v="0.725606203747441"/>
    <x v="0"/>
    <x v="160"/>
  </r>
  <r>
    <x v="469"/>
    <n v="0.725606203747441"/>
    <x v="0"/>
    <x v="161"/>
  </r>
  <r>
    <x v="470"/>
    <n v="0.725606203747441"/>
    <x v="0"/>
    <x v="161"/>
  </r>
  <r>
    <x v="471"/>
    <n v="0.725606203747441"/>
    <x v="0"/>
    <x v="161"/>
  </r>
  <r>
    <x v="472"/>
    <n v="0.725606203747441"/>
    <x v="0"/>
    <x v="159"/>
  </r>
  <r>
    <x v="473"/>
    <n v="0.725606203747441"/>
    <x v="0"/>
    <x v="160"/>
  </r>
  <r>
    <x v="474"/>
    <n v="0.725606203747441"/>
    <x v="0"/>
    <x v="160"/>
  </r>
  <r>
    <x v="475"/>
    <n v="0.72534722222222203"/>
    <x v="0"/>
    <x v="162"/>
  </r>
  <r>
    <x v="476"/>
    <n v="0.72534722222222203"/>
    <x v="0"/>
    <x v="162"/>
  </r>
  <r>
    <x v="477"/>
    <n v="0.72534722222222203"/>
    <x v="0"/>
    <x v="162"/>
  </r>
  <r>
    <x v="478"/>
    <n v="0.72534722222222203"/>
    <x v="0"/>
    <x v="163"/>
  </r>
  <r>
    <x v="479"/>
    <n v="0.72534722222222203"/>
    <x v="0"/>
    <x v="163"/>
  </r>
  <r>
    <x v="480"/>
    <n v="0.72534722222222203"/>
    <x v="0"/>
    <x v="163"/>
  </r>
  <r>
    <x v="481"/>
    <n v="0.72499999999999998"/>
    <x v="0"/>
    <x v="164"/>
  </r>
  <r>
    <x v="482"/>
    <n v="0.72499999999999998"/>
    <x v="0"/>
    <x v="164"/>
  </r>
  <r>
    <x v="483"/>
    <n v="0.72499999999999998"/>
    <x v="0"/>
    <x v="165"/>
  </r>
  <r>
    <x v="484"/>
    <n v="0.72499999999999998"/>
    <x v="0"/>
    <x v="165"/>
  </r>
  <r>
    <x v="485"/>
    <n v="0.72499999999999998"/>
    <x v="0"/>
    <x v="164"/>
  </r>
  <r>
    <x v="486"/>
    <n v="0.72499999999999998"/>
    <x v="0"/>
    <x v="166"/>
  </r>
  <r>
    <x v="487"/>
    <n v="0.72499999999999998"/>
    <x v="0"/>
    <x v="165"/>
  </r>
  <r>
    <x v="488"/>
    <n v="0.72499999999999998"/>
    <x v="0"/>
    <x v="166"/>
  </r>
  <r>
    <x v="489"/>
    <n v="0.72499999999999998"/>
    <x v="0"/>
    <x v="166"/>
  </r>
  <r>
    <x v="490"/>
    <n v="0.72403647077560096"/>
    <x v="0"/>
    <x v="167"/>
  </r>
  <r>
    <x v="491"/>
    <n v="0.72403647077560096"/>
    <x v="0"/>
    <x v="167"/>
  </r>
  <r>
    <x v="492"/>
    <n v="0.72403647077560096"/>
    <x v="0"/>
    <x v="167"/>
  </r>
  <r>
    <x v="493"/>
    <n v="0.72341751918158503"/>
    <x v="0"/>
    <x v="168"/>
  </r>
  <r>
    <x v="494"/>
    <n v="0.72341751918158503"/>
    <x v="0"/>
    <x v="169"/>
  </r>
  <r>
    <x v="495"/>
    <n v="0.72341751918158503"/>
    <x v="0"/>
    <x v="169"/>
  </r>
  <r>
    <x v="496"/>
    <n v="0.72341751918158503"/>
    <x v="0"/>
    <x v="168"/>
  </r>
  <r>
    <x v="497"/>
    <n v="0.72341751918158503"/>
    <x v="0"/>
    <x v="169"/>
  </r>
  <r>
    <x v="498"/>
    <n v="0.72341751918158503"/>
    <x v="0"/>
    <x v="168"/>
  </r>
  <r>
    <x v="499"/>
    <n v="0.71959996467679199"/>
    <x v="0"/>
    <x v="170"/>
  </r>
  <r>
    <x v="500"/>
    <n v="0.71959996467679199"/>
    <x v="0"/>
    <x v="170"/>
  </r>
  <r>
    <x v="501"/>
    <n v="0.71959996467679199"/>
    <x v="0"/>
    <x v="170"/>
  </r>
  <r>
    <x v="502"/>
    <n v="0.71924876847290597"/>
    <x v="0"/>
    <x v="171"/>
  </r>
  <r>
    <x v="503"/>
    <n v="0.71924876847290597"/>
    <x v="0"/>
    <x v="171"/>
  </r>
  <r>
    <x v="504"/>
    <n v="0.71924876847290597"/>
    <x v="0"/>
    <x v="171"/>
  </r>
  <r>
    <x v="505"/>
    <n v="0.71893890008296801"/>
    <x v="0"/>
    <x v="172"/>
  </r>
  <r>
    <x v="506"/>
    <n v="0.71893890008296801"/>
    <x v="0"/>
    <x v="173"/>
  </r>
  <r>
    <x v="507"/>
    <n v="0.71893890008296801"/>
    <x v="0"/>
    <x v="174"/>
  </r>
  <r>
    <x v="508"/>
    <n v="0.71893890008296801"/>
    <x v="0"/>
    <x v="174"/>
  </r>
  <r>
    <x v="509"/>
    <n v="0.71893890008296801"/>
    <x v="0"/>
    <x v="172"/>
  </r>
  <r>
    <x v="510"/>
    <n v="0.71893890008296801"/>
    <x v="0"/>
    <x v="173"/>
  </r>
  <r>
    <x v="511"/>
    <n v="0.71893890008296801"/>
    <x v="0"/>
    <x v="172"/>
  </r>
  <r>
    <x v="512"/>
    <n v="0.71893890008296801"/>
    <x v="0"/>
    <x v="173"/>
  </r>
  <r>
    <x v="513"/>
    <n v="0.71893890008296801"/>
    <x v="0"/>
    <x v="174"/>
  </r>
  <r>
    <x v="514"/>
    <n v="0.71853827409960702"/>
    <x v="0"/>
    <x v="175"/>
  </r>
  <r>
    <x v="515"/>
    <n v="0.71853827409960702"/>
    <x v="0"/>
    <x v="176"/>
  </r>
  <r>
    <x v="516"/>
    <n v="0.71853827409960702"/>
    <x v="0"/>
    <x v="175"/>
  </r>
  <r>
    <x v="517"/>
    <n v="0.71853827409960702"/>
    <x v="0"/>
    <x v="176"/>
  </r>
  <r>
    <x v="518"/>
    <n v="0.71853827409960702"/>
    <x v="0"/>
    <x v="176"/>
  </r>
  <r>
    <x v="519"/>
    <n v="0.71853827409960702"/>
    <x v="0"/>
    <x v="175"/>
  </r>
  <r>
    <x v="520"/>
    <n v="0.71340196078431295"/>
    <x v="0"/>
    <x v="177"/>
  </r>
  <r>
    <x v="521"/>
    <n v="0.71340196078431295"/>
    <x v="0"/>
    <x v="177"/>
  </r>
  <r>
    <x v="522"/>
    <n v="0.71340196078431295"/>
    <x v="0"/>
    <x v="177"/>
  </r>
  <r>
    <x v="523"/>
    <n v="0.71286300505050504"/>
    <x v="0"/>
    <x v="178"/>
  </r>
  <r>
    <x v="524"/>
    <n v="0.71286300505050504"/>
    <x v="0"/>
    <x v="178"/>
  </r>
  <r>
    <x v="525"/>
    <n v="0.71286300505050504"/>
    <x v="0"/>
    <x v="178"/>
  </r>
  <r>
    <x v="526"/>
    <n v="0.71084558823529398"/>
    <x v="0"/>
    <x v="179"/>
  </r>
  <r>
    <x v="527"/>
    <n v="0.71084558823529398"/>
    <x v="0"/>
    <x v="179"/>
  </r>
  <r>
    <x v="528"/>
    <n v="0.71084558823529398"/>
    <x v="0"/>
    <x v="179"/>
  </r>
  <r>
    <x v="529"/>
    <n v="0.70677093596059104"/>
    <x v="0"/>
    <x v="180"/>
  </r>
  <r>
    <x v="530"/>
    <n v="0.70677093596059104"/>
    <x v="0"/>
    <x v="180"/>
  </r>
  <r>
    <x v="531"/>
    <n v="0.70677093596059104"/>
    <x v="0"/>
    <x v="180"/>
  </r>
  <r>
    <x v="532"/>
    <n v="0.70644729564220998"/>
    <x v="0"/>
    <x v="181"/>
  </r>
  <r>
    <x v="533"/>
    <n v="0.70644729564220998"/>
    <x v="0"/>
    <x v="181"/>
  </r>
  <r>
    <x v="534"/>
    <n v="0.70644729564220998"/>
    <x v="0"/>
    <x v="181"/>
  </r>
  <r>
    <x v="535"/>
    <n v="0.70551442823641597"/>
    <x v="0"/>
    <x v="182"/>
  </r>
  <r>
    <x v="536"/>
    <n v="0.70551442823641597"/>
    <x v="0"/>
    <x v="182"/>
  </r>
  <r>
    <x v="537"/>
    <n v="0.70551442823641597"/>
    <x v="0"/>
    <x v="182"/>
  </r>
  <r>
    <x v="538"/>
    <n v="0.70094117647058796"/>
    <x v="0"/>
    <x v="183"/>
  </r>
  <r>
    <x v="539"/>
    <n v="0.70094117647058796"/>
    <x v="0"/>
    <x v="183"/>
  </r>
  <r>
    <x v="540"/>
    <n v="0.70094117647058796"/>
    <x v="0"/>
    <x v="183"/>
  </r>
  <r>
    <x v="541"/>
    <n v="0.68818886789481903"/>
    <x v="0"/>
    <x v="184"/>
  </r>
  <r>
    <x v="542"/>
    <n v="0.68818886789481903"/>
    <x v="0"/>
    <x v="184"/>
  </r>
  <r>
    <x v="543"/>
    <n v="0.68818886789481903"/>
    <x v="0"/>
    <x v="184"/>
  </r>
  <r>
    <x v="544"/>
    <n v="0.27278138528138501"/>
    <x v="0"/>
    <x v="185"/>
  </r>
  <r>
    <x v="545"/>
    <n v="0.27278138528138501"/>
    <x v="0"/>
    <x v="186"/>
  </r>
  <r>
    <x v="546"/>
    <n v="0.27278138528138501"/>
    <x v="0"/>
    <x v="186"/>
  </r>
  <r>
    <x v="547"/>
    <n v="0.27278138528138501"/>
    <x v="0"/>
    <x v="186"/>
  </r>
  <r>
    <x v="548"/>
    <n v="0.27278138528138501"/>
    <x v="0"/>
    <x v="187"/>
  </r>
  <r>
    <x v="549"/>
    <n v="0.27278138528138501"/>
    <x v="0"/>
    <x v="187"/>
  </r>
  <r>
    <x v="550"/>
    <n v="0.27278138528138501"/>
    <x v="0"/>
    <x v="188"/>
  </r>
  <r>
    <x v="551"/>
    <n v="0.27278138528138501"/>
    <x v="0"/>
    <x v="188"/>
  </r>
  <r>
    <x v="552"/>
    <n v="0.27278138528138501"/>
    <x v="0"/>
    <x v="188"/>
  </r>
  <r>
    <x v="553"/>
    <n v="0.27278138528138501"/>
    <x v="0"/>
    <x v="187"/>
  </r>
  <r>
    <x v="554"/>
    <n v="0.27278138528138501"/>
    <x v="0"/>
    <x v="185"/>
  </r>
  <r>
    <x v="555"/>
    <n v="0.27278138528138501"/>
    <x v="0"/>
    <x v="1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x v="0"/>
    <n v="0.78163793103448198"/>
    <x v="0"/>
    <x v="0"/>
  </r>
  <r>
    <x v="1"/>
    <n v="0.78163793103448198"/>
    <x v="0"/>
    <x v="0"/>
  </r>
  <r>
    <x v="2"/>
    <n v="0.78163793103448198"/>
    <x v="0"/>
    <x v="0"/>
  </r>
  <r>
    <x v="3"/>
    <n v="0.77500000000000002"/>
    <x v="0"/>
    <x v="1"/>
  </r>
  <r>
    <x v="4"/>
    <n v="0.77500000000000002"/>
    <x v="0"/>
    <x v="1"/>
  </r>
  <r>
    <x v="5"/>
    <n v="0.77500000000000002"/>
    <x v="0"/>
    <x v="2"/>
  </r>
  <r>
    <x v="6"/>
    <n v="0.77500000000000002"/>
    <x v="0"/>
    <x v="1"/>
  </r>
  <r>
    <x v="7"/>
    <n v="0.77490353266476797"/>
    <x v="0"/>
    <x v="3"/>
  </r>
  <r>
    <x v="8"/>
    <n v="0.77490353266476797"/>
    <x v="0"/>
    <x v="3"/>
  </r>
  <r>
    <x v="9"/>
    <n v="0.77490353266476797"/>
    <x v="0"/>
    <x v="3"/>
  </r>
  <r>
    <x v="10"/>
    <n v="0.77464285714285697"/>
    <x v="0"/>
    <x v="4"/>
  </r>
  <r>
    <x v="11"/>
    <n v="0.77464285714285697"/>
    <x v="0"/>
    <x v="4"/>
  </r>
  <r>
    <x v="12"/>
    <n v="0.77464285714285697"/>
    <x v="0"/>
    <x v="4"/>
  </r>
  <r>
    <x v="13"/>
    <n v="0.77370524296675103"/>
    <x v="0"/>
    <x v="5"/>
  </r>
  <r>
    <x v="14"/>
    <n v="0.77370524296675103"/>
    <x v="0"/>
    <x v="5"/>
  </r>
  <r>
    <x v="15"/>
    <n v="0.77370524296675103"/>
    <x v="0"/>
    <x v="5"/>
  </r>
  <r>
    <x v="16"/>
    <n v="0.77172064777327898"/>
    <x v="0"/>
    <x v="6"/>
  </r>
  <r>
    <x v="17"/>
    <n v="0.77172064777327898"/>
    <x v="0"/>
    <x v="6"/>
  </r>
  <r>
    <x v="18"/>
    <n v="0.77172064777327898"/>
    <x v="0"/>
    <x v="6"/>
  </r>
  <r>
    <x v="19"/>
    <n v="0.76934106012347103"/>
    <x v="0"/>
    <x v="7"/>
  </r>
  <r>
    <x v="20"/>
    <n v="0.76934106012347103"/>
    <x v="0"/>
    <x v="7"/>
  </r>
  <r>
    <x v="21"/>
    <n v="0.76934106012347103"/>
    <x v="0"/>
    <x v="8"/>
  </r>
  <r>
    <x v="22"/>
    <n v="0.76934106012347103"/>
    <x v="0"/>
    <x v="7"/>
  </r>
  <r>
    <x v="23"/>
    <n v="0.76934106012347103"/>
    <x v="0"/>
    <x v="8"/>
  </r>
  <r>
    <x v="24"/>
    <n v="0.76890531784599503"/>
    <x v="0"/>
    <x v="9"/>
  </r>
  <r>
    <x v="25"/>
    <n v="0.76890531784599503"/>
    <x v="0"/>
    <x v="9"/>
  </r>
  <r>
    <x v="26"/>
    <n v="0.76890531784599503"/>
    <x v="0"/>
    <x v="9"/>
  </r>
  <r>
    <x v="27"/>
    <n v="0.76890531784599503"/>
    <x v="0"/>
    <x v="10"/>
  </r>
  <r>
    <x v="28"/>
    <n v="0.76890531784599503"/>
    <x v="0"/>
    <x v="11"/>
  </r>
  <r>
    <x v="29"/>
    <n v="0.76890531784599503"/>
    <x v="0"/>
    <x v="11"/>
  </r>
  <r>
    <x v="30"/>
    <n v="0.76890531784599503"/>
    <x v="0"/>
    <x v="10"/>
  </r>
  <r>
    <x v="31"/>
    <n v="0.76890531784599503"/>
    <x v="0"/>
    <x v="11"/>
  </r>
  <r>
    <x v="32"/>
    <n v="0.76890531784599503"/>
    <x v="0"/>
    <x v="10"/>
  </r>
  <r>
    <x v="33"/>
    <n v="0.76890531784599503"/>
    <x v="0"/>
    <x v="12"/>
  </r>
  <r>
    <x v="34"/>
    <n v="0.76857591425967697"/>
    <x v="0"/>
    <x v="13"/>
  </r>
  <r>
    <x v="35"/>
    <n v="0.76857591425967697"/>
    <x v="0"/>
    <x v="14"/>
  </r>
  <r>
    <x v="36"/>
    <n v="0.76857591425967697"/>
    <x v="0"/>
    <x v="14"/>
  </r>
  <r>
    <x v="37"/>
    <n v="0.76857591425967697"/>
    <x v="0"/>
    <x v="14"/>
  </r>
  <r>
    <x v="38"/>
    <n v="0.76857591425967697"/>
    <x v="0"/>
    <x v="13"/>
  </r>
  <r>
    <x v="39"/>
    <n v="0.76857591425967697"/>
    <x v="0"/>
    <x v="15"/>
  </r>
  <r>
    <x v="40"/>
    <n v="0.76857591425967697"/>
    <x v="0"/>
    <x v="13"/>
  </r>
  <r>
    <x v="41"/>
    <n v="0.76857591425967697"/>
    <x v="0"/>
    <x v="15"/>
  </r>
  <r>
    <x v="42"/>
    <n v="0.76857591425967697"/>
    <x v="0"/>
    <x v="15"/>
  </r>
  <r>
    <x v="43"/>
    <n v="0.76817093286696603"/>
    <x v="0"/>
    <x v="16"/>
  </r>
  <r>
    <x v="44"/>
    <n v="0.76817093286696603"/>
    <x v="0"/>
    <x v="17"/>
  </r>
  <r>
    <x v="45"/>
    <n v="0.76817093286696603"/>
    <x v="0"/>
    <x v="16"/>
  </r>
  <r>
    <x v="46"/>
    <n v="0.76817093286696603"/>
    <x v="0"/>
    <x v="17"/>
  </r>
  <r>
    <x v="47"/>
    <n v="0.76817093286696603"/>
    <x v="0"/>
    <x v="16"/>
  </r>
  <r>
    <x v="48"/>
    <n v="0.76817093286696603"/>
    <x v="0"/>
    <x v="17"/>
  </r>
  <r>
    <x v="49"/>
    <n v="0.76317174732872395"/>
    <x v="0"/>
    <x v="18"/>
  </r>
  <r>
    <x v="50"/>
    <n v="0.76317174732872395"/>
    <x v="0"/>
    <x v="18"/>
  </r>
  <r>
    <x v="51"/>
    <n v="0.76317174732872395"/>
    <x v="0"/>
    <x v="19"/>
  </r>
  <r>
    <x v="52"/>
    <n v="0.76317174732872395"/>
    <x v="0"/>
    <x v="19"/>
  </r>
  <r>
    <x v="53"/>
    <n v="0.76317174732872395"/>
    <x v="0"/>
    <x v="19"/>
  </r>
  <r>
    <x v="54"/>
    <n v="0.76317174732872395"/>
    <x v="0"/>
    <x v="18"/>
  </r>
  <r>
    <x v="55"/>
    <n v="0.76310512820512799"/>
    <x v="0"/>
    <x v="20"/>
  </r>
  <r>
    <x v="56"/>
    <n v="0.76310512820512799"/>
    <x v="0"/>
    <x v="20"/>
  </r>
  <r>
    <x v="57"/>
    <n v="0.76310512820512799"/>
    <x v="0"/>
    <x v="20"/>
  </r>
  <r>
    <x v="58"/>
    <n v="0.76302353960006297"/>
    <x v="0"/>
    <x v="21"/>
  </r>
  <r>
    <x v="59"/>
    <n v="0.76302353960006297"/>
    <x v="0"/>
    <x v="22"/>
  </r>
  <r>
    <x v="60"/>
    <n v="0.76279987373737301"/>
    <x v="0"/>
    <x v="23"/>
  </r>
  <r>
    <x v="61"/>
    <n v="0.76279987373737301"/>
    <x v="0"/>
    <x v="23"/>
  </r>
  <r>
    <x v="62"/>
    <n v="0.76279987373737301"/>
    <x v="0"/>
    <x v="24"/>
  </r>
  <r>
    <x v="63"/>
    <n v="0.76279987373737301"/>
    <x v="0"/>
    <x v="24"/>
  </r>
  <r>
    <x v="64"/>
    <n v="0.76279987373737301"/>
    <x v="0"/>
    <x v="24"/>
  </r>
  <r>
    <x v="65"/>
    <n v="0.76279987373737301"/>
    <x v="0"/>
    <x v="23"/>
  </r>
  <r>
    <x v="66"/>
    <n v="0.76249999999999996"/>
    <x v="0"/>
    <x v="25"/>
  </r>
  <r>
    <x v="67"/>
    <n v="0.76249999999999996"/>
    <x v="0"/>
    <x v="25"/>
  </r>
  <r>
    <x v="68"/>
    <n v="0.76249999999999996"/>
    <x v="0"/>
    <x v="25"/>
  </r>
  <r>
    <x v="69"/>
    <n v="0.76249999999999996"/>
    <x v="0"/>
    <x v="26"/>
  </r>
  <r>
    <x v="70"/>
    <n v="0.76249999999999996"/>
    <x v="0"/>
    <x v="27"/>
  </r>
  <r>
    <x v="71"/>
    <n v="0.76249999999999996"/>
    <x v="0"/>
    <x v="27"/>
  </r>
  <r>
    <x v="72"/>
    <n v="0.76249999999999996"/>
    <x v="0"/>
    <x v="26"/>
  </r>
  <r>
    <x v="73"/>
    <n v="0.76249999999999996"/>
    <x v="0"/>
    <x v="27"/>
  </r>
  <r>
    <x v="74"/>
    <n v="0.76249999999999996"/>
    <x v="0"/>
    <x v="26"/>
  </r>
  <r>
    <x v="75"/>
    <n v="0.76212301587301501"/>
    <x v="0"/>
    <x v="28"/>
  </r>
  <r>
    <x v="76"/>
    <n v="0.76212301587301501"/>
    <x v="0"/>
    <x v="28"/>
  </r>
  <r>
    <x v="77"/>
    <n v="0.76212301587301501"/>
    <x v="0"/>
    <x v="28"/>
  </r>
  <r>
    <x v="78"/>
    <n v="0.756984560291182"/>
    <x v="0"/>
    <x v="29"/>
  </r>
  <r>
    <x v="79"/>
    <n v="0.756984560291182"/>
    <x v="0"/>
    <x v="29"/>
  </r>
  <r>
    <x v="80"/>
    <n v="0.756984560291182"/>
    <x v="0"/>
    <x v="29"/>
  </r>
  <r>
    <x v="81"/>
    <n v="0.75687300931933399"/>
    <x v="0"/>
    <x v="30"/>
  </r>
  <r>
    <x v="82"/>
    <n v="0.75687300931933399"/>
    <x v="0"/>
    <x v="31"/>
  </r>
  <r>
    <x v="83"/>
    <n v="0.75687300931933399"/>
    <x v="0"/>
    <x v="32"/>
  </r>
  <r>
    <x v="84"/>
    <n v="0.75687300931933399"/>
    <x v="0"/>
    <x v="31"/>
  </r>
  <r>
    <x v="85"/>
    <n v="0.75687300931933399"/>
    <x v="0"/>
    <x v="31"/>
  </r>
  <r>
    <x v="86"/>
    <n v="0.75687300931933399"/>
    <x v="0"/>
    <x v="33"/>
  </r>
  <r>
    <x v="87"/>
    <n v="0.75687300931933399"/>
    <x v="0"/>
    <x v="30"/>
  </r>
  <r>
    <x v="88"/>
    <n v="0.75687300931933399"/>
    <x v="0"/>
    <x v="30"/>
  </r>
  <r>
    <x v="89"/>
    <n v="0.75687300931933399"/>
    <x v="0"/>
    <x v="34"/>
  </r>
  <r>
    <x v="90"/>
    <n v="0.75687300931933399"/>
    <x v="0"/>
    <x v="34"/>
  </r>
  <r>
    <x v="91"/>
    <n v="0.75687300931933399"/>
    <x v="0"/>
    <x v="35"/>
  </r>
  <r>
    <x v="92"/>
    <n v="0.75687300931933399"/>
    <x v="0"/>
    <x v="33"/>
  </r>
  <r>
    <x v="93"/>
    <n v="0.75687300931933399"/>
    <x v="0"/>
    <x v="33"/>
  </r>
  <r>
    <x v="94"/>
    <n v="0.75687300931933399"/>
    <x v="0"/>
    <x v="34"/>
  </r>
  <r>
    <x v="95"/>
    <n v="0.75687300931933399"/>
    <x v="0"/>
    <x v="36"/>
  </r>
  <r>
    <x v="96"/>
    <n v="0.75687300931933399"/>
    <x v="0"/>
    <x v="35"/>
  </r>
  <r>
    <x v="97"/>
    <n v="0.75687300931933399"/>
    <x v="0"/>
    <x v="37"/>
  </r>
  <r>
    <x v="98"/>
    <n v="0.75687300931933399"/>
    <x v="0"/>
    <x v="36"/>
  </r>
  <r>
    <x v="99"/>
    <n v="0.75687300931933399"/>
    <x v="0"/>
    <x v="36"/>
  </r>
  <r>
    <x v="100"/>
    <n v="0.75687300931933399"/>
    <x v="0"/>
    <x v="38"/>
  </r>
  <r>
    <x v="101"/>
    <n v="0.75687300931933399"/>
    <x v="0"/>
    <x v="38"/>
  </r>
  <r>
    <x v="102"/>
    <n v="0.75687300931933399"/>
    <x v="0"/>
    <x v="38"/>
  </r>
  <r>
    <x v="103"/>
    <n v="0.75687300931933399"/>
    <x v="0"/>
    <x v="39"/>
  </r>
  <r>
    <x v="104"/>
    <n v="0.75687300931933399"/>
    <x v="0"/>
    <x v="39"/>
  </r>
  <r>
    <x v="105"/>
    <n v="0.75687300931933399"/>
    <x v="0"/>
    <x v="39"/>
  </r>
  <r>
    <x v="106"/>
    <n v="0.75687300931933399"/>
    <x v="0"/>
    <x v="40"/>
  </r>
  <r>
    <x v="107"/>
    <n v="0.75687300931933399"/>
    <x v="0"/>
    <x v="40"/>
  </r>
  <r>
    <x v="108"/>
    <n v="0.75687300931933399"/>
    <x v="0"/>
    <x v="40"/>
  </r>
  <r>
    <x v="109"/>
    <n v="0.75687300931933399"/>
    <x v="0"/>
    <x v="37"/>
  </r>
  <r>
    <x v="110"/>
    <n v="0.75687300931933399"/>
    <x v="0"/>
    <x v="37"/>
  </r>
  <r>
    <x v="111"/>
    <n v="0.75687300931933399"/>
    <x v="0"/>
    <x v="41"/>
  </r>
  <r>
    <x v="112"/>
    <n v="0.75687300931933399"/>
    <x v="0"/>
    <x v="42"/>
  </r>
  <r>
    <x v="113"/>
    <n v="0.75687300931933399"/>
    <x v="0"/>
    <x v="41"/>
  </r>
  <r>
    <x v="114"/>
    <n v="0.75687300931933399"/>
    <x v="0"/>
    <x v="41"/>
  </r>
  <r>
    <x v="115"/>
    <n v="0.75687300931933399"/>
    <x v="0"/>
    <x v="42"/>
  </r>
  <r>
    <x v="116"/>
    <n v="0.75687300931933399"/>
    <x v="0"/>
    <x v="35"/>
  </r>
  <r>
    <x v="117"/>
    <n v="0.75687300931933399"/>
    <x v="0"/>
    <x v="32"/>
  </r>
  <r>
    <x v="118"/>
    <n v="0.75687300931933399"/>
    <x v="0"/>
    <x v="42"/>
  </r>
  <r>
    <x v="119"/>
    <n v="0.75687300931933399"/>
    <x v="0"/>
    <x v="32"/>
  </r>
  <r>
    <x v="120"/>
    <n v="0.756682266009852"/>
    <x v="0"/>
    <x v="43"/>
  </r>
  <r>
    <x v="121"/>
    <n v="0.756682266009852"/>
    <x v="0"/>
    <x v="44"/>
  </r>
  <r>
    <x v="122"/>
    <n v="0.756682266009852"/>
    <x v="0"/>
    <x v="44"/>
  </r>
  <r>
    <x v="123"/>
    <n v="0.756682266009852"/>
    <x v="0"/>
    <x v="43"/>
  </r>
  <r>
    <x v="124"/>
    <n v="0.756682266009852"/>
    <x v="0"/>
    <x v="43"/>
  </r>
  <r>
    <x v="125"/>
    <n v="0.756682266009852"/>
    <x v="0"/>
    <x v="45"/>
  </r>
  <r>
    <x v="126"/>
    <n v="0.756682266009852"/>
    <x v="0"/>
    <x v="45"/>
  </r>
  <r>
    <x v="127"/>
    <n v="0.756682266009852"/>
    <x v="0"/>
    <x v="45"/>
  </r>
  <r>
    <x v="128"/>
    <n v="0.756682266009852"/>
    <x v="0"/>
    <x v="46"/>
  </r>
  <r>
    <x v="129"/>
    <n v="0.756682266009852"/>
    <x v="0"/>
    <x v="47"/>
  </r>
  <r>
    <x v="130"/>
    <n v="0.756682266009852"/>
    <x v="0"/>
    <x v="47"/>
  </r>
  <r>
    <x v="131"/>
    <n v="0.756682266009852"/>
    <x v="0"/>
    <x v="48"/>
  </r>
  <r>
    <x v="132"/>
    <n v="0.756682266009852"/>
    <x v="0"/>
    <x v="48"/>
  </r>
  <r>
    <x v="133"/>
    <n v="0.756682266009852"/>
    <x v="0"/>
    <x v="47"/>
  </r>
  <r>
    <x v="134"/>
    <n v="0.756413713405238"/>
    <x v="0"/>
    <x v="49"/>
  </r>
  <r>
    <x v="135"/>
    <n v="0.756413713405238"/>
    <x v="0"/>
    <x v="49"/>
  </r>
  <r>
    <x v="136"/>
    <n v="0.756413713405238"/>
    <x v="0"/>
    <x v="50"/>
  </r>
  <r>
    <x v="137"/>
    <n v="0.75606650421966004"/>
    <x v="0"/>
    <x v="51"/>
  </r>
  <r>
    <x v="138"/>
    <n v="0.75606650421966004"/>
    <x v="0"/>
    <x v="52"/>
  </r>
  <r>
    <x v="139"/>
    <n v="0.75606650421966004"/>
    <x v="0"/>
    <x v="51"/>
  </r>
  <r>
    <x v="140"/>
    <n v="0.75606650421966004"/>
    <x v="0"/>
    <x v="52"/>
  </r>
  <r>
    <x v="141"/>
    <n v="0.75606650421966004"/>
    <x v="0"/>
    <x v="52"/>
  </r>
  <r>
    <x v="142"/>
    <n v="0.75606650421966004"/>
    <x v="0"/>
    <x v="51"/>
  </r>
  <r>
    <x v="143"/>
    <n v="0.75563963194085604"/>
    <x v="0"/>
    <x v="53"/>
  </r>
  <r>
    <x v="144"/>
    <n v="0.75563963194085604"/>
    <x v="0"/>
    <x v="54"/>
  </r>
  <r>
    <x v="145"/>
    <n v="0.75563963194085604"/>
    <x v="0"/>
    <x v="53"/>
  </r>
  <r>
    <x v="146"/>
    <n v="0.75563963194085604"/>
    <x v="0"/>
    <x v="54"/>
  </r>
  <r>
    <x v="147"/>
    <n v="0.75563963194085604"/>
    <x v="0"/>
    <x v="55"/>
  </r>
  <r>
    <x v="148"/>
    <n v="0.75563963194085604"/>
    <x v="0"/>
    <x v="55"/>
  </r>
  <r>
    <x v="149"/>
    <n v="0.75563963194085604"/>
    <x v="0"/>
    <x v="55"/>
  </r>
  <r>
    <x v="150"/>
    <n v="0.75563963194085604"/>
    <x v="0"/>
    <x v="56"/>
  </r>
  <r>
    <x v="151"/>
    <n v="0.75563963194085604"/>
    <x v="0"/>
    <x v="56"/>
  </r>
  <r>
    <x v="152"/>
    <n v="0.75563963194085604"/>
    <x v="0"/>
    <x v="56"/>
  </r>
  <r>
    <x v="153"/>
    <n v="0.75563963194085604"/>
    <x v="0"/>
    <x v="53"/>
  </r>
  <r>
    <x v="154"/>
    <n v="0.75563963194085604"/>
    <x v="0"/>
    <x v="54"/>
  </r>
  <r>
    <x v="155"/>
    <n v="0.75386846126010199"/>
    <x v="0"/>
    <x v="57"/>
  </r>
  <r>
    <x v="156"/>
    <n v="0.75386846126010199"/>
    <x v="0"/>
    <x v="57"/>
  </r>
  <r>
    <x v="157"/>
    <n v="0.75386846126010199"/>
    <x v="0"/>
    <x v="57"/>
  </r>
  <r>
    <x v="158"/>
    <n v="0.75078431372549004"/>
    <x v="0"/>
    <x v="58"/>
  </r>
  <r>
    <x v="159"/>
    <n v="0.75078431372549004"/>
    <x v="0"/>
    <x v="58"/>
  </r>
  <r>
    <x v="160"/>
    <n v="0.75078431372549004"/>
    <x v="0"/>
    <x v="58"/>
  </r>
  <r>
    <x v="161"/>
    <n v="0.75070710245128802"/>
    <x v="0"/>
    <x v="59"/>
  </r>
  <r>
    <x v="162"/>
    <n v="0.75070710245128802"/>
    <x v="0"/>
    <x v="60"/>
  </r>
  <r>
    <x v="163"/>
    <n v="0.75070710245128802"/>
    <x v="0"/>
    <x v="61"/>
  </r>
  <r>
    <x v="164"/>
    <n v="0.75070710245128802"/>
    <x v="0"/>
    <x v="62"/>
  </r>
  <r>
    <x v="165"/>
    <n v="0.75070710245128802"/>
    <x v="0"/>
    <x v="59"/>
  </r>
  <r>
    <x v="166"/>
    <n v="0.75070710245128802"/>
    <x v="0"/>
    <x v="62"/>
  </r>
  <r>
    <x v="167"/>
    <n v="0.75070710245128802"/>
    <x v="0"/>
    <x v="61"/>
  </r>
  <r>
    <x v="168"/>
    <n v="0.75070710245128802"/>
    <x v="0"/>
    <x v="61"/>
  </r>
  <r>
    <x v="169"/>
    <n v="0.75070710245128802"/>
    <x v="0"/>
    <x v="60"/>
  </r>
  <r>
    <x v="170"/>
    <n v="0.75070710245128802"/>
    <x v="0"/>
    <x v="63"/>
  </r>
  <r>
    <x v="171"/>
    <n v="0.75070710245128802"/>
    <x v="0"/>
    <x v="63"/>
  </r>
  <r>
    <x v="172"/>
    <n v="0.75070710245128802"/>
    <x v="0"/>
    <x v="63"/>
  </r>
  <r>
    <x v="173"/>
    <n v="0.75070710245128802"/>
    <x v="0"/>
    <x v="62"/>
  </r>
  <r>
    <x v="174"/>
    <n v="0.75070710245128802"/>
    <x v="0"/>
    <x v="59"/>
  </r>
  <r>
    <x v="175"/>
    <n v="0.75055109431585498"/>
    <x v="0"/>
    <x v="64"/>
  </r>
  <r>
    <x v="176"/>
    <n v="0.75055109431585498"/>
    <x v="0"/>
    <x v="64"/>
  </r>
  <r>
    <x v="177"/>
    <n v="0.75055109431585498"/>
    <x v="0"/>
    <x v="64"/>
  </r>
  <r>
    <x v="178"/>
    <n v="0.75055109431585498"/>
    <x v="0"/>
    <x v="65"/>
  </r>
  <r>
    <x v="179"/>
    <n v="0.75055109431585498"/>
    <x v="0"/>
    <x v="66"/>
  </r>
  <r>
    <x v="180"/>
    <n v="0.75055109431585498"/>
    <x v="0"/>
    <x v="65"/>
  </r>
  <r>
    <x v="181"/>
    <n v="0.75055109431585498"/>
    <x v="0"/>
    <x v="65"/>
  </r>
  <r>
    <x v="182"/>
    <n v="0.75055109431585498"/>
    <x v="0"/>
    <x v="67"/>
  </r>
  <r>
    <x v="183"/>
    <n v="0.75055109431585498"/>
    <x v="0"/>
    <x v="67"/>
  </r>
  <r>
    <x v="184"/>
    <n v="0.75055109431585498"/>
    <x v="0"/>
    <x v="67"/>
  </r>
  <r>
    <x v="185"/>
    <n v="0.75055109431585498"/>
    <x v="0"/>
    <x v="68"/>
  </r>
  <r>
    <x v="186"/>
    <n v="0.75055109431585498"/>
    <x v="0"/>
    <x v="68"/>
  </r>
  <r>
    <x v="187"/>
    <n v="0.75055109431585498"/>
    <x v="0"/>
    <x v="66"/>
  </r>
  <r>
    <x v="188"/>
    <n v="0.75055109431585498"/>
    <x v="0"/>
    <x v="69"/>
  </r>
  <r>
    <x v="189"/>
    <n v="0.75055109431585498"/>
    <x v="0"/>
    <x v="69"/>
  </r>
  <r>
    <x v="190"/>
    <n v="0.75055109431585498"/>
    <x v="0"/>
    <x v="70"/>
  </r>
  <r>
    <x v="191"/>
    <n v="0.75055109431585498"/>
    <x v="0"/>
    <x v="71"/>
  </r>
  <r>
    <x v="192"/>
    <n v="0.75055109431585498"/>
    <x v="0"/>
    <x v="71"/>
  </r>
  <r>
    <x v="193"/>
    <n v="0.75055109431585498"/>
    <x v="0"/>
    <x v="71"/>
  </r>
  <r>
    <x v="194"/>
    <n v="0.75055109431585498"/>
    <x v="0"/>
    <x v="72"/>
  </r>
  <r>
    <x v="195"/>
    <n v="0.75055109431585498"/>
    <x v="0"/>
    <x v="73"/>
  </r>
  <r>
    <x v="196"/>
    <n v="0.75055109431585498"/>
    <x v="0"/>
    <x v="73"/>
  </r>
  <r>
    <x v="197"/>
    <n v="0.75055109431585498"/>
    <x v="0"/>
    <x v="72"/>
  </r>
  <r>
    <x v="198"/>
    <n v="0.75055109431585498"/>
    <x v="0"/>
    <x v="73"/>
  </r>
  <r>
    <x v="199"/>
    <n v="0.75055109431585498"/>
    <x v="0"/>
    <x v="66"/>
  </r>
  <r>
    <x v="200"/>
    <n v="0.75055109431585498"/>
    <x v="0"/>
    <x v="70"/>
  </r>
  <r>
    <x v="201"/>
    <n v="0.75055109431585498"/>
    <x v="0"/>
    <x v="72"/>
  </r>
  <r>
    <x v="202"/>
    <n v="0.75031565656565602"/>
    <x v="0"/>
    <x v="74"/>
  </r>
  <r>
    <x v="203"/>
    <n v="0.75031565656565602"/>
    <x v="0"/>
    <x v="75"/>
  </r>
  <r>
    <x v="204"/>
    <n v="0.75031565656565602"/>
    <x v="0"/>
    <x v="76"/>
  </r>
  <r>
    <x v="205"/>
    <n v="0.75031565656565602"/>
    <x v="0"/>
    <x v="75"/>
  </r>
  <r>
    <x v="206"/>
    <n v="0.75031565656565602"/>
    <x v="0"/>
    <x v="77"/>
  </r>
  <r>
    <x v="207"/>
    <n v="0.75031565656565602"/>
    <x v="0"/>
    <x v="75"/>
  </r>
  <r>
    <x v="208"/>
    <n v="0.75031565656565602"/>
    <x v="0"/>
    <x v="78"/>
  </r>
  <r>
    <x v="209"/>
    <n v="0.75031565656565602"/>
    <x v="0"/>
    <x v="78"/>
  </r>
  <r>
    <x v="210"/>
    <n v="0.75031565656565602"/>
    <x v="0"/>
    <x v="79"/>
  </r>
  <r>
    <x v="211"/>
    <n v="0.75031565656565602"/>
    <x v="0"/>
    <x v="78"/>
  </r>
  <r>
    <x v="212"/>
    <n v="0.75031565656565602"/>
    <x v="0"/>
    <x v="80"/>
  </r>
  <r>
    <x v="213"/>
    <n v="0.75031565656565602"/>
    <x v="0"/>
    <x v="74"/>
  </r>
  <r>
    <x v="214"/>
    <n v="0.75031565656565602"/>
    <x v="0"/>
    <x v="81"/>
  </r>
  <r>
    <x v="215"/>
    <n v="0.75031565656565602"/>
    <x v="0"/>
    <x v="74"/>
  </r>
  <r>
    <x v="216"/>
    <n v="0.75031565656565602"/>
    <x v="0"/>
    <x v="80"/>
  </r>
  <r>
    <x v="217"/>
    <n v="0.75031565656565602"/>
    <x v="0"/>
    <x v="81"/>
  </r>
  <r>
    <x v="218"/>
    <n v="0.75031565656565602"/>
    <x v="0"/>
    <x v="82"/>
  </r>
  <r>
    <x v="219"/>
    <n v="0.75031565656565602"/>
    <x v="0"/>
    <x v="79"/>
  </r>
  <r>
    <x v="220"/>
    <n v="0.75031565656565602"/>
    <x v="0"/>
    <x v="83"/>
  </r>
  <r>
    <x v="221"/>
    <n v="0.75031565656565602"/>
    <x v="0"/>
    <x v="83"/>
  </r>
  <r>
    <x v="222"/>
    <n v="0.75031565656565602"/>
    <x v="0"/>
    <x v="84"/>
  </r>
  <r>
    <x v="223"/>
    <n v="0.75031565656565602"/>
    <x v="0"/>
    <x v="84"/>
  </r>
  <r>
    <x v="224"/>
    <n v="0.75031565656565602"/>
    <x v="0"/>
    <x v="81"/>
  </r>
  <r>
    <x v="225"/>
    <n v="0.75031565656565602"/>
    <x v="0"/>
    <x v="85"/>
  </r>
  <r>
    <x v="226"/>
    <n v="0.75031565656565602"/>
    <x v="0"/>
    <x v="82"/>
  </r>
  <r>
    <x v="227"/>
    <n v="0.75031565656565602"/>
    <x v="0"/>
    <x v="85"/>
  </r>
  <r>
    <x v="228"/>
    <n v="0.75031565656565602"/>
    <x v="0"/>
    <x v="79"/>
  </r>
  <r>
    <x v="229"/>
    <n v="0.75031565656565602"/>
    <x v="0"/>
    <x v="85"/>
  </r>
  <r>
    <x v="230"/>
    <n v="0.75031565656565602"/>
    <x v="0"/>
    <x v="86"/>
  </r>
  <r>
    <x v="231"/>
    <n v="0.75031565656565602"/>
    <x v="0"/>
    <x v="83"/>
  </r>
  <r>
    <x v="232"/>
    <n v="0.75031565656565602"/>
    <x v="0"/>
    <x v="76"/>
  </r>
  <r>
    <x v="233"/>
    <n v="0.75"/>
    <x v="0"/>
    <x v="87"/>
  </r>
  <r>
    <x v="234"/>
    <n v="0.75"/>
    <x v="0"/>
    <x v="88"/>
  </r>
  <r>
    <x v="235"/>
    <n v="0.75"/>
    <x v="0"/>
    <x v="88"/>
  </r>
  <r>
    <x v="236"/>
    <n v="0.75"/>
    <x v="0"/>
    <x v="87"/>
  </r>
  <r>
    <x v="237"/>
    <n v="0.75"/>
    <x v="0"/>
    <x v="89"/>
  </r>
  <r>
    <x v="238"/>
    <n v="0.75"/>
    <x v="0"/>
    <x v="89"/>
  </r>
  <r>
    <x v="239"/>
    <n v="0.75"/>
    <x v="0"/>
    <x v="89"/>
  </r>
  <r>
    <x v="240"/>
    <n v="0.75"/>
    <x v="0"/>
    <x v="90"/>
  </r>
  <r>
    <x v="241"/>
    <n v="0.75"/>
    <x v="0"/>
    <x v="90"/>
  </r>
  <r>
    <x v="242"/>
    <n v="0.75"/>
    <x v="0"/>
    <x v="88"/>
  </r>
  <r>
    <x v="243"/>
    <n v="0.75"/>
    <x v="0"/>
    <x v="91"/>
  </r>
  <r>
    <x v="244"/>
    <n v="0.75"/>
    <x v="0"/>
    <x v="91"/>
  </r>
  <r>
    <x v="245"/>
    <n v="0.75"/>
    <x v="0"/>
    <x v="91"/>
  </r>
  <r>
    <x v="246"/>
    <n v="0.75"/>
    <x v="0"/>
    <x v="90"/>
  </r>
  <r>
    <x v="247"/>
    <n v="0.75"/>
    <x v="0"/>
    <x v="87"/>
  </r>
  <r>
    <x v="248"/>
    <n v="0.74960317460317405"/>
    <x v="0"/>
    <x v="92"/>
  </r>
  <r>
    <x v="249"/>
    <n v="0.74960317460317405"/>
    <x v="0"/>
    <x v="92"/>
  </r>
  <r>
    <x v="250"/>
    <n v="0.74960317460317405"/>
    <x v="0"/>
    <x v="92"/>
  </r>
  <r>
    <x v="251"/>
    <n v="0.74912406434145495"/>
    <x v="0"/>
    <x v="93"/>
  </r>
  <r>
    <x v="252"/>
    <n v="0.74912406434145495"/>
    <x v="0"/>
    <x v="93"/>
  </r>
  <r>
    <x v="253"/>
    <n v="0.74912406434145495"/>
    <x v="0"/>
    <x v="93"/>
  </r>
  <r>
    <x v="254"/>
    <n v="0.74912406434145495"/>
    <x v="0"/>
    <x v="94"/>
  </r>
  <r>
    <x v="255"/>
    <n v="0.74912406434145495"/>
    <x v="0"/>
    <x v="94"/>
  </r>
  <r>
    <x v="256"/>
    <n v="0.74912406434145495"/>
    <x v="0"/>
    <x v="94"/>
  </r>
  <r>
    <x v="257"/>
    <n v="0.74856138107416803"/>
    <x v="0"/>
    <x v="95"/>
  </r>
  <r>
    <x v="258"/>
    <n v="0.74856138107416803"/>
    <x v="0"/>
    <x v="96"/>
  </r>
  <r>
    <x v="259"/>
    <n v="0.74856138107416803"/>
    <x v="0"/>
    <x v="96"/>
  </r>
  <r>
    <x v="260"/>
    <n v="0.74856138107416803"/>
    <x v="0"/>
    <x v="95"/>
  </r>
  <r>
    <x v="261"/>
    <n v="0.74856138107416803"/>
    <x v="0"/>
    <x v="95"/>
  </r>
  <r>
    <x v="262"/>
    <n v="0.74856138107416803"/>
    <x v="0"/>
    <x v="96"/>
  </r>
  <r>
    <x v="263"/>
    <n v="0.74635627530364301"/>
    <x v="0"/>
    <x v="97"/>
  </r>
  <r>
    <x v="264"/>
    <n v="0.74635627530364301"/>
    <x v="0"/>
    <x v="97"/>
  </r>
  <r>
    <x v="265"/>
    <n v="0.74635627530364301"/>
    <x v="0"/>
    <x v="97"/>
  </r>
  <r>
    <x v="266"/>
    <n v="0.74452223004970397"/>
    <x v="0"/>
    <x v="98"/>
  </r>
  <r>
    <x v="267"/>
    <n v="0.74452223004970397"/>
    <x v="0"/>
    <x v="98"/>
  </r>
  <r>
    <x v="268"/>
    <n v="0.74452223004970397"/>
    <x v="0"/>
    <x v="98"/>
  </r>
  <r>
    <x v="269"/>
    <n v="0.74440495851519795"/>
    <x v="0"/>
    <x v="99"/>
  </r>
  <r>
    <x v="270"/>
    <n v="0.74440495851519795"/>
    <x v="0"/>
    <x v="99"/>
  </r>
  <r>
    <x v="271"/>
    <n v="0.74440495851519795"/>
    <x v="0"/>
    <x v="100"/>
  </r>
  <r>
    <x v="272"/>
    <n v="0.74440495851519795"/>
    <x v="0"/>
    <x v="99"/>
  </r>
  <r>
    <x v="273"/>
    <n v="0.74440495851519795"/>
    <x v="0"/>
    <x v="101"/>
  </r>
  <r>
    <x v="274"/>
    <n v="0.74440495851519795"/>
    <x v="0"/>
    <x v="101"/>
  </r>
  <r>
    <x v="275"/>
    <n v="0.74440495851519795"/>
    <x v="0"/>
    <x v="102"/>
  </r>
  <r>
    <x v="276"/>
    <n v="0.74440495851519795"/>
    <x v="0"/>
    <x v="102"/>
  </r>
  <r>
    <x v="277"/>
    <n v="0.74440495851519795"/>
    <x v="0"/>
    <x v="103"/>
  </r>
  <r>
    <x v="278"/>
    <n v="0.74440495851519795"/>
    <x v="0"/>
    <x v="100"/>
  </r>
  <r>
    <x v="279"/>
    <n v="0.74440495851519795"/>
    <x v="0"/>
    <x v="103"/>
  </r>
  <r>
    <x v="280"/>
    <n v="0.74440495851519795"/>
    <x v="0"/>
    <x v="103"/>
  </r>
  <r>
    <x v="281"/>
    <n v="0.74440495851519795"/>
    <x v="0"/>
    <x v="100"/>
  </r>
  <r>
    <x v="282"/>
    <n v="0.74420443349753695"/>
    <x v="0"/>
    <x v="104"/>
  </r>
  <r>
    <x v="283"/>
    <n v="0.74420443349753695"/>
    <x v="0"/>
    <x v="105"/>
  </r>
  <r>
    <x v="284"/>
    <n v="0.74420443349753695"/>
    <x v="0"/>
    <x v="106"/>
  </r>
  <r>
    <x v="285"/>
    <n v="0.74420443349753695"/>
    <x v="0"/>
    <x v="106"/>
  </r>
  <r>
    <x v="286"/>
    <n v="0.74420443349753695"/>
    <x v="0"/>
    <x v="106"/>
  </r>
  <r>
    <x v="287"/>
    <n v="0.74420443349753695"/>
    <x v="0"/>
    <x v="104"/>
  </r>
  <r>
    <x v="288"/>
    <n v="0.74420443349753695"/>
    <x v="0"/>
    <x v="107"/>
  </r>
  <r>
    <x v="289"/>
    <n v="0.74420443349753695"/>
    <x v="0"/>
    <x v="108"/>
  </r>
  <r>
    <x v="290"/>
    <n v="0.74420443349753695"/>
    <x v="0"/>
    <x v="107"/>
  </r>
  <r>
    <x v="291"/>
    <n v="0.74420443349753695"/>
    <x v="0"/>
    <x v="107"/>
  </r>
  <r>
    <x v="292"/>
    <n v="0.74420443349753695"/>
    <x v="0"/>
    <x v="109"/>
  </r>
  <r>
    <x v="293"/>
    <n v="0.74420443349753695"/>
    <x v="0"/>
    <x v="109"/>
  </r>
  <r>
    <x v="294"/>
    <n v="0.74392210896448197"/>
    <x v="0"/>
    <x v="110"/>
  </r>
  <r>
    <x v="295"/>
    <n v="0.74392210896448197"/>
    <x v="0"/>
    <x v="111"/>
  </r>
  <r>
    <x v="296"/>
    <n v="0.74392210896448197"/>
    <x v="0"/>
    <x v="112"/>
  </r>
  <r>
    <x v="297"/>
    <n v="0.74392210896448197"/>
    <x v="0"/>
    <x v="112"/>
  </r>
  <r>
    <x v="298"/>
    <n v="0.74392210896448197"/>
    <x v="0"/>
    <x v="111"/>
  </r>
  <r>
    <x v="299"/>
    <n v="0.74392210896448197"/>
    <x v="0"/>
    <x v="113"/>
  </r>
  <r>
    <x v="300"/>
    <n v="0.74392210896448197"/>
    <x v="0"/>
    <x v="114"/>
  </r>
  <r>
    <x v="301"/>
    <n v="0.74392210896448197"/>
    <x v="0"/>
    <x v="110"/>
  </r>
  <r>
    <x v="302"/>
    <n v="0.74392210896448197"/>
    <x v="0"/>
    <x v="113"/>
  </r>
  <r>
    <x v="303"/>
    <n v="0.74392210896448197"/>
    <x v="0"/>
    <x v="113"/>
  </r>
  <r>
    <x v="304"/>
    <n v="0.74392210896448197"/>
    <x v="0"/>
    <x v="114"/>
  </r>
  <r>
    <x v="305"/>
    <n v="0.74392210896448197"/>
    <x v="0"/>
    <x v="110"/>
  </r>
  <r>
    <x v="306"/>
    <n v="0.74392210896448197"/>
    <x v="0"/>
    <x v="112"/>
  </r>
  <r>
    <x v="307"/>
    <n v="0.74392210896448197"/>
    <x v="0"/>
    <x v="111"/>
  </r>
  <r>
    <x v="308"/>
    <n v="0.74392210896448197"/>
    <x v="0"/>
    <x v="115"/>
  </r>
  <r>
    <x v="309"/>
    <n v="0.743557094179642"/>
    <x v="0"/>
    <x v="116"/>
  </r>
  <r>
    <x v="310"/>
    <n v="0.743557094179642"/>
    <x v="0"/>
    <x v="117"/>
  </r>
  <r>
    <x v="311"/>
    <n v="0.743557094179642"/>
    <x v="0"/>
    <x v="116"/>
  </r>
  <r>
    <x v="312"/>
    <n v="0.743557094179642"/>
    <x v="0"/>
    <x v="117"/>
  </r>
  <r>
    <x v="313"/>
    <n v="0.743557094179642"/>
    <x v="0"/>
    <x v="118"/>
  </r>
  <r>
    <x v="314"/>
    <n v="0.743557094179642"/>
    <x v="0"/>
    <x v="118"/>
  </r>
  <r>
    <x v="315"/>
    <n v="0.743557094179642"/>
    <x v="0"/>
    <x v="117"/>
  </r>
  <r>
    <x v="316"/>
    <n v="0.743557094179642"/>
    <x v="0"/>
    <x v="116"/>
  </r>
  <r>
    <x v="317"/>
    <n v="0.743557094179642"/>
    <x v="0"/>
    <x v="118"/>
  </r>
  <r>
    <x v="318"/>
    <n v="0.74310833101474605"/>
    <x v="0"/>
    <x v="119"/>
  </r>
  <r>
    <x v="319"/>
    <n v="0.74310833101474605"/>
    <x v="0"/>
    <x v="119"/>
  </r>
  <r>
    <x v="320"/>
    <n v="0.74310833101474605"/>
    <x v="0"/>
    <x v="119"/>
  </r>
  <r>
    <x v="321"/>
    <n v="0.74257458816959798"/>
    <x v="0"/>
    <x v="120"/>
  </r>
  <r>
    <x v="322"/>
    <n v="0.74257458816959798"/>
    <x v="0"/>
    <x v="120"/>
  </r>
  <r>
    <x v="323"/>
    <n v="0.74257458816959798"/>
    <x v="0"/>
    <x v="120"/>
  </r>
  <r>
    <x v="324"/>
    <n v="0.73832352941176405"/>
    <x v="0"/>
    <x v="121"/>
  </r>
  <r>
    <x v="325"/>
    <n v="0.73832352941176405"/>
    <x v="0"/>
    <x v="121"/>
  </r>
  <r>
    <x v="326"/>
    <n v="0.73832352941176405"/>
    <x v="0"/>
    <x v="121"/>
  </r>
  <r>
    <x v="327"/>
    <n v="0.73832236842105203"/>
    <x v="0"/>
    <x v="122"/>
  </r>
  <r>
    <x v="328"/>
    <n v="0.73832236842105203"/>
    <x v="0"/>
    <x v="122"/>
  </r>
  <r>
    <x v="329"/>
    <n v="0.73832236842105203"/>
    <x v="0"/>
    <x v="122"/>
  </r>
  <r>
    <x v="330"/>
    <n v="0.73807864903164799"/>
    <x v="0"/>
    <x v="123"/>
  </r>
  <r>
    <x v="331"/>
    <n v="0.73807864903164799"/>
    <x v="0"/>
    <x v="124"/>
  </r>
  <r>
    <x v="332"/>
    <n v="0.73783143939393903"/>
    <x v="0"/>
    <x v="125"/>
  </r>
  <r>
    <x v="333"/>
    <n v="0.73783143939393903"/>
    <x v="0"/>
    <x v="125"/>
  </r>
  <r>
    <x v="334"/>
    <n v="0.73783143939393903"/>
    <x v="0"/>
    <x v="125"/>
  </r>
  <r>
    <x v="335"/>
    <n v="0.73783143939393903"/>
    <x v="0"/>
    <x v="126"/>
  </r>
  <r>
    <x v="336"/>
    <n v="0.73783143939393903"/>
    <x v="0"/>
    <x v="127"/>
  </r>
  <r>
    <x v="337"/>
    <n v="0.73783143939393903"/>
    <x v="0"/>
    <x v="128"/>
  </r>
  <r>
    <x v="338"/>
    <n v="0.73783143939393903"/>
    <x v="0"/>
    <x v="128"/>
  </r>
  <r>
    <x v="339"/>
    <n v="0.73783143939393903"/>
    <x v="0"/>
    <x v="128"/>
  </r>
  <r>
    <x v="340"/>
    <n v="0.73783143939393903"/>
    <x v="0"/>
    <x v="127"/>
  </r>
  <r>
    <x v="341"/>
    <n v="0.73783143939393903"/>
    <x v="0"/>
    <x v="127"/>
  </r>
  <r>
    <x v="342"/>
    <n v="0.73783143939393903"/>
    <x v="0"/>
    <x v="129"/>
  </r>
  <r>
    <x v="343"/>
    <n v="0.73783143939393903"/>
    <x v="0"/>
    <x v="129"/>
  </r>
  <r>
    <x v="344"/>
    <n v="0.73783143939393903"/>
    <x v="0"/>
    <x v="129"/>
  </r>
  <r>
    <x v="345"/>
    <n v="0.73783143939393903"/>
    <x v="0"/>
    <x v="130"/>
  </r>
  <r>
    <x v="346"/>
    <n v="0.73783143939393903"/>
    <x v="0"/>
    <x v="131"/>
  </r>
  <r>
    <x v="347"/>
    <n v="0.73783143939393903"/>
    <x v="0"/>
    <x v="132"/>
  </r>
  <r>
    <x v="348"/>
    <n v="0.73783143939393903"/>
    <x v="0"/>
    <x v="131"/>
  </r>
  <r>
    <x v="349"/>
    <n v="0.73783143939393903"/>
    <x v="0"/>
    <x v="133"/>
  </r>
  <r>
    <x v="350"/>
    <n v="0.73783143939393903"/>
    <x v="0"/>
    <x v="133"/>
  </r>
  <r>
    <x v="351"/>
    <n v="0.73783143939393903"/>
    <x v="0"/>
    <x v="134"/>
  </r>
  <r>
    <x v="352"/>
    <n v="0.73783143939393903"/>
    <x v="0"/>
    <x v="134"/>
  </r>
  <r>
    <x v="353"/>
    <n v="0.73783143939393903"/>
    <x v="0"/>
    <x v="134"/>
  </r>
  <r>
    <x v="354"/>
    <n v="0.73783143939393903"/>
    <x v="0"/>
    <x v="135"/>
  </r>
  <r>
    <x v="355"/>
    <n v="0.73783143939393903"/>
    <x v="0"/>
    <x v="135"/>
  </r>
  <r>
    <x v="356"/>
    <n v="0.73783143939393903"/>
    <x v="0"/>
    <x v="135"/>
  </r>
  <r>
    <x v="357"/>
    <n v="0.73783143939393903"/>
    <x v="0"/>
    <x v="130"/>
  </r>
  <r>
    <x v="358"/>
    <n v="0.73783143939393903"/>
    <x v="0"/>
    <x v="131"/>
  </r>
  <r>
    <x v="359"/>
    <n v="0.73783143939393903"/>
    <x v="0"/>
    <x v="133"/>
  </r>
  <r>
    <x v="360"/>
    <n v="0.73783143939393903"/>
    <x v="0"/>
    <x v="130"/>
  </r>
  <r>
    <x v="361"/>
    <n v="0.73750000000000004"/>
    <x v="0"/>
    <x v="136"/>
  </r>
  <r>
    <x v="362"/>
    <n v="0.73750000000000004"/>
    <x v="0"/>
    <x v="137"/>
  </r>
  <r>
    <x v="363"/>
    <n v="0.73750000000000004"/>
    <x v="0"/>
    <x v="137"/>
  </r>
  <r>
    <x v="364"/>
    <n v="0.73750000000000004"/>
    <x v="0"/>
    <x v="136"/>
  </r>
  <r>
    <x v="365"/>
    <n v="0.73750000000000004"/>
    <x v="0"/>
    <x v="137"/>
  </r>
  <r>
    <x v="366"/>
    <n v="0.73750000000000004"/>
    <x v="0"/>
    <x v="136"/>
  </r>
  <r>
    <x v="367"/>
    <n v="0.73708333333333298"/>
    <x v="0"/>
    <x v="138"/>
  </r>
  <r>
    <x v="368"/>
    <n v="0.73708333333333298"/>
    <x v="0"/>
    <x v="138"/>
  </r>
  <r>
    <x v="369"/>
    <n v="0.73708333333333298"/>
    <x v="0"/>
    <x v="139"/>
  </r>
  <r>
    <x v="370"/>
    <n v="0.73708333333333298"/>
    <x v="0"/>
    <x v="139"/>
  </r>
  <r>
    <x v="371"/>
    <n v="0.73708333333333298"/>
    <x v="0"/>
    <x v="139"/>
  </r>
  <r>
    <x v="372"/>
    <n v="0.73708333333333298"/>
    <x v="0"/>
    <x v="138"/>
  </r>
  <r>
    <x v="373"/>
    <n v="0.73364741418955604"/>
    <x v="0"/>
    <x v="140"/>
  </r>
  <r>
    <x v="374"/>
    <n v="0.73364741418955604"/>
    <x v="0"/>
    <x v="140"/>
  </r>
  <r>
    <x v="375"/>
    <n v="0.73364741418955604"/>
    <x v="0"/>
    <x v="140"/>
  </r>
  <r>
    <x v="376"/>
    <n v="0.73271484374999996"/>
    <x v="0"/>
    <x v="141"/>
  </r>
  <r>
    <x v="377"/>
    <n v="0.73271484374999996"/>
    <x v="0"/>
    <x v="141"/>
  </r>
  <r>
    <x v="378"/>
    <n v="0.73271484374999996"/>
    <x v="0"/>
    <x v="141"/>
  </r>
  <r>
    <x v="379"/>
    <n v="0.73172660098522102"/>
    <x v="0"/>
    <x v="142"/>
  </r>
  <r>
    <x v="380"/>
    <n v="0.73172660098522102"/>
    <x v="0"/>
    <x v="142"/>
  </r>
  <r>
    <x v="381"/>
    <n v="0.73172660098522102"/>
    <x v="0"/>
    <x v="142"/>
  </r>
  <r>
    <x v="382"/>
    <n v="0.73143050452372405"/>
    <x v="0"/>
    <x v="143"/>
  </r>
  <r>
    <x v="383"/>
    <n v="0.73143050452372405"/>
    <x v="0"/>
    <x v="143"/>
  </r>
  <r>
    <x v="384"/>
    <n v="0.73143050452372405"/>
    <x v="0"/>
    <x v="143"/>
  </r>
  <r>
    <x v="385"/>
    <n v="0.73104768413962495"/>
    <x v="0"/>
    <x v="144"/>
  </r>
  <r>
    <x v="386"/>
    <n v="0.73104768413962495"/>
    <x v="0"/>
    <x v="145"/>
  </r>
  <r>
    <x v="387"/>
    <n v="0.73104768413962495"/>
    <x v="0"/>
    <x v="146"/>
  </r>
  <r>
    <x v="388"/>
    <n v="0.73104768413962495"/>
    <x v="0"/>
    <x v="144"/>
  </r>
  <r>
    <x v="389"/>
    <n v="0.73104768413962495"/>
    <x v="0"/>
    <x v="146"/>
  </r>
  <r>
    <x v="390"/>
    <n v="0.73104768413962495"/>
    <x v="0"/>
    <x v="145"/>
  </r>
  <r>
    <x v="391"/>
    <n v="0.73104768413962495"/>
    <x v="0"/>
    <x v="146"/>
  </r>
  <r>
    <x v="392"/>
    <n v="0.73104768413962495"/>
    <x v="0"/>
    <x v="145"/>
  </r>
  <r>
    <x v="393"/>
    <n v="0.73104768413962495"/>
    <x v="0"/>
    <x v="144"/>
  </r>
  <r>
    <x v="394"/>
    <n v="0.73057703008863595"/>
    <x v="0"/>
    <x v="147"/>
  </r>
  <r>
    <x v="395"/>
    <n v="0.73057703008863595"/>
    <x v="0"/>
    <x v="147"/>
  </r>
  <r>
    <x v="396"/>
    <n v="0.73057703008863595"/>
    <x v="0"/>
    <x v="147"/>
  </r>
  <r>
    <x v="397"/>
    <n v="0.73054347826086896"/>
    <x v="0"/>
    <x v="148"/>
  </r>
  <r>
    <x v="398"/>
    <n v="0.73054347826086896"/>
    <x v="0"/>
    <x v="148"/>
  </r>
  <r>
    <x v="399"/>
    <n v="0.73054347826086896"/>
    <x v="0"/>
    <x v="148"/>
  </r>
  <r>
    <x v="400"/>
    <n v="0.72936686686686603"/>
    <x v="0"/>
    <x v="149"/>
  </r>
  <r>
    <x v="401"/>
    <n v="0.72936686686686603"/>
    <x v="0"/>
    <x v="149"/>
  </r>
  <r>
    <x v="402"/>
    <n v="0.72936686686686603"/>
    <x v="0"/>
    <x v="150"/>
  </r>
  <r>
    <x v="403"/>
    <n v="0.72936686686686603"/>
    <x v="0"/>
    <x v="149"/>
  </r>
  <r>
    <x v="404"/>
    <n v="0.72936686686686603"/>
    <x v="0"/>
    <x v="150"/>
  </r>
  <r>
    <x v="405"/>
    <n v="0.72936686686686603"/>
    <x v="0"/>
    <x v="150"/>
  </r>
  <r>
    <x v="406"/>
    <n v="0.72499999999999998"/>
    <x v="0"/>
    <x v="151"/>
  </r>
  <r>
    <x v="407"/>
    <n v="0.72499999999999998"/>
    <x v="0"/>
    <x v="151"/>
  </r>
  <r>
    <x v="408"/>
    <n v="0.72499999999999998"/>
    <x v="0"/>
    <x v="151"/>
  </r>
  <r>
    <x v="409"/>
    <n v="0.72198039215686205"/>
    <x v="0"/>
    <x v="152"/>
  </r>
  <r>
    <x v="410"/>
    <n v="0.72198039215686205"/>
    <x v="0"/>
    <x v="152"/>
  </r>
  <r>
    <x v="411"/>
    <n v="0.72198039215686205"/>
    <x v="0"/>
    <x v="152"/>
  </r>
  <r>
    <x v="412"/>
    <n v="0.71340196078431295"/>
    <x v="0"/>
    <x v="153"/>
  </r>
  <r>
    <x v="413"/>
    <n v="0.71340196078431295"/>
    <x v="0"/>
    <x v="153"/>
  </r>
  <r>
    <x v="414"/>
    <n v="0.71340196078431295"/>
    <x v="0"/>
    <x v="153"/>
  </r>
  <r>
    <x v="415"/>
    <n v="0.71313375846323401"/>
    <x v="0"/>
    <x v="154"/>
  </r>
  <r>
    <x v="416"/>
    <n v="0.71313375846323401"/>
    <x v="0"/>
    <x v="154"/>
  </r>
  <r>
    <x v="417"/>
    <n v="0.71313375846323401"/>
    <x v="0"/>
    <x v="154"/>
  </r>
  <r>
    <x v="418"/>
    <n v="0.69575738529226805"/>
    <x v="0"/>
    <x v="155"/>
  </r>
  <r>
    <x v="419"/>
    <n v="0.69575738529226805"/>
    <x v="0"/>
    <x v="155"/>
  </r>
  <r>
    <x v="420"/>
    <n v="0.69575738529226805"/>
    <x v="0"/>
    <x v="155"/>
  </r>
  <r>
    <x v="421"/>
    <n v="0.50000197816110103"/>
    <x v="0"/>
    <x v="156"/>
  </r>
  <r>
    <x v="422"/>
    <n v="0.50000197816110103"/>
    <x v="0"/>
    <x v="156"/>
  </r>
  <r>
    <x v="423"/>
    <n v="0.50000197816110103"/>
    <x v="0"/>
    <x v="156"/>
  </r>
  <r>
    <x v="424"/>
    <n v="0.39764056224899502"/>
    <x v="0"/>
    <x v="157"/>
  </r>
  <r>
    <x v="425"/>
    <n v="0.39764056224899502"/>
    <x v="0"/>
    <x v="157"/>
  </r>
  <r>
    <x v="426"/>
    <n v="0.39764056224899502"/>
    <x v="0"/>
    <x v="157"/>
  </r>
  <r>
    <x v="427"/>
    <n v="0.27278138528138501"/>
    <x v="0"/>
    <x v="158"/>
  </r>
  <r>
    <x v="428"/>
    <n v="0.27278138528138501"/>
    <x v="0"/>
    <x v="159"/>
  </r>
  <r>
    <x v="429"/>
    <n v="0.27278138528138501"/>
    <x v="0"/>
    <x v="160"/>
  </r>
  <r>
    <x v="430"/>
    <n v="0.27278138528138501"/>
    <x v="0"/>
    <x v="161"/>
  </r>
  <r>
    <x v="431"/>
    <n v="0.27278138528138501"/>
    <x v="0"/>
    <x v="162"/>
  </r>
  <r>
    <x v="432"/>
    <n v="0.27278138528138501"/>
    <x v="0"/>
    <x v="162"/>
  </r>
  <r>
    <x v="433"/>
    <n v="0.27278138528138501"/>
    <x v="0"/>
    <x v="159"/>
  </r>
  <r>
    <x v="434"/>
    <n v="0.27278138528138501"/>
    <x v="0"/>
    <x v="158"/>
  </r>
  <r>
    <x v="435"/>
    <n v="0.27278138528138501"/>
    <x v="0"/>
    <x v="162"/>
  </r>
  <r>
    <x v="436"/>
    <n v="0.27278138528138501"/>
    <x v="0"/>
    <x v="160"/>
  </r>
  <r>
    <x v="437"/>
    <n v="0.27278138528138501"/>
    <x v="0"/>
    <x v="163"/>
  </r>
  <r>
    <x v="438"/>
    <n v="0.27278138528138501"/>
    <x v="0"/>
    <x v="163"/>
  </r>
  <r>
    <x v="439"/>
    <n v="0.27278138528138501"/>
    <x v="0"/>
    <x v="158"/>
  </r>
  <r>
    <x v="440"/>
    <n v="0.27278138528138501"/>
    <x v="0"/>
    <x v="163"/>
  </r>
  <r>
    <x v="441"/>
    <n v="0.27278138528138501"/>
    <x v="0"/>
    <x v="161"/>
  </r>
  <r>
    <x v="442"/>
    <n v="0.27278138528138501"/>
    <x v="0"/>
    <x v="164"/>
  </r>
  <r>
    <x v="443"/>
    <n v="0.27278138528138501"/>
    <x v="0"/>
    <x v="161"/>
  </r>
  <r>
    <x v="444"/>
    <n v="0.27278138528138501"/>
    <x v="0"/>
    <x v="165"/>
  </r>
  <r>
    <x v="445"/>
    <n v="0.27278138528138501"/>
    <x v="0"/>
    <x v="166"/>
  </r>
  <r>
    <x v="446"/>
    <n v="0.27278138528138501"/>
    <x v="0"/>
    <x v="166"/>
  </r>
  <r>
    <x v="447"/>
    <n v="0.27278138528138501"/>
    <x v="0"/>
    <x v="167"/>
  </r>
  <r>
    <x v="448"/>
    <n v="0.27278138528138501"/>
    <x v="0"/>
    <x v="167"/>
  </r>
  <r>
    <x v="449"/>
    <n v="0.27278138528138501"/>
    <x v="0"/>
    <x v="167"/>
  </r>
  <r>
    <x v="450"/>
    <n v="0.27278138528138501"/>
    <x v="0"/>
    <x v="165"/>
  </r>
  <r>
    <x v="451"/>
    <n v="0.27278138528138501"/>
    <x v="0"/>
    <x v="165"/>
  </r>
  <r>
    <x v="452"/>
    <n v="0.27278138528138501"/>
    <x v="0"/>
    <x v="168"/>
  </r>
  <r>
    <x v="453"/>
    <n v="0.27278138528138501"/>
    <x v="0"/>
    <x v="169"/>
  </r>
  <r>
    <x v="454"/>
    <n v="0.27278138528138501"/>
    <x v="0"/>
    <x v="169"/>
  </r>
  <r>
    <x v="455"/>
    <n v="0.27278138528138501"/>
    <x v="0"/>
    <x v="169"/>
  </r>
  <r>
    <x v="456"/>
    <n v="0.27278138528138501"/>
    <x v="0"/>
    <x v="164"/>
  </r>
  <r>
    <x v="457"/>
    <n v="0.27278138528138501"/>
    <x v="0"/>
    <x v="159"/>
  </r>
  <r>
    <x v="458"/>
    <n v="0.27278138528138501"/>
    <x v="0"/>
    <x v="164"/>
  </r>
  <r>
    <x v="459"/>
    <n v="0.27278138528138501"/>
    <x v="0"/>
    <x v="166"/>
  </r>
  <r>
    <x v="460"/>
    <n v="0.27278138528138501"/>
    <x v="0"/>
    <x v="168"/>
  </r>
  <r>
    <x v="461"/>
    <n v="0.27278138528138501"/>
    <x v="0"/>
    <x v="160"/>
  </r>
  <r>
    <x v="462"/>
    <n v="0.27278138528138501"/>
    <x v="0"/>
    <x v="170"/>
  </r>
  <r>
    <x v="463"/>
    <n v="0.27278138528138501"/>
    <x v="0"/>
    <x v="171"/>
  </r>
  <r>
    <x v="464"/>
    <n v="0.27278138528138501"/>
    <x v="0"/>
    <x v="171"/>
  </r>
  <r>
    <x v="465"/>
    <n v="0.27278138528138501"/>
    <x v="0"/>
    <x v="171"/>
  </r>
  <r>
    <x v="466"/>
    <n v="0.27278138528138501"/>
    <x v="0"/>
    <x v="172"/>
  </r>
  <r>
    <x v="467"/>
    <n v="0.27278138528138501"/>
    <x v="0"/>
    <x v="172"/>
  </r>
  <r>
    <x v="468"/>
    <n v="0.27278138528138501"/>
    <x v="0"/>
    <x v="172"/>
  </r>
  <r>
    <x v="469"/>
    <n v="0.27278138528138501"/>
    <x v="0"/>
    <x v="173"/>
  </r>
  <r>
    <x v="470"/>
    <n v="0.27278138528138501"/>
    <x v="0"/>
    <x v="168"/>
  </r>
  <r>
    <x v="471"/>
    <n v="0.27278138528138501"/>
    <x v="0"/>
    <x v="170"/>
  </r>
  <r>
    <x v="472"/>
    <n v="0.27278138528138501"/>
    <x v="0"/>
    <x v="170"/>
  </r>
  <r>
    <x v="473"/>
    <n v="0.27278138528138501"/>
    <x v="0"/>
    <x v="174"/>
  </r>
  <r>
    <x v="474"/>
    <n v="0.27278138528138501"/>
    <x v="0"/>
    <x v="173"/>
  </r>
  <r>
    <x v="475"/>
    <n v="0.27278138528138501"/>
    <x v="0"/>
    <x v="174"/>
  </r>
  <r>
    <x v="476"/>
    <n v="0.27278138528138501"/>
    <x v="0"/>
    <x v="174"/>
  </r>
  <r>
    <x v="477"/>
    <n v="0.27278138528138501"/>
    <x v="0"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603FF-45E2-6D48-9EDA-C5DE18570DB4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560" firstHeaderRow="1" firstDataRow="1" firstDataCol="1" rowPageCount="1" colPageCount="1"/>
  <pivotFields count="4">
    <pivotField axis="axisRow" showAll="0" sortType="descending">
      <items count="557">
        <item x="443"/>
        <item x="187"/>
        <item x="438"/>
        <item x="182"/>
        <item x="442"/>
        <item x="185"/>
        <item x="142"/>
        <item x="390"/>
        <item x="136"/>
        <item x="380"/>
        <item x="140"/>
        <item x="388"/>
        <item x="282"/>
        <item x="495"/>
        <item x="280"/>
        <item x="497"/>
        <item x="286"/>
        <item x="494"/>
        <item x="519"/>
        <item x="98"/>
        <item x="516"/>
        <item x="99"/>
        <item x="514"/>
        <item x="97"/>
        <item x="125"/>
        <item x="204"/>
        <item x="134"/>
        <item x="206"/>
        <item x="123"/>
        <item x="202"/>
        <item x="44"/>
        <item x="423"/>
        <item x="46"/>
        <item x="430"/>
        <item x="43"/>
        <item x="429"/>
        <item x="163"/>
        <item x="198"/>
        <item x="157"/>
        <item x="209"/>
        <item x="159"/>
        <item x="200"/>
        <item x="398"/>
        <item x="75"/>
        <item x="400"/>
        <item x="74"/>
        <item x="397"/>
        <item x="80"/>
        <item x="470"/>
        <item x="259"/>
        <item x="469"/>
        <item x="244"/>
        <item x="471"/>
        <item x="258"/>
        <item x="521"/>
        <item x="58"/>
        <item x="520"/>
        <item x="59"/>
        <item x="522"/>
        <item x="57"/>
        <item x="541"/>
        <item x="472"/>
        <item x="542"/>
        <item x="467"/>
        <item x="543"/>
        <item x="466"/>
        <item x="138"/>
        <item x="348"/>
        <item x="137"/>
        <item x="347"/>
        <item x="139"/>
        <item x="341"/>
        <item x="285"/>
        <item x="302"/>
        <item x="278"/>
        <item x="303"/>
        <item x="277"/>
        <item x="292"/>
        <item x="455"/>
        <item x="111"/>
        <item x="456"/>
        <item x="110"/>
        <item x="457"/>
        <item x="109"/>
        <item x="256"/>
        <item x="90"/>
        <item x="257"/>
        <item x="88"/>
        <item x="255"/>
        <item x="91"/>
        <item x="416"/>
        <item x="181"/>
        <item x="415"/>
        <item x="183"/>
        <item x="406"/>
        <item x="188"/>
        <item x="329"/>
        <item x="195"/>
        <item x="332"/>
        <item x="196"/>
        <item x="323"/>
        <item x="194"/>
        <item x="361"/>
        <item x="49"/>
        <item x="364"/>
        <item x="50"/>
        <item x="362"/>
        <item x="47"/>
        <item x="126"/>
        <item x="148"/>
        <item x="130"/>
        <item x="146"/>
        <item x="133"/>
        <item x="144"/>
        <item x="54"/>
        <item x="100"/>
        <item x="52"/>
        <item x="102"/>
        <item x="56"/>
        <item x="101"/>
        <item x="11"/>
        <item x="51"/>
        <item x="9"/>
        <item x="53"/>
        <item x="10"/>
        <item x="55"/>
        <item x="184"/>
        <item x="293"/>
        <item x="186"/>
        <item x="300"/>
        <item x="180"/>
        <item x="296"/>
        <item x="405"/>
        <item x="342"/>
        <item x="401"/>
        <item x="340"/>
        <item x="402"/>
        <item x="343"/>
        <item x="245"/>
        <item x="156"/>
        <item x="265"/>
        <item x="162"/>
        <item x="267"/>
        <item x="164"/>
        <item x="179"/>
        <item x="165"/>
        <item x="174"/>
        <item x="319"/>
        <item x="120"/>
        <item x="320"/>
        <item x="121"/>
        <item x="321"/>
        <item x="317"/>
        <item x="272"/>
        <item x="318"/>
        <item x="269"/>
        <item x="316"/>
        <item x="243"/>
        <item x="358"/>
        <item x="356"/>
        <item x="359"/>
        <item x="378"/>
        <item x="411"/>
        <item x="379"/>
        <item x="413"/>
        <item x="377"/>
        <item x="447"/>
        <item x="441"/>
        <item x="446"/>
        <item x="445"/>
        <item x="448"/>
        <item x="440"/>
        <item x="395"/>
        <item x="549"/>
        <item x="396"/>
        <item x="553"/>
        <item x="393"/>
        <item x="548"/>
        <item x="13"/>
        <item x="555"/>
        <item x="12"/>
        <item x="544"/>
        <item x="14"/>
        <item x="554"/>
        <item x="84"/>
        <item x="131"/>
        <item x="83"/>
        <item x="132"/>
        <item x="85"/>
        <item x="124"/>
        <item x="234"/>
        <item x="237"/>
        <item x="232"/>
        <item x="432"/>
        <item x="189"/>
        <item x="433"/>
        <item x="190"/>
        <item x="431"/>
        <item x="414"/>
        <item x="192"/>
        <item x="409"/>
        <item x="193"/>
        <item x="412"/>
        <item x="191"/>
        <item x="426"/>
        <item x="551"/>
        <item x="425"/>
        <item x="550"/>
        <item x="424"/>
        <item x="552"/>
        <item x="287"/>
        <item x="546"/>
        <item x="283"/>
        <item x="547"/>
        <item x="288"/>
        <item x="545"/>
        <item x="290"/>
        <item x="233"/>
        <item x="291"/>
        <item x="235"/>
        <item x="289"/>
        <item x="231"/>
        <item x="238"/>
        <item x="239"/>
        <item x="279"/>
        <item x="236"/>
        <item x="168"/>
        <item x="241"/>
        <item x="166"/>
        <item x="242"/>
        <item x="169"/>
        <item x="240"/>
        <item x="266"/>
        <item x="275"/>
        <item x="273"/>
        <item x="271"/>
        <item x="264"/>
        <item x="260"/>
        <item x="421"/>
        <item x="417"/>
        <item x="199"/>
        <item x="418"/>
        <item x="389"/>
        <item x="208"/>
        <item x="387"/>
        <item x="207"/>
        <item x="386"/>
        <item x="197"/>
        <item x="214"/>
        <item x="203"/>
        <item x="213"/>
        <item x="201"/>
        <item x="215"/>
        <item x="205"/>
        <item x="351"/>
        <item x="349"/>
        <item x="96"/>
        <item x="360"/>
        <item x="67"/>
        <item x="82"/>
        <item x="71"/>
        <item x="77"/>
        <item x="70"/>
        <item x="86"/>
        <item x="345"/>
        <item x="38"/>
        <item x="344"/>
        <item x="33"/>
        <item x="346"/>
        <item x="37"/>
        <item x="338"/>
        <item x="391"/>
        <item x="339"/>
        <item x="394"/>
        <item x="337"/>
        <item x="392"/>
        <item x="453"/>
        <item x="352"/>
        <item x="449"/>
        <item x="350"/>
        <item x="454"/>
        <item x="354"/>
        <item x="221"/>
        <item x="129"/>
        <item x="220"/>
        <item x="127"/>
        <item x="219"/>
        <item x="128"/>
        <item x="496"/>
        <item x="451"/>
        <item x="493"/>
        <item x="452"/>
        <item x="498"/>
        <item x="450"/>
        <item x="311"/>
        <item x="491"/>
        <item x="310"/>
        <item x="492"/>
        <item x="315"/>
        <item x="490"/>
        <item x="108"/>
        <item x="482"/>
        <item x="107"/>
        <item x="485"/>
        <item x="106"/>
        <item x="481"/>
        <item x="64"/>
        <item x="68"/>
        <item x="65"/>
        <item x="69"/>
        <item x="63"/>
        <item x="66"/>
        <item x="95"/>
        <item x="113"/>
        <item x="92"/>
        <item x="112"/>
        <item x="93"/>
        <item x="117"/>
        <item x="119"/>
        <item x="31"/>
        <item x="122"/>
        <item x="27"/>
        <item x="118"/>
        <item x="32"/>
        <item x="334"/>
        <item x="462"/>
        <item x="336"/>
        <item x="461"/>
        <item x="335"/>
        <item x="460"/>
        <item x="0"/>
        <item x="333"/>
        <item x="1"/>
        <item x="331"/>
        <item x="2"/>
        <item x="328"/>
        <item x="22"/>
        <item x="224"/>
        <item x="21"/>
        <item x="225"/>
        <item x="23"/>
        <item x="228"/>
        <item x="274"/>
        <item x="222"/>
        <item x="268"/>
        <item x="223"/>
        <item x="270"/>
        <item x="226"/>
        <item x="152"/>
        <item x="227"/>
        <item x="150"/>
        <item x="229"/>
        <item x="151"/>
        <item x="230"/>
        <item x="528"/>
        <item x="324"/>
        <item x="527"/>
        <item x="325"/>
        <item x="526"/>
        <item x="322"/>
        <item x="500"/>
        <item x="408"/>
        <item x="501"/>
        <item x="407"/>
        <item x="499"/>
        <item x="410"/>
        <item x="439"/>
        <item x="76"/>
        <item x="437"/>
        <item x="81"/>
        <item x="444"/>
        <item x="72"/>
        <item x="365"/>
        <item x="79"/>
        <item x="368"/>
        <item x="78"/>
        <item x="363"/>
        <item x="73"/>
        <item x="366"/>
        <item x="479"/>
        <item x="369"/>
        <item x="480"/>
        <item x="367"/>
        <item x="478"/>
        <item x="489"/>
        <item x="507"/>
        <item x="486"/>
        <item x="513"/>
        <item x="488"/>
        <item x="508"/>
        <item x="399"/>
        <item x="523"/>
        <item x="404"/>
        <item x="525"/>
        <item x="403"/>
        <item x="524"/>
        <item x="314"/>
        <item x="306"/>
        <item x="313"/>
        <item x="307"/>
        <item x="312"/>
        <item x="308"/>
        <item x="145"/>
        <item x="103"/>
        <item x="147"/>
        <item x="105"/>
        <item x="149"/>
        <item x="104"/>
        <item x="16"/>
        <item x="3"/>
        <item x="17"/>
        <item x="5"/>
        <item x="15"/>
        <item x="4"/>
        <item x="45"/>
        <item x="39"/>
        <item x="48"/>
        <item x="41"/>
        <item x="42"/>
        <item x="40"/>
        <item x="155"/>
        <item x="18"/>
        <item x="153"/>
        <item x="19"/>
        <item x="154"/>
        <item x="20"/>
        <item x="463"/>
        <item x="7"/>
        <item x="465"/>
        <item x="8"/>
        <item x="464"/>
        <item x="6"/>
        <item x="355"/>
        <item x="533"/>
        <item x="353"/>
        <item x="532"/>
        <item x="357"/>
        <item x="534"/>
        <item x="539"/>
        <item x="506"/>
        <item x="540"/>
        <item x="512"/>
        <item x="538"/>
        <item x="510"/>
        <item x="473"/>
        <item x="504"/>
        <item x="474"/>
        <item x="503"/>
        <item x="468"/>
        <item x="502"/>
        <item x="114"/>
        <item x="61"/>
        <item x="116"/>
        <item x="60"/>
        <item x="115"/>
        <item x="62"/>
        <item x="135"/>
        <item x="24"/>
        <item x="141"/>
        <item x="26"/>
        <item x="143"/>
        <item x="25"/>
        <item x="475"/>
        <item x="28"/>
        <item x="476"/>
        <item x="29"/>
        <item x="477"/>
        <item x="30"/>
        <item x="382"/>
        <item x="536"/>
        <item x="384"/>
        <item x="535"/>
        <item x="381"/>
        <item x="537"/>
        <item x="372"/>
        <item x="518"/>
        <item x="370"/>
        <item x="515"/>
        <item x="374"/>
        <item x="517"/>
        <item x="327"/>
        <item x="484"/>
        <item x="326"/>
        <item x="483"/>
        <item x="330"/>
        <item x="487"/>
        <item x="298"/>
        <item x="250"/>
        <item x="299"/>
        <item x="251"/>
        <item x="297"/>
        <item x="249"/>
        <item x="253"/>
        <item x="170"/>
        <item x="254"/>
        <item x="178"/>
        <item x="252"/>
        <item x="167"/>
        <item x="530"/>
        <item x="176"/>
        <item x="529"/>
        <item x="175"/>
        <item x="531"/>
        <item x="177"/>
        <item x="87"/>
        <item x="459"/>
        <item x="94"/>
        <item x="458"/>
        <item x="89"/>
        <item x="295"/>
        <item x="160"/>
        <item x="294"/>
        <item x="158"/>
        <item x="301"/>
        <item x="161"/>
        <item x="383"/>
        <item x="34"/>
        <item x="385"/>
        <item x="35"/>
        <item x="376"/>
        <item x="36"/>
        <item x="419"/>
        <item x="172"/>
        <item x="422"/>
        <item x="173"/>
        <item x="420"/>
        <item x="171"/>
        <item x="276"/>
        <item x="248"/>
        <item x="284"/>
        <item x="263"/>
        <item x="281"/>
        <item x="247"/>
        <item x="434"/>
        <item x="261"/>
        <item x="435"/>
        <item x="246"/>
        <item x="436"/>
        <item x="262"/>
        <item x="216"/>
        <item x="428"/>
        <item x="218"/>
        <item x="427"/>
        <item x="217"/>
        <item x="211"/>
        <item x="505"/>
        <item x="210"/>
        <item x="511"/>
        <item x="212"/>
        <item x="509"/>
        <item x="305"/>
        <item x="371"/>
        <item x="309"/>
        <item x="373"/>
        <item x="304"/>
        <item x="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Page" showAll="0">
      <items count="2">
        <item x="0"/>
        <item t="default"/>
      </items>
    </pivotField>
    <pivotField showAll="0" sortType="descending">
      <items count="190">
        <item x="150"/>
        <item x="63"/>
        <item x="47"/>
        <item x="130"/>
        <item x="97"/>
        <item x="169"/>
        <item x="175"/>
        <item x="33"/>
        <item x="42"/>
        <item x="71"/>
        <item x="15"/>
        <item x="144"/>
        <item x="54"/>
        <item x="68"/>
        <item x="135"/>
        <item x="26"/>
        <item x="161"/>
        <item x="84"/>
        <item x="177"/>
        <item x="19"/>
        <item x="184"/>
        <item x="159"/>
        <item x="48"/>
        <item x="117"/>
        <item x="95"/>
        <item x="100"/>
        <item x="155"/>
        <item x="37"/>
        <item x="90"/>
        <item x="30"/>
        <item x="138"/>
        <item x="62"/>
        <item x="111"/>
        <item x="66"/>
        <item x="123"/>
        <item x="16"/>
        <item x="44"/>
        <item x="49"/>
        <item x="18"/>
        <item x="34"/>
        <item x="3"/>
        <item x="17"/>
        <item x="61"/>
        <item x="101"/>
        <item x="137"/>
        <item x="116"/>
        <item x="85"/>
        <item x="53"/>
        <item x="56"/>
        <item x="109"/>
        <item x="41"/>
        <item x="108"/>
        <item x="83"/>
        <item x="122"/>
        <item x="129"/>
        <item x="141"/>
        <item x="152"/>
        <item x="151"/>
        <item x="134"/>
        <item x="187"/>
        <item x="4"/>
        <item x="185"/>
        <item x="28"/>
        <item x="43"/>
        <item x="80"/>
        <item x="147"/>
        <item x="64"/>
        <item x="140"/>
        <item x="65"/>
        <item x="145"/>
        <item x="188"/>
        <item x="98"/>
        <item x="186"/>
        <item x="99"/>
        <item x="79"/>
        <item x="81"/>
        <item x="96"/>
        <item x="57"/>
        <item x="82"/>
        <item x="92"/>
        <item x="91"/>
        <item x="142"/>
        <item x="69"/>
        <item x="132"/>
        <item x="67"/>
        <item x="73"/>
        <item x="70"/>
        <item x="119"/>
        <item x="32"/>
        <item x="23"/>
        <item x="27"/>
        <item x="118"/>
        <item x="11"/>
        <item x="115"/>
        <item x="133"/>
        <item x="153"/>
        <item x="120"/>
        <item x="75"/>
        <item x="45"/>
        <item x="168"/>
        <item x="154"/>
        <item x="106"/>
        <item x="167"/>
        <item x="36"/>
        <item x="164"/>
        <item x="21"/>
        <item x="22"/>
        <item x="31"/>
        <item x="38"/>
        <item x="40"/>
        <item x="9"/>
        <item x="114"/>
        <item x="157"/>
        <item x="0"/>
        <item x="113"/>
        <item x="7"/>
        <item x="77"/>
        <item x="93"/>
        <item x="76"/>
        <item x="51"/>
        <item x="78"/>
        <item x="179"/>
        <item x="110"/>
        <item x="170"/>
        <item x="139"/>
        <item x="149"/>
        <item x="24"/>
        <item x="124"/>
        <item x="25"/>
        <item x="125"/>
        <item x="163"/>
        <item x="166"/>
        <item x="174"/>
        <item x="136"/>
        <item x="178"/>
        <item x="107"/>
        <item x="105"/>
        <item x="50"/>
        <item x="35"/>
        <item x="5"/>
        <item x="1"/>
        <item x="14"/>
        <item x="13"/>
        <item x="52"/>
        <item x="6"/>
        <item x="158"/>
        <item x="2"/>
        <item x="121"/>
        <item x="181"/>
        <item x="183"/>
        <item x="173"/>
        <item x="160"/>
        <item x="171"/>
        <item x="39"/>
        <item x="20"/>
        <item x="46"/>
        <item x="8"/>
        <item x="162"/>
        <item x="10"/>
        <item x="131"/>
        <item x="182"/>
        <item x="126"/>
        <item x="176"/>
        <item x="112"/>
        <item x="165"/>
        <item x="103"/>
        <item x="88"/>
        <item x="89"/>
        <item x="58"/>
        <item x="180"/>
        <item x="60"/>
        <item x="29"/>
        <item x="156"/>
        <item x="102"/>
        <item x="55"/>
        <item x="128"/>
        <item x="12"/>
        <item x="143"/>
        <item x="59"/>
        <item x="94"/>
        <item x="87"/>
        <item x="148"/>
        <item x="86"/>
        <item x="74"/>
        <item x="146"/>
        <item x="72"/>
        <item x="172"/>
        <item x="104"/>
        <item x="1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57">
    <i>
      <x v="330"/>
    </i>
    <i>
      <x v="334"/>
    </i>
    <i>
      <x v="332"/>
    </i>
    <i>
      <x v="409"/>
    </i>
    <i>
      <x v="411"/>
    </i>
    <i>
      <x v="413"/>
    </i>
    <i>
      <x v="431"/>
    </i>
    <i>
      <x v="429"/>
    </i>
    <i>
      <x v="427"/>
    </i>
    <i>
      <x v="178"/>
    </i>
    <i>
      <x v="182"/>
    </i>
    <i>
      <x v="180"/>
    </i>
    <i>
      <x v="120"/>
    </i>
    <i>
      <x v="122"/>
    </i>
    <i>
      <x v="124"/>
    </i>
    <i>
      <x v="408"/>
    </i>
    <i>
      <x v="410"/>
    </i>
    <i>
      <x v="412"/>
    </i>
    <i>
      <x v="425"/>
    </i>
    <i>
      <x v="423"/>
    </i>
    <i>
      <x v="421"/>
    </i>
    <i>
      <x v="336"/>
    </i>
    <i>
      <x v="338"/>
    </i>
    <i>
      <x v="340"/>
    </i>
    <i>
      <x v="459"/>
    </i>
    <i>
      <x v="461"/>
    </i>
    <i>
      <x v="457"/>
    </i>
    <i>
      <x v="463"/>
    </i>
    <i>
      <x v="319"/>
    </i>
    <i>
      <x v="465"/>
    </i>
    <i>
      <x v="321"/>
    </i>
    <i>
      <x v="467"/>
    </i>
    <i>
      <x v="323"/>
    </i>
    <i>
      <x v="518"/>
    </i>
    <i>
      <x v="516"/>
    </i>
    <i>
      <x v="520"/>
    </i>
    <i>
      <x v="267"/>
    </i>
    <i>
      <x v="265"/>
    </i>
    <i>
      <x v="269"/>
    </i>
    <i>
      <x v="417"/>
    </i>
    <i>
      <x v="419"/>
    </i>
    <i>
      <x v="415"/>
    </i>
    <i>
      <x v="414"/>
    </i>
    <i>
      <x v="418"/>
    </i>
    <i>
      <x v="416"/>
    </i>
    <i>
      <x v="32"/>
    </i>
    <i>
      <x v="105"/>
    </i>
    <i>
      <x v="30"/>
    </i>
    <i>
      <x v="103"/>
    </i>
    <i>
      <x v="34"/>
    </i>
    <i>
      <x v="107"/>
    </i>
    <i>
      <x v="123"/>
    </i>
    <i>
      <x v="116"/>
    </i>
    <i>
      <x v="125"/>
    </i>
    <i>
      <x v="118"/>
    </i>
    <i>
      <x v="121"/>
    </i>
    <i>
      <x v="114"/>
    </i>
    <i>
      <x v="55"/>
    </i>
    <i>
      <x v="57"/>
    </i>
    <i>
      <x v="59"/>
    </i>
    <i>
      <x v="451"/>
    </i>
    <i>
      <x v="453"/>
    </i>
    <i>
      <x v="455"/>
    </i>
    <i>
      <x v="310"/>
    </i>
    <i>
      <x v="308"/>
    </i>
    <i>
      <x v="306"/>
    </i>
    <i>
      <x v="309"/>
    </i>
    <i>
      <x v="307"/>
    </i>
    <i>
      <x v="311"/>
    </i>
    <i>
      <x v="260"/>
    </i>
    <i>
      <x v="258"/>
    </i>
    <i>
      <x v="262"/>
    </i>
    <i>
      <x v="373"/>
    </i>
    <i>
      <x v="377"/>
    </i>
    <i>
      <x v="375"/>
    </i>
    <i>
      <x v="367"/>
    </i>
    <i>
      <x v="369"/>
    </i>
    <i>
      <x v="371"/>
    </i>
    <i>
      <x v="47"/>
    </i>
    <i>
      <x v="45"/>
    </i>
    <i>
      <x v="188"/>
    </i>
    <i>
      <x v="43"/>
    </i>
    <i>
      <x v="259"/>
    </i>
    <i>
      <x v="261"/>
    </i>
    <i>
      <x v="186"/>
    </i>
    <i>
      <x v="184"/>
    </i>
    <i>
      <x v="263"/>
    </i>
    <i>
      <x v="506"/>
    </i>
    <i>
      <x v="504"/>
    </i>
    <i>
      <x v="316"/>
    </i>
    <i>
      <x v="508"/>
    </i>
    <i>
      <x v="314"/>
    </i>
    <i>
      <x v="312"/>
    </i>
    <i>
      <x v="89"/>
    </i>
    <i>
      <x v="256"/>
    </i>
    <i>
      <x v="85"/>
    </i>
    <i>
      <x v="19"/>
    </i>
    <i>
      <x v="21"/>
    </i>
    <i>
      <x v="23"/>
    </i>
    <i>
      <x v="87"/>
    </i>
    <i>
      <x v="119"/>
    </i>
    <i>
      <x v="117"/>
    </i>
    <i>
      <x v="115"/>
    </i>
    <i>
      <x v="405"/>
    </i>
    <i>
      <x v="403"/>
    </i>
    <i>
      <x v="407"/>
    </i>
    <i>
      <x v="300"/>
    </i>
    <i>
      <x v="302"/>
    </i>
    <i>
      <x v="304"/>
    </i>
    <i>
      <x v="81"/>
    </i>
    <i>
      <x v="83"/>
    </i>
    <i>
      <x v="79"/>
    </i>
    <i>
      <x v="452"/>
    </i>
    <i>
      <x v="450"/>
    </i>
    <i>
      <x v="313"/>
    </i>
    <i>
      <x v="315"/>
    </i>
    <i>
      <x v="317"/>
    </i>
    <i>
      <x v="454"/>
    </i>
    <i>
      <x v="320"/>
    </i>
    <i>
      <x v="318"/>
    </i>
    <i>
      <x v="322"/>
    </i>
    <i>
      <x v="150"/>
    </i>
    <i>
      <x v="148"/>
    </i>
    <i>
      <x v="287"/>
    </i>
    <i>
      <x v="283"/>
    </i>
    <i>
      <x v="285"/>
    </i>
    <i>
      <x v="189"/>
    </i>
    <i>
      <x v="185"/>
    </i>
    <i>
      <x v="110"/>
    </i>
    <i>
      <x v="24"/>
    </i>
    <i>
      <x v="187"/>
    </i>
    <i>
      <x v="26"/>
    </i>
    <i>
      <x v="108"/>
    </i>
    <i>
      <x v="28"/>
    </i>
    <i>
      <x v="112"/>
    </i>
    <i>
      <x v="456"/>
    </i>
    <i>
      <x v="460"/>
    </i>
    <i>
      <x v="458"/>
    </i>
    <i>
      <x v="8"/>
    </i>
    <i>
      <x v="6"/>
    </i>
    <i>
      <x v="66"/>
    </i>
    <i>
      <x v="10"/>
    </i>
    <i>
      <x v="70"/>
    </i>
    <i>
      <x v="68"/>
    </i>
    <i>
      <x v="404"/>
    </i>
    <i>
      <x v="402"/>
    </i>
    <i>
      <x v="406"/>
    </i>
    <i>
      <x v="113"/>
    </i>
    <i>
      <x v="109"/>
    </i>
    <i>
      <x v="111"/>
    </i>
    <i>
      <x v="348"/>
    </i>
    <i>
      <x v="352"/>
    </i>
    <i>
      <x v="350"/>
    </i>
    <i>
      <x v="422"/>
    </i>
    <i>
      <x v="424"/>
    </i>
    <i>
      <x v="420"/>
    </i>
    <i>
      <x v="512"/>
    </i>
    <i>
      <x v="510"/>
    </i>
    <i>
      <x v="514"/>
    </i>
    <i>
      <x v="143"/>
    </i>
    <i>
      <x v="40"/>
    </i>
    <i>
      <x v="139"/>
    </i>
    <i>
      <x v="38"/>
    </i>
    <i>
      <x v="141"/>
    </i>
    <i>
      <x v="36"/>
    </i>
    <i>
      <x v="497"/>
    </i>
    <i>
      <x v="503"/>
    </i>
    <i>
      <x v="493"/>
    </i>
    <i>
      <x v="522"/>
    </i>
    <i>
      <x v="524"/>
    </i>
    <i>
      <x v="526"/>
    </i>
    <i>
      <x v="501"/>
    </i>
    <i>
      <x v="499"/>
    </i>
    <i>
      <x v="495"/>
    </i>
    <i>
      <x v="228"/>
    </i>
    <i>
      <x v="144"/>
    </i>
    <i>
      <x v="145"/>
    </i>
    <i>
      <x v="146"/>
    </i>
    <i>
      <x v="226"/>
    </i>
    <i>
      <x v="230"/>
    </i>
    <i>
      <x v="130"/>
    </i>
    <i>
      <x v="95"/>
    </i>
    <i>
      <x v="3"/>
    </i>
    <i>
      <x v="1"/>
    </i>
    <i>
      <x v="91"/>
    </i>
    <i>
      <x v="93"/>
    </i>
    <i>
      <x v="126"/>
    </i>
    <i>
      <x v="5"/>
    </i>
    <i>
      <x v="128"/>
    </i>
    <i>
      <x v="249"/>
    </i>
    <i>
      <x v="240"/>
    </i>
    <i>
      <x v="99"/>
    </i>
    <i>
      <x v="39"/>
    </i>
    <i>
      <x v="245"/>
    </i>
    <i>
      <x v="29"/>
    </i>
    <i>
      <x v="253"/>
    </i>
    <i>
      <x v="41"/>
    </i>
    <i>
      <x v="37"/>
    </i>
    <i>
      <x v="27"/>
    </i>
    <i>
      <x v="243"/>
    </i>
    <i>
      <x v="194"/>
    </i>
    <i>
      <x v="247"/>
    </i>
    <i>
      <x v="196"/>
    </i>
    <i>
      <x v="251"/>
    </i>
    <i>
      <x v="199"/>
    </i>
    <i>
      <x v="97"/>
    </i>
    <i>
      <x v="201"/>
    </i>
    <i>
      <x v="101"/>
    </i>
    <i>
      <x v="203"/>
    </i>
    <i>
      <x v="25"/>
    </i>
    <i>
      <x v="546"/>
    </i>
    <i>
      <x v="544"/>
    </i>
    <i>
      <x v="548"/>
    </i>
    <i>
      <x v="248"/>
    </i>
    <i>
      <x v="252"/>
    </i>
    <i>
      <x v="250"/>
    </i>
    <i>
      <x v="539"/>
    </i>
    <i>
      <x v="541"/>
    </i>
    <i>
      <x v="543"/>
    </i>
    <i>
      <x v="282"/>
    </i>
    <i>
      <x v="286"/>
    </i>
    <i>
      <x v="284"/>
    </i>
    <i>
      <x v="353"/>
    </i>
    <i>
      <x v="347"/>
    </i>
    <i>
      <x v="339"/>
    </i>
    <i>
      <x v="349"/>
    </i>
    <i>
      <x v="343"/>
    </i>
    <i>
      <x v="337"/>
    </i>
    <i>
      <x v="341"/>
    </i>
    <i>
      <x v="351"/>
    </i>
    <i>
      <x v="345"/>
    </i>
    <i>
      <x v="222"/>
    </i>
    <i>
      <x v="219"/>
    </i>
    <i>
      <x v="190"/>
    </i>
    <i>
      <x v="191"/>
    </i>
    <i>
      <x v="221"/>
    </i>
    <i>
      <x v="223"/>
    </i>
    <i>
      <x v="192"/>
    </i>
    <i>
      <x v="217"/>
    </i>
    <i>
      <x v="225"/>
    </i>
    <i>
      <x v="530"/>
    </i>
    <i>
      <x v="538"/>
    </i>
    <i>
      <x v="534"/>
    </i>
    <i>
      <x v="496"/>
    </i>
    <i>
      <x v="342"/>
    </i>
    <i>
      <x v="487"/>
    </i>
    <i>
      <x v="532"/>
    </i>
    <i>
      <x v="491"/>
    </i>
    <i>
      <x v="536"/>
    </i>
    <i>
      <x v="344"/>
    </i>
    <i>
      <x v="494"/>
    </i>
    <i>
      <x v="492"/>
    </i>
    <i>
      <x v="489"/>
    </i>
    <i>
      <x v="346"/>
    </i>
    <i>
      <x v="528"/>
    </i>
    <i>
      <x v="51"/>
    </i>
    <i>
      <x v="234"/>
    </i>
    <i>
      <x v="237"/>
    </i>
    <i>
      <x v="86"/>
    </i>
    <i>
      <x v="236"/>
    </i>
    <i>
      <x v="88"/>
    </i>
    <i>
      <x v="155"/>
    </i>
    <i>
      <x v="53"/>
    </i>
    <i>
      <x v="233"/>
    </i>
    <i>
      <x v="227"/>
    </i>
    <i>
      <x v="235"/>
    </i>
    <i>
      <x v="142"/>
    </i>
    <i>
      <x v="49"/>
    </i>
    <i>
      <x v="229"/>
    </i>
    <i>
      <x v="153"/>
    </i>
    <i>
      <x v="84"/>
    </i>
    <i>
      <x v="157"/>
    </i>
    <i>
      <x v="231"/>
    </i>
    <i>
      <x v="232"/>
    </i>
    <i>
      <x v="140"/>
    </i>
    <i>
      <x v="138"/>
    </i>
    <i>
      <x v="527"/>
    </i>
    <i>
      <x v="531"/>
    </i>
    <i>
      <x v="529"/>
    </i>
    <i>
      <x v="72"/>
    </i>
    <i>
      <x v="214"/>
    </i>
    <i>
      <x v="76"/>
    </i>
    <i>
      <x v="12"/>
    </i>
    <i>
      <x v="224"/>
    </i>
    <i>
      <x v="14"/>
    </i>
    <i>
      <x v="74"/>
    </i>
    <i>
      <x v="16"/>
    </i>
    <i>
      <x v="212"/>
    </i>
    <i>
      <x v="210"/>
    </i>
    <i>
      <x v="511"/>
    </i>
    <i>
      <x v="509"/>
    </i>
    <i>
      <x v="490"/>
    </i>
    <i>
      <x v="488"/>
    </i>
    <i>
      <x v="513"/>
    </i>
    <i>
      <x v="486"/>
    </i>
    <i>
      <x v="75"/>
    </i>
    <i>
      <x v="127"/>
    </i>
    <i>
      <x v="77"/>
    </i>
    <i>
      <x v="216"/>
    </i>
    <i>
      <x v="129"/>
    </i>
    <i>
      <x v="218"/>
    </i>
    <i>
      <x v="131"/>
    </i>
    <i>
      <x v="220"/>
    </i>
    <i>
      <x v="73"/>
    </i>
    <i>
      <x v="397"/>
    </i>
    <i>
      <x v="401"/>
    </i>
    <i>
      <x v="399"/>
    </i>
    <i>
      <x v="552"/>
    </i>
    <i>
      <x v="554"/>
    </i>
    <i>
      <x v="550"/>
    </i>
    <i>
      <x v="400"/>
    </i>
    <i>
      <x v="296"/>
    </i>
    <i>
      <x v="396"/>
    </i>
    <i>
      <x v="298"/>
    </i>
    <i>
      <x v="398"/>
    </i>
    <i>
      <x v="294"/>
    </i>
    <i>
      <x v="156"/>
    </i>
    <i>
      <x v="152"/>
    </i>
    <i>
      <x v="154"/>
    </i>
    <i>
      <x v="147"/>
    </i>
    <i>
      <x v="149"/>
    </i>
    <i>
      <x v="151"/>
    </i>
    <i>
      <x v="326"/>
    </i>
    <i>
      <x v="324"/>
    </i>
    <i>
      <x v="482"/>
    </i>
    <i>
      <x v="335"/>
    </i>
    <i>
      <x v="328"/>
    </i>
    <i>
      <x v="359"/>
    </i>
    <i>
      <x v="480"/>
    </i>
    <i>
      <x v="333"/>
    </i>
    <i>
      <x v="331"/>
    </i>
    <i>
      <x v="357"/>
    </i>
    <i>
      <x v="355"/>
    </i>
    <i>
      <x v="484"/>
    </i>
    <i>
      <x v="96"/>
    </i>
    <i>
      <x v="100"/>
    </i>
    <i>
      <x v="98"/>
    </i>
    <i>
      <x v="272"/>
    </i>
    <i>
      <x v="274"/>
    </i>
    <i>
      <x v="270"/>
    </i>
    <i>
      <x v="281"/>
    </i>
    <i>
      <x v="436"/>
    </i>
    <i>
      <x v="279"/>
    </i>
    <i>
      <x v="432"/>
    </i>
    <i>
      <x v="434"/>
    </i>
    <i>
      <x v="255"/>
    </i>
    <i>
      <x v="264"/>
    </i>
    <i>
      <x v="135"/>
    </i>
    <i>
      <x v="277"/>
    </i>
    <i>
      <x v="69"/>
    </i>
    <i>
      <x v="158"/>
    </i>
    <i>
      <x v="257"/>
    </i>
    <i>
      <x v="268"/>
    </i>
    <i>
      <x v="137"/>
    </i>
    <i>
      <x v="67"/>
    </i>
    <i>
      <x v="266"/>
    </i>
    <i>
      <x v="133"/>
    </i>
    <i>
      <x v="254"/>
    </i>
    <i>
      <x v="159"/>
    </i>
    <i>
      <x v="160"/>
    </i>
    <i>
      <x v="71"/>
    </i>
    <i>
      <x v="374"/>
    </i>
    <i>
      <x v="382"/>
    </i>
    <i>
      <x v="378"/>
    </i>
    <i>
      <x v="474"/>
    </i>
    <i>
      <x v="372"/>
    </i>
    <i>
      <x v="476"/>
    </i>
    <i>
      <x v="376"/>
    </i>
    <i>
      <x v="478"/>
    </i>
    <i>
      <x v="380"/>
    </i>
    <i>
      <x v="551"/>
    </i>
    <i>
      <x v="555"/>
    </i>
    <i>
      <x v="553"/>
    </i>
    <i>
      <x v="102"/>
    </i>
    <i>
      <x v="106"/>
    </i>
    <i>
      <x v="104"/>
    </i>
    <i>
      <x v="472"/>
    </i>
    <i>
      <x v="519"/>
    </i>
    <i>
      <x v="515"/>
    </i>
    <i>
      <x v="468"/>
    </i>
    <i>
      <x v="470"/>
    </i>
    <i>
      <x v="517"/>
    </i>
    <i>
      <x v="165"/>
    </i>
    <i>
      <x v="161"/>
    </i>
    <i>
      <x v="246"/>
    </i>
    <i>
      <x v="242"/>
    </i>
    <i>
      <x v="9"/>
    </i>
    <i>
      <x v="7"/>
    </i>
    <i>
      <x v="11"/>
    </i>
    <i>
      <x v="244"/>
    </i>
    <i>
      <x v="163"/>
    </i>
    <i>
      <x v="273"/>
    </i>
    <i>
      <x v="172"/>
    </i>
    <i>
      <x v="275"/>
    </i>
    <i>
      <x v="271"/>
    </i>
    <i>
      <x v="174"/>
    </i>
    <i>
      <x v="176"/>
    </i>
    <i>
      <x v="390"/>
    </i>
    <i>
      <x v="392"/>
    </i>
    <i>
      <x v="394"/>
    </i>
    <i>
      <x v="46"/>
    </i>
    <i>
      <x v="44"/>
    </i>
    <i>
      <x v="136"/>
    </i>
    <i>
      <x v="42"/>
    </i>
    <i>
      <x v="134"/>
    </i>
    <i>
      <x v="132"/>
    </i>
    <i>
      <x v="361"/>
    </i>
    <i>
      <x v="363"/>
    </i>
    <i>
      <x v="365"/>
    </i>
    <i>
      <x v="164"/>
    </i>
    <i>
      <x v="162"/>
    </i>
    <i>
      <x v="94"/>
    </i>
    <i>
      <x v="200"/>
    </i>
    <i>
      <x v="198"/>
    </i>
    <i>
      <x v="202"/>
    </i>
    <i>
      <x v="92"/>
    </i>
    <i>
      <x v="90"/>
    </i>
    <i>
      <x v="525"/>
    </i>
    <i>
      <x v="521"/>
    </i>
    <i>
      <x v="523"/>
    </i>
    <i>
      <x v="239"/>
    </i>
    <i>
      <x v="241"/>
    </i>
    <i>
      <x v="238"/>
    </i>
    <i>
      <x v="542"/>
    </i>
    <i>
      <x v="540"/>
    </i>
    <i>
      <x v="206"/>
    </i>
    <i>
      <x v="208"/>
    </i>
    <i>
      <x v="35"/>
    </i>
    <i>
      <x v="204"/>
    </i>
    <i>
      <x v="33"/>
    </i>
    <i>
      <x v="31"/>
    </i>
    <i>
      <x v="195"/>
    </i>
    <i>
      <x v="193"/>
    </i>
    <i>
      <x v="197"/>
    </i>
    <i>
      <x v="537"/>
    </i>
    <i>
      <x v="535"/>
    </i>
    <i>
      <x v="368"/>
    </i>
    <i>
      <x v="370"/>
    </i>
    <i>
      <x v="366"/>
    </i>
    <i>
      <x v="533"/>
    </i>
    <i>
      <x/>
    </i>
    <i>
      <x v="2"/>
    </i>
    <i>
      <x v="169"/>
    </i>
    <i>
      <x v="4"/>
    </i>
    <i>
      <x v="171"/>
    </i>
    <i>
      <x v="167"/>
    </i>
    <i>
      <x v="170"/>
    </i>
    <i>
      <x v="166"/>
    </i>
    <i>
      <x v="168"/>
    </i>
    <i>
      <x v="289"/>
    </i>
    <i>
      <x v="291"/>
    </i>
    <i>
      <x v="280"/>
    </i>
    <i>
      <x v="278"/>
    </i>
    <i>
      <x v="293"/>
    </i>
    <i>
      <x v="276"/>
    </i>
    <i>
      <x v="78"/>
    </i>
    <i>
      <x v="80"/>
    </i>
    <i>
      <x v="82"/>
    </i>
    <i>
      <x v="325"/>
    </i>
    <i>
      <x v="505"/>
    </i>
    <i>
      <x v="507"/>
    </i>
    <i>
      <x v="329"/>
    </i>
    <i>
      <x v="327"/>
    </i>
    <i>
      <x v="428"/>
    </i>
    <i>
      <x v="430"/>
    </i>
    <i>
      <x v="426"/>
    </i>
    <i>
      <x v="444"/>
    </i>
    <i>
      <x v="448"/>
    </i>
    <i>
      <x v="446"/>
    </i>
    <i>
      <x v="61"/>
    </i>
    <i>
      <x v="52"/>
    </i>
    <i>
      <x v="63"/>
    </i>
    <i>
      <x v="65"/>
    </i>
    <i>
      <x v="50"/>
    </i>
    <i>
      <x v="48"/>
    </i>
    <i>
      <x v="462"/>
    </i>
    <i>
      <x v="381"/>
    </i>
    <i>
      <x v="379"/>
    </i>
    <i>
      <x v="464"/>
    </i>
    <i>
      <x v="466"/>
    </i>
    <i>
      <x v="383"/>
    </i>
    <i>
      <x v="303"/>
    </i>
    <i>
      <x v="384"/>
    </i>
    <i>
      <x v="481"/>
    </i>
    <i>
      <x v="483"/>
    </i>
    <i>
      <x v="305"/>
    </i>
    <i>
      <x v="485"/>
    </i>
    <i>
      <x v="386"/>
    </i>
    <i>
      <x v="301"/>
    </i>
    <i>
      <x v="388"/>
    </i>
    <i>
      <x v="299"/>
    </i>
    <i>
      <x v="297"/>
    </i>
    <i>
      <x v="295"/>
    </i>
    <i>
      <x v="288"/>
    </i>
    <i>
      <x v="292"/>
    </i>
    <i>
      <x v="290"/>
    </i>
    <i>
      <x v="15"/>
    </i>
    <i>
      <x v="13"/>
    </i>
    <i>
      <x v="17"/>
    </i>
    <i>
      <x v="364"/>
    </i>
    <i>
      <x v="362"/>
    </i>
    <i>
      <x v="360"/>
    </i>
    <i>
      <x v="449"/>
    </i>
    <i>
      <x v="447"/>
    </i>
    <i>
      <x v="445"/>
    </i>
    <i>
      <x v="545"/>
    </i>
    <i>
      <x v="547"/>
    </i>
    <i>
      <x v="443"/>
    </i>
    <i>
      <x v="549"/>
    </i>
    <i>
      <x v="387"/>
    </i>
    <i>
      <x v="385"/>
    </i>
    <i>
      <x v="389"/>
    </i>
    <i>
      <x v="441"/>
    </i>
    <i>
      <x v="439"/>
    </i>
    <i>
      <x v="475"/>
    </i>
    <i>
      <x v="479"/>
    </i>
    <i>
      <x v="477"/>
    </i>
    <i>
      <x v="18"/>
    </i>
    <i>
      <x v="20"/>
    </i>
    <i>
      <x v="22"/>
    </i>
    <i>
      <x v="56"/>
    </i>
    <i>
      <x v="58"/>
    </i>
    <i>
      <x v="54"/>
    </i>
    <i>
      <x v="391"/>
    </i>
    <i>
      <x v="393"/>
    </i>
    <i>
      <x v="395"/>
    </i>
    <i>
      <x v="356"/>
    </i>
    <i>
      <x v="354"/>
    </i>
    <i>
      <x v="358"/>
    </i>
    <i>
      <x v="502"/>
    </i>
    <i>
      <x v="500"/>
    </i>
    <i>
      <x v="498"/>
    </i>
    <i>
      <x v="433"/>
    </i>
    <i>
      <x v="437"/>
    </i>
    <i>
      <x v="435"/>
    </i>
    <i>
      <x v="473"/>
    </i>
    <i>
      <x v="471"/>
    </i>
    <i>
      <x v="469"/>
    </i>
    <i>
      <x v="438"/>
    </i>
    <i>
      <x v="442"/>
    </i>
    <i>
      <x v="440"/>
    </i>
    <i>
      <x v="60"/>
    </i>
    <i>
      <x v="62"/>
    </i>
    <i>
      <x v="64"/>
    </i>
    <i>
      <x v="181"/>
    </i>
    <i>
      <x v="213"/>
    </i>
    <i>
      <x v="179"/>
    </i>
    <i>
      <x v="183"/>
    </i>
    <i>
      <x v="211"/>
    </i>
    <i>
      <x v="173"/>
    </i>
    <i>
      <x v="175"/>
    </i>
    <i>
      <x v="205"/>
    </i>
    <i>
      <x v="177"/>
    </i>
    <i>
      <x v="209"/>
    </i>
    <i>
      <x v="207"/>
    </i>
    <i>
      <x v="215"/>
    </i>
    <i t="grand">
      <x/>
    </i>
  </rowItems>
  <colItems count="1">
    <i/>
  </colItems>
  <pageFields count="1">
    <pageField fld="2" hier="-1"/>
  </pageFields>
  <dataFields count="1">
    <dataField name="Máx. de f1_score" fld="1" subtotal="max" baseField="0" baseItem="0" numFmtId="10"/>
  </dataFields>
  <formats count="22">
    <format dxfId="23">
      <pivotArea collapsedLevelsAreSubtotals="1" fieldPosition="0">
        <references count="1">
          <reference field="0" count="30">
            <x v="120"/>
            <x v="122"/>
            <x v="124"/>
            <x v="178"/>
            <x v="180"/>
            <x v="182"/>
            <x v="319"/>
            <x v="330"/>
            <x v="332"/>
            <x v="334"/>
            <x v="336"/>
            <x v="338"/>
            <x v="340"/>
            <x v="408"/>
            <x v="409"/>
            <x v="410"/>
            <x v="411"/>
            <x v="412"/>
            <x v="413"/>
            <x v="421"/>
            <x v="423"/>
            <x v="425"/>
            <x v="427"/>
            <x v="429"/>
            <x v="431"/>
            <x v="457"/>
            <x v="459"/>
            <x v="461"/>
            <x v="463"/>
            <x v="465"/>
          </reference>
        </references>
      </pivotArea>
    </format>
    <format dxfId="22">
      <pivotArea dataOnly="0" labelOnly="1" fieldPosition="0">
        <references count="1">
          <reference field="0" count="30">
            <x v="120"/>
            <x v="122"/>
            <x v="124"/>
            <x v="178"/>
            <x v="180"/>
            <x v="182"/>
            <x v="319"/>
            <x v="330"/>
            <x v="332"/>
            <x v="334"/>
            <x v="336"/>
            <x v="338"/>
            <x v="340"/>
            <x v="408"/>
            <x v="409"/>
            <x v="410"/>
            <x v="411"/>
            <x v="412"/>
            <x v="413"/>
            <x v="421"/>
            <x v="423"/>
            <x v="425"/>
            <x v="427"/>
            <x v="429"/>
            <x v="431"/>
            <x v="457"/>
            <x v="459"/>
            <x v="461"/>
            <x v="463"/>
            <x v="465"/>
          </reference>
        </references>
      </pivotArea>
    </format>
    <format dxfId="21">
      <pivotArea collapsedLevelsAreSubtotals="1" fieldPosition="0">
        <references count="1">
          <reference field="0" count="3">
            <x v="330"/>
            <x v="332"/>
            <x v="334"/>
          </reference>
        </references>
      </pivotArea>
    </format>
    <format dxfId="20">
      <pivotArea dataOnly="0" labelOnly="1" fieldPosition="0">
        <references count="1">
          <reference field="0" count="3">
            <x v="330"/>
            <x v="332"/>
            <x v="334"/>
          </reference>
        </references>
      </pivotArea>
    </format>
    <format dxfId="19">
      <pivotArea collapsedLevelsAreSubtotals="1" fieldPosition="0">
        <references count="1">
          <reference field="0" count="3">
            <x v="409"/>
            <x v="411"/>
            <x v="413"/>
          </reference>
        </references>
      </pivotArea>
    </format>
    <format dxfId="18">
      <pivotArea dataOnly="0" labelOnly="1" fieldPosition="0">
        <references count="1">
          <reference field="0" count="3">
            <x v="409"/>
            <x v="411"/>
            <x v="413"/>
          </reference>
        </references>
      </pivotArea>
    </format>
    <format dxfId="17">
      <pivotArea collapsedLevelsAreSubtotals="1" fieldPosition="0">
        <references count="1">
          <reference field="0" count="3">
            <x v="427"/>
            <x v="429"/>
            <x v="431"/>
          </reference>
        </references>
      </pivotArea>
    </format>
    <format dxfId="16">
      <pivotArea dataOnly="0" labelOnly="1" fieldPosition="0">
        <references count="1">
          <reference field="0" count="3">
            <x v="427"/>
            <x v="429"/>
            <x v="431"/>
          </reference>
        </references>
      </pivotArea>
    </format>
    <format dxfId="15">
      <pivotArea collapsedLevelsAreSubtotals="1" fieldPosition="0">
        <references count="1">
          <reference field="0" count="3">
            <x v="178"/>
            <x v="180"/>
            <x v="182"/>
          </reference>
        </references>
      </pivotArea>
    </format>
    <format dxfId="14">
      <pivotArea dataOnly="0" labelOnly="1" fieldPosition="0">
        <references count="1">
          <reference field="0" count="3">
            <x v="178"/>
            <x v="180"/>
            <x v="182"/>
          </reference>
        </references>
      </pivotArea>
    </format>
    <format dxfId="13">
      <pivotArea collapsedLevelsAreSubtotals="1" fieldPosition="0">
        <references count="1">
          <reference field="0" count="3">
            <x v="120"/>
            <x v="122"/>
            <x v="124"/>
          </reference>
        </references>
      </pivotArea>
    </format>
    <format dxfId="12">
      <pivotArea dataOnly="0" labelOnly="1" fieldPosition="0">
        <references count="1">
          <reference field="0" count="3">
            <x v="120"/>
            <x v="122"/>
            <x v="124"/>
          </reference>
        </references>
      </pivotArea>
    </format>
    <format dxfId="11">
      <pivotArea collapsedLevelsAreSubtotals="1" fieldPosition="0">
        <references count="1">
          <reference field="0" count="3">
            <x v="408"/>
            <x v="410"/>
            <x v="412"/>
          </reference>
        </references>
      </pivotArea>
    </format>
    <format dxfId="10">
      <pivotArea dataOnly="0" labelOnly="1" fieldPosition="0">
        <references count="1">
          <reference field="0" count="3">
            <x v="408"/>
            <x v="410"/>
            <x v="412"/>
          </reference>
        </references>
      </pivotArea>
    </format>
    <format dxfId="9">
      <pivotArea collapsedLevelsAreSubtotals="1" fieldPosition="0">
        <references count="1">
          <reference field="0" count="3">
            <x v="421"/>
            <x v="423"/>
            <x v="425"/>
          </reference>
        </references>
      </pivotArea>
    </format>
    <format dxfId="8">
      <pivotArea dataOnly="0" labelOnly="1" fieldPosition="0">
        <references count="1">
          <reference field="0" count="3">
            <x v="421"/>
            <x v="423"/>
            <x v="425"/>
          </reference>
        </references>
      </pivotArea>
    </format>
    <format dxfId="7">
      <pivotArea collapsedLevelsAreSubtotals="1" fieldPosition="0">
        <references count="1">
          <reference field="0" count="3">
            <x v="336"/>
            <x v="338"/>
            <x v="340"/>
          </reference>
        </references>
      </pivotArea>
    </format>
    <format dxfId="6">
      <pivotArea dataOnly="0" labelOnly="1" fieldPosition="0">
        <references count="1">
          <reference field="0" count="3">
            <x v="336"/>
            <x v="338"/>
            <x v="340"/>
          </reference>
        </references>
      </pivotArea>
    </format>
    <format dxfId="5">
      <pivotArea collapsedLevelsAreSubtotals="1" fieldPosition="0">
        <references count="1">
          <reference field="0" count="3">
            <x v="457"/>
            <x v="459"/>
            <x v="461"/>
          </reference>
        </references>
      </pivotArea>
    </format>
    <format dxfId="4">
      <pivotArea dataOnly="0" labelOnly="1" fieldPosition="0">
        <references count="1">
          <reference field="0" count="3">
            <x v="457"/>
            <x v="459"/>
            <x v="461"/>
          </reference>
        </references>
      </pivotArea>
    </format>
    <format dxfId="3">
      <pivotArea collapsedLevelsAreSubtotals="1" fieldPosition="0">
        <references count="1">
          <reference field="0" count="3">
            <x v="319"/>
            <x v="463"/>
            <x v="465"/>
          </reference>
        </references>
      </pivotArea>
    </format>
    <format dxfId="2">
      <pivotArea dataOnly="0" labelOnly="1" fieldPosition="0">
        <references count="1">
          <reference field="0" count="3">
            <x v="319"/>
            <x v="463"/>
            <x v="46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97DF4-10E1-2144-8794-6BE782C232E1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482" firstHeaderRow="1" firstDataRow="1" firstDataCol="1" rowPageCount="1" colPageCount="1"/>
  <pivotFields count="4">
    <pivotField axis="axisRow" showAll="0" sortType="descending">
      <items count="479">
        <item x="192"/>
        <item x="193"/>
        <item x="59"/>
        <item x="191"/>
        <item x="246"/>
        <item x="107"/>
        <item x="241"/>
        <item x="108"/>
        <item x="240"/>
        <item x="106"/>
        <item x="333"/>
        <item x="109"/>
        <item x="334"/>
        <item x="97"/>
        <item x="332"/>
        <item x="110"/>
        <item x="244"/>
        <item x="243"/>
        <item x="289"/>
        <item x="245"/>
        <item x="325"/>
        <item x="215"/>
        <item x="324"/>
        <item x="202"/>
        <item x="326"/>
        <item x="213"/>
        <item x="375"/>
        <item x="133"/>
        <item x="374"/>
        <item x="130"/>
        <item x="373"/>
        <item x="129"/>
        <item x="11"/>
        <item x="190"/>
        <item x="10"/>
        <item x="200"/>
        <item x="12"/>
        <item x="49"/>
        <item x="164"/>
        <item x="50"/>
        <item x="173"/>
        <item x="54"/>
        <item x="166"/>
        <item x="301"/>
        <item x="171"/>
        <item x="305"/>
        <item x="170"/>
        <item x="294"/>
        <item x="172"/>
        <item x="328"/>
        <item x="327"/>
        <item x="329"/>
        <item x="361"/>
        <item x="112"/>
        <item x="364"/>
        <item x="115"/>
        <item x="366"/>
        <item x="118"/>
        <item x="56"/>
        <item x="111"/>
        <item x="57"/>
        <item x="113"/>
        <item x="55"/>
        <item x="114"/>
        <item x="239"/>
        <item x="188"/>
        <item x="237"/>
        <item x="189"/>
        <item x="238"/>
        <item x="407"/>
        <item x="196"/>
        <item x="408"/>
        <item x="195"/>
        <item x="406"/>
        <item x="198"/>
        <item x="414"/>
        <item x="201"/>
        <item x="413"/>
        <item x="194"/>
        <item x="412"/>
        <item x="197"/>
        <item x="380"/>
        <item x="381"/>
        <item x="379"/>
        <item x="266"/>
        <item x="268"/>
        <item x="330"/>
        <item x="267"/>
        <item x="260"/>
        <item x="275"/>
        <item x="261"/>
        <item x="276"/>
        <item x="257"/>
        <item x="279"/>
        <item x="280"/>
        <item x="277"/>
        <item x="383"/>
        <item x="384"/>
        <item x="230"/>
        <item x="382"/>
        <item x="284"/>
        <item x="282"/>
        <item x="286"/>
        <item x="287"/>
        <item x="285"/>
        <item x="179"/>
        <item x="199"/>
        <item x="187"/>
        <item x="398"/>
        <item x="399"/>
        <item x="335"/>
        <item x="397"/>
        <item x="159"/>
        <item x="222"/>
        <item x="160"/>
        <item x="223"/>
        <item x="158"/>
        <item x="349"/>
        <item x="448"/>
        <item x="350"/>
        <item x="447"/>
        <item x="359"/>
        <item x="449"/>
        <item x="67"/>
        <item x="445"/>
        <item x="68"/>
        <item x="459"/>
        <item x="66"/>
        <item x="446"/>
        <item x="314"/>
        <item x="460"/>
        <item x="313"/>
        <item x="470"/>
        <item x="317"/>
        <item x="452"/>
        <item x="124"/>
        <item x="475"/>
        <item x="123"/>
        <item x="473"/>
        <item x="120"/>
        <item x="476"/>
        <item x="73"/>
        <item x="471"/>
        <item x="70"/>
        <item x="462"/>
        <item x="71"/>
        <item x="472"/>
        <item x="144"/>
        <item x="441"/>
        <item x="154"/>
        <item x="430"/>
        <item x="146"/>
        <item x="443"/>
        <item x="255"/>
        <item x="464"/>
        <item x="256"/>
        <item x="465"/>
        <item x="254"/>
        <item x="463"/>
        <item x="400"/>
        <item x="467"/>
        <item x="401"/>
        <item x="468"/>
        <item x="403"/>
        <item x="466"/>
        <item x="155"/>
        <item x="477"/>
        <item x="156"/>
        <item x="474"/>
        <item x="157"/>
        <item x="469"/>
        <item x="360"/>
        <item x="428"/>
        <item x="357"/>
        <item x="433"/>
        <item x="345"/>
        <item x="457"/>
        <item x="247"/>
        <item x="421"/>
        <item x="236"/>
        <item x="422"/>
        <item x="233"/>
        <item x="423"/>
        <item x="312"/>
        <item x="438"/>
        <item x="310"/>
        <item x="440"/>
        <item x="315"/>
        <item x="437"/>
        <item x="405"/>
        <item x="427"/>
        <item x="404"/>
        <item x="439"/>
        <item x="402"/>
        <item x="434"/>
        <item x="415"/>
        <item x="432"/>
        <item x="416"/>
        <item x="431"/>
        <item x="417"/>
        <item x="435"/>
        <item x="143"/>
        <item x="436"/>
        <item x="145"/>
        <item x="461"/>
        <item x="153"/>
        <item x="429"/>
        <item x="348"/>
        <item x="454"/>
        <item x="358"/>
        <item x="453"/>
        <item x="346"/>
        <item x="455"/>
        <item x="207"/>
        <item x="205"/>
        <item x="203"/>
        <item x="303"/>
        <item x="302"/>
        <item x="299"/>
        <item x="167"/>
        <item x="444"/>
        <item x="163"/>
        <item x="450"/>
        <item x="168"/>
        <item x="451"/>
        <item x="90"/>
        <item x="94"/>
        <item x="89"/>
        <item x="220"/>
        <item x="231"/>
        <item x="221"/>
        <item x="304"/>
        <item x="458"/>
        <item x="300"/>
        <item x="442"/>
        <item x="456"/>
        <item x="295"/>
        <item x="298"/>
        <item x="307"/>
        <item x="393"/>
        <item x="388"/>
        <item x="385"/>
        <item x="291"/>
        <item x="288"/>
        <item x="308"/>
        <item x="290"/>
        <item x="38"/>
        <item x="343"/>
        <item x="34"/>
        <item x="342"/>
        <item x="40"/>
        <item x="344"/>
        <item x="151"/>
        <item x="336"/>
        <item x="150"/>
        <item x="340"/>
        <item x="152"/>
        <item x="341"/>
        <item x="140"/>
        <item x="138"/>
        <item x="33"/>
        <item x="141"/>
        <item x="15"/>
        <item x="30"/>
        <item x="14"/>
        <item x="27"/>
        <item x="13"/>
        <item x="32"/>
        <item x="410"/>
        <item x="60"/>
        <item x="409"/>
        <item x="61"/>
        <item x="411"/>
        <item x="65"/>
        <item x="4"/>
        <item x="23"/>
        <item x="6"/>
        <item x="21"/>
        <item x="3"/>
        <item x="17"/>
        <item x="101"/>
        <item x="16"/>
        <item x="100"/>
        <item x="18"/>
        <item x="102"/>
        <item x="148"/>
        <item x="98"/>
        <item x="147"/>
        <item x="95"/>
        <item x="149"/>
        <item x="99"/>
        <item x="25"/>
        <item x="24"/>
        <item x="5"/>
        <item x="26"/>
        <item x="209"/>
        <item x="39"/>
        <item x="208"/>
        <item x="42"/>
        <item x="211"/>
        <item x="41"/>
        <item x="63"/>
        <item x="74"/>
        <item x="62"/>
        <item x="72"/>
        <item x="64"/>
        <item x="69"/>
        <item x="214"/>
        <item x="132"/>
        <item x="224"/>
        <item x="131"/>
        <item x="217"/>
        <item x="35"/>
        <item x="104"/>
        <item x="36"/>
        <item x="103"/>
        <item x="37"/>
        <item x="105"/>
        <item x="31"/>
        <item x="52"/>
        <item x="28"/>
        <item x="51"/>
        <item x="29"/>
        <item x="53"/>
        <item x="365"/>
        <item x="362"/>
        <item x="363"/>
        <item x="391"/>
        <item x="122"/>
        <item x="387"/>
        <item x="121"/>
        <item x="389"/>
        <item x="46"/>
        <item x="218"/>
        <item x="44"/>
        <item x="226"/>
        <item x="48"/>
        <item x="219"/>
        <item x="210"/>
        <item x="228"/>
        <item x="137"/>
        <item x="142"/>
        <item x="128"/>
        <item x="139"/>
        <item x="22"/>
        <item x="135"/>
        <item x="19"/>
        <item x="134"/>
        <item x="20"/>
        <item x="372"/>
        <item x="368"/>
        <item x="367"/>
        <item x="338"/>
        <item x="339"/>
        <item x="136"/>
        <item x="337"/>
        <item x="75"/>
        <item x="204"/>
        <item x="77"/>
        <item x="232"/>
        <item x="76"/>
        <item x="183"/>
        <item x="184"/>
        <item x="58"/>
        <item x="182"/>
        <item x="47"/>
        <item x="96"/>
        <item x="45"/>
        <item x="91"/>
        <item x="43"/>
        <item x="116"/>
        <item x="322"/>
        <item x="86"/>
        <item x="321"/>
        <item x="93"/>
        <item x="323"/>
        <item x="92"/>
        <item x="311"/>
        <item x="309"/>
        <item x="283"/>
        <item x="316"/>
        <item x="390"/>
        <item x="225"/>
        <item x="392"/>
        <item x="229"/>
        <item x="386"/>
        <item x="227"/>
        <item x="2"/>
        <item x="126"/>
        <item x="1"/>
        <item x="125"/>
        <item x="0"/>
        <item x="127"/>
        <item x="296"/>
        <item x="162"/>
        <item x="306"/>
        <item x="169"/>
        <item x="297"/>
        <item x="7"/>
        <item x="281"/>
        <item x="9"/>
        <item x="271"/>
        <item x="8"/>
        <item x="278"/>
        <item x="425"/>
        <item x="79"/>
        <item x="426"/>
        <item x="80"/>
        <item x="424"/>
        <item x="78"/>
        <item x="420"/>
        <item x="418"/>
        <item x="419"/>
        <item x="253"/>
        <item x="117"/>
        <item x="251"/>
        <item x="83"/>
        <item x="252"/>
        <item x="119"/>
        <item x="264"/>
        <item x="84"/>
        <item x="263"/>
        <item x="85"/>
        <item x="265"/>
        <item x="82"/>
        <item x="234"/>
        <item x="186"/>
        <item x="235"/>
        <item x="185"/>
        <item x="242"/>
        <item x="378"/>
        <item x="176"/>
        <item x="376"/>
        <item x="175"/>
        <item x="377"/>
        <item x="177"/>
        <item x="262"/>
        <item x="87"/>
        <item x="258"/>
        <item x="88"/>
        <item x="259"/>
        <item x="81"/>
        <item x="161"/>
        <item x="174"/>
        <item x="165"/>
        <item x="355"/>
        <item x="354"/>
        <item x="331"/>
        <item x="356"/>
        <item x="318"/>
        <item x="274"/>
        <item x="320"/>
        <item x="273"/>
        <item x="319"/>
        <item x="269"/>
        <item x="270"/>
        <item x="272"/>
        <item x="352"/>
        <item x="351"/>
        <item x="206"/>
        <item x="353"/>
        <item x="248"/>
        <item x="292"/>
        <item x="250"/>
        <item x="293"/>
        <item x="249"/>
        <item x="178"/>
        <item x="181"/>
        <item x="180"/>
        <item x="371"/>
        <item x="370"/>
        <item x="347"/>
        <item x="369"/>
        <item x="394"/>
        <item x="216"/>
        <item x="395"/>
        <item x="212"/>
        <item x="39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Page" showAll="0">
      <items count="2">
        <item x="0"/>
        <item t="default"/>
      </items>
    </pivotField>
    <pivotField showAll="0" sortType="descending">
      <items count="176">
        <item x="71"/>
        <item x="22"/>
        <item x="90"/>
        <item x="40"/>
        <item x="125"/>
        <item x="37"/>
        <item x="91"/>
        <item x="108"/>
        <item x="121"/>
        <item x="74"/>
        <item x="140"/>
        <item x="47"/>
        <item x="4"/>
        <item x="70"/>
        <item x="18"/>
        <item x="62"/>
        <item x="110"/>
        <item x="63"/>
        <item x="122"/>
        <item x="136"/>
        <item x="42"/>
        <item x="20"/>
        <item x="41"/>
        <item x="89"/>
        <item x="69"/>
        <item x="151"/>
        <item x="73"/>
        <item x="153"/>
        <item x="72"/>
        <item x="142"/>
        <item x="98"/>
        <item x="123"/>
        <item x="95"/>
        <item x="102"/>
        <item x="103"/>
        <item x="143"/>
        <item x="86"/>
        <item x="106"/>
        <item x="104"/>
        <item x="66"/>
        <item x="148"/>
        <item x="126"/>
        <item x="58"/>
        <item x="84"/>
        <item x="133"/>
        <item x="167"/>
        <item x="25"/>
        <item x="166"/>
        <item x="118"/>
        <item x="168"/>
        <item x="43"/>
        <item x="174"/>
        <item x="27"/>
        <item x="170"/>
        <item x="54"/>
        <item x="161"/>
        <item x="94"/>
        <item x="171"/>
        <item x="149"/>
        <item x="172"/>
        <item x="57"/>
        <item x="173"/>
        <item x="130"/>
        <item x="159"/>
        <item x="87"/>
        <item x="156"/>
        <item x="117"/>
        <item x="163"/>
        <item x="150"/>
        <item x="158"/>
        <item x="154"/>
        <item x="162"/>
        <item x="53"/>
        <item x="160"/>
        <item x="131"/>
        <item x="169"/>
        <item x="75"/>
        <item x="113"/>
        <item x="61"/>
        <item x="165"/>
        <item x="34"/>
        <item x="83"/>
        <item x="114"/>
        <item x="164"/>
        <item x="111"/>
        <item x="144"/>
        <item x="107"/>
        <item x="115"/>
        <item x="13"/>
        <item x="129"/>
        <item x="56"/>
        <item x="127"/>
        <item x="52"/>
        <item x="12"/>
        <item x="5"/>
        <item x="10"/>
        <item x="152"/>
        <item x="23"/>
        <item x="1"/>
        <item x="8"/>
        <item x="6"/>
        <item x="38"/>
        <item x="55"/>
        <item x="36"/>
        <item x="9"/>
        <item x="2"/>
        <item x="78"/>
        <item x="15"/>
        <item x="24"/>
        <item x="26"/>
        <item x="81"/>
        <item x="48"/>
        <item x="14"/>
        <item x="39"/>
        <item x="11"/>
        <item x="19"/>
        <item x="137"/>
        <item x="146"/>
        <item x="44"/>
        <item x="17"/>
        <item x="82"/>
        <item x="79"/>
        <item x="51"/>
        <item x="46"/>
        <item x="7"/>
        <item x="49"/>
        <item x="138"/>
        <item x="128"/>
        <item x="50"/>
        <item x="28"/>
        <item x="76"/>
        <item x="67"/>
        <item x="21"/>
        <item x="16"/>
        <item x="35"/>
        <item x="120"/>
        <item x="33"/>
        <item x="116"/>
        <item x="105"/>
        <item x="145"/>
        <item x="85"/>
        <item x="0"/>
        <item x="45"/>
        <item x="112"/>
        <item x="60"/>
        <item x="3"/>
        <item x="100"/>
        <item x="157"/>
        <item x="29"/>
        <item x="155"/>
        <item x="93"/>
        <item x="32"/>
        <item x="97"/>
        <item x="31"/>
        <item x="88"/>
        <item x="68"/>
        <item x="141"/>
        <item x="64"/>
        <item x="96"/>
        <item x="30"/>
        <item x="59"/>
        <item x="135"/>
        <item x="124"/>
        <item x="119"/>
        <item x="101"/>
        <item x="99"/>
        <item x="134"/>
        <item x="77"/>
        <item x="92"/>
        <item x="109"/>
        <item x="65"/>
        <item x="139"/>
        <item x="132"/>
        <item x="147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79">
    <i>
      <x v="389"/>
    </i>
    <i>
      <x v="387"/>
    </i>
    <i>
      <x v="391"/>
    </i>
    <i>
      <x v="274"/>
    </i>
    <i>
      <x v="293"/>
    </i>
    <i>
      <x v="278"/>
    </i>
    <i>
      <x v="276"/>
    </i>
    <i>
      <x v="400"/>
    </i>
    <i>
      <x v="402"/>
    </i>
    <i>
      <x v="398"/>
    </i>
    <i>
      <x v="34"/>
    </i>
    <i>
      <x v="36"/>
    </i>
    <i>
      <x v="32"/>
    </i>
    <i>
      <x v="266"/>
    </i>
    <i>
      <x v="264"/>
    </i>
    <i>
      <x v="262"/>
    </i>
    <i>
      <x v="281"/>
    </i>
    <i>
      <x v="283"/>
    </i>
    <i>
      <x v="279"/>
    </i>
    <i>
      <x v="277"/>
    </i>
    <i>
      <x v="348"/>
    </i>
    <i>
      <x v="344"/>
    </i>
    <i>
      <x v="346"/>
    </i>
    <i>
      <x v="275"/>
    </i>
    <i>
      <x v="318"/>
    </i>
    <i>
      <x v="291"/>
    </i>
    <i>
      <x v="322"/>
    </i>
    <i>
      <x v="260"/>
    </i>
    <i>
      <x v="292"/>
    </i>
    <i>
      <x v="263"/>
    </i>
    <i>
      <x v="320"/>
    </i>
    <i>
      <x v="265"/>
    </i>
    <i>
      <x v="267"/>
    </i>
    <i>
      <x v="294"/>
    </i>
    <i>
      <x v="314"/>
    </i>
    <i>
      <x v="300"/>
    </i>
    <i>
      <x v="296"/>
    </i>
    <i>
      <x v="246"/>
    </i>
    <i>
      <x v="312"/>
    </i>
    <i>
      <x v="248"/>
    </i>
    <i>
      <x v="316"/>
    </i>
    <i>
      <x v="250"/>
    </i>
    <i>
      <x v="298"/>
    </i>
    <i>
      <x v="336"/>
    </i>
    <i>
      <x v="334"/>
    </i>
    <i>
      <x v="332"/>
    </i>
    <i>
      <x v="369"/>
    </i>
    <i>
      <x v="365"/>
    </i>
    <i>
      <x v="367"/>
    </i>
    <i>
      <x v="321"/>
    </i>
    <i>
      <x v="37"/>
    </i>
    <i>
      <x v="323"/>
    </i>
    <i>
      <x v="319"/>
    </i>
    <i>
      <x v="39"/>
    </i>
    <i>
      <x v="41"/>
    </i>
    <i>
      <x v="62"/>
    </i>
    <i>
      <x v="58"/>
    </i>
    <i>
      <x v="60"/>
    </i>
    <i>
      <x v="2"/>
    </i>
    <i>
      <x v="363"/>
    </i>
    <i>
      <x v="269"/>
    </i>
    <i>
      <x v="273"/>
    </i>
    <i>
      <x v="301"/>
    </i>
    <i>
      <x v="271"/>
    </i>
    <i>
      <x v="305"/>
    </i>
    <i>
      <x v="303"/>
    </i>
    <i>
      <x v="127"/>
    </i>
    <i>
      <x v="141"/>
    </i>
    <i>
      <x v="125"/>
    </i>
    <i>
      <x v="306"/>
    </i>
    <i>
      <x v="123"/>
    </i>
    <i>
      <x v="143"/>
    </i>
    <i>
      <x v="145"/>
    </i>
    <i>
      <x v="304"/>
    </i>
    <i>
      <x v="302"/>
    </i>
    <i>
      <x v="356"/>
    </i>
    <i>
      <x v="360"/>
    </i>
    <i>
      <x v="358"/>
    </i>
    <i>
      <x v="405"/>
    </i>
    <i>
      <x v="409"/>
    </i>
    <i>
      <x v="407"/>
    </i>
    <i>
      <x v="286"/>
    </i>
    <i>
      <x v="366"/>
    </i>
    <i>
      <x v="11"/>
    </i>
    <i>
      <x v="288"/>
    </i>
    <i>
      <x v="370"/>
    </i>
    <i>
      <x v="290"/>
    </i>
    <i>
      <x v="424"/>
    </i>
    <i>
      <x v="53"/>
    </i>
    <i>
      <x v="282"/>
    </i>
    <i>
      <x v="55"/>
    </i>
    <i>
      <x v="368"/>
    </i>
    <i>
      <x v="441"/>
    </i>
    <i>
      <x v="374"/>
    </i>
    <i>
      <x v="225"/>
    </i>
    <i>
      <x v="5"/>
    </i>
    <i>
      <x v="226"/>
    </i>
    <i>
      <x v="439"/>
    </i>
    <i>
      <x v="227"/>
    </i>
    <i>
      <x v="15"/>
    </i>
    <i>
      <x v="63"/>
    </i>
    <i>
      <x v="284"/>
    </i>
    <i>
      <x v="313"/>
    </i>
    <i>
      <x v="7"/>
    </i>
    <i>
      <x v="315"/>
    </i>
    <i>
      <x v="9"/>
    </i>
    <i>
      <x v="13"/>
    </i>
    <i>
      <x v="372"/>
    </i>
    <i>
      <x v="280"/>
    </i>
    <i>
      <x v="376"/>
    </i>
    <i>
      <x v="416"/>
    </i>
    <i>
      <x v="420"/>
    </i>
    <i>
      <x v="317"/>
    </i>
    <i>
      <x v="414"/>
    </i>
    <i>
      <x v="57"/>
    </i>
    <i>
      <x v="418"/>
    </i>
    <i>
      <x v="61"/>
    </i>
    <i>
      <x v="422"/>
    </i>
    <i>
      <x v="59"/>
    </i>
    <i>
      <x v="437"/>
    </i>
    <i>
      <x v="310"/>
    </i>
    <i>
      <x v="390"/>
    </i>
    <i>
      <x v="135"/>
    </i>
    <i>
      <x v="392"/>
    </i>
    <i>
      <x v="308"/>
    </i>
    <i>
      <x v="29"/>
    </i>
    <i>
      <x v="139"/>
    </i>
    <i>
      <x v="31"/>
    </i>
    <i>
      <x v="388"/>
    </i>
    <i>
      <x v="342"/>
    </i>
    <i>
      <x v="27"/>
    </i>
    <i>
      <x v="137"/>
    </i>
    <i>
      <x v="328"/>
    </i>
    <i>
      <x v="330"/>
    </i>
    <i>
      <x v="345"/>
    </i>
    <i>
      <x v="347"/>
    </i>
    <i>
      <x v="354"/>
    </i>
    <i>
      <x v="341"/>
    </i>
    <i>
      <x v="259"/>
    </i>
    <i>
      <x v="258"/>
    </i>
    <i>
      <x v="343"/>
    </i>
    <i>
      <x v="340"/>
    </i>
    <i>
      <x v="261"/>
    </i>
    <i>
      <x v="252"/>
    </i>
    <i>
      <x v="205"/>
    </i>
    <i>
      <x v="149"/>
    </i>
    <i>
      <x v="151"/>
    </i>
    <i>
      <x v="285"/>
    </i>
    <i>
      <x v="256"/>
    </i>
    <i>
      <x v="254"/>
    </i>
    <i>
      <x v="201"/>
    </i>
    <i>
      <x v="203"/>
    </i>
    <i>
      <x v="289"/>
    </i>
    <i>
      <x v="147"/>
    </i>
    <i>
      <x v="287"/>
    </i>
    <i>
      <x v="167"/>
    </i>
    <i>
      <x v="165"/>
    </i>
    <i>
      <x v="169"/>
    </i>
    <i>
      <x v="112"/>
    </i>
    <i>
      <x v="114"/>
    </i>
    <i>
      <x v="116"/>
    </i>
    <i>
      <x v="444"/>
    </i>
    <i>
      <x v="442"/>
    </i>
    <i>
      <x v="48"/>
    </i>
    <i>
      <x v="394"/>
    </i>
    <i>
      <x v="219"/>
    </i>
    <i>
      <x v="38"/>
    </i>
    <i>
      <x v="223"/>
    </i>
    <i>
      <x v="40"/>
    </i>
    <i>
      <x v="396"/>
    </i>
    <i>
      <x v="42"/>
    </i>
    <i>
      <x v="443"/>
    </i>
    <i>
      <x v="44"/>
    </i>
    <i>
      <x v="46"/>
    </i>
    <i>
      <x v="221"/>
    </i>
    <i>
      <x v="1"/>
    </i>
    <i>
      <x v="65"/>
    </i>
    <i>
      <x v="433"/>
    </i>
    <i>
      <x v="107"/>
    </i>
    <i>
      <x v="106"/>
    </i>
    <i>
      <x v="468"/>
    </i>
    <i>
      <x v="428"/>
    </i>
    <i>
      <x v="105"/>
    </i>
    <i>
      <x v="33"/>
    </i>
    <i>
      <x v="70"/>
    </i>
    <i>
      <x v="467"/>
    </i>
    <i>
      <x v="72"/>
    </i>
    <i>
      <x v="3"/>
    </i>
    <i>
      <x v="361"/>
    </i>
    <i>
      <x v="426"/>
    </i>
    <i>
      <x v="362"/>
    </i>
    <i>
      <x v="431"/>
    </i>
    <i>
      <x v="364"/>
    </i>
    <i>
      <x v="435"/>
    </i>
    <i>
      <x v="74"/>
    </i>
    <i>
      <x v="35"/>
    </i>
    <i>
      <x v="76"/>
    </i>
    <i>
      <x v="466"/>
    </i>
    <i>
      <x v="78"/>
    </i>
    <i>
      <x v="67"/>
    </i>
    <i>
      <x v="80"/>
    </i>
    <i>
      <x/>
    </i>
    <i>
      <x v="309"/>
    </i>
    <i>
      <x v="98"/>
    </i>
    <i>
      <x v="23"/>
    </i>
    <i>
      <x v="333"/>
    </i>
    <i>
      <x v="297"/>
    </i>
    <i>
      <x v="335"/>
    </i>
    <i>
      <x v="384"/>
    </i>
    <i>
      <x v="299"/>
    </i>
    <i>
      <x v="215"/>
    </i>
    <i>
      <x v="337"/>
    </i>
    <i>
      <x v="476"/>
    </i>
    <i>
      <x v="338"/>
    </i>
    <i>
      <x v="213"/>
    </i>
    <i>
      <x v="339"/>
    </i>
    <i>
      <x v="382"/>
    </i>
    <i>
      <x v="113"/>
    </i>
    <i>
      <x v="386"/>
    </i>
    <i>
      <x v="228"/>
    </i>
    <i>
      <x v="25"/>
    </i>
    <i>
      <x v="229"/>
    </i>
    <i>
      <x v="474"/>
    </i>
    <i>
      <x v="21"/>
    </i>
    <i>
      <x v="295"/>
    </i>
    <i>
      <x v="230"/>
    </i>
    <i>
      <x v="115"/>
    </i>
    <i>
      <x v="357"/>
    </i>
    <i>
      <x v="459"/>
    </i>
    <i>
      <x v="359"/>
    </i>
    <i>
      <x v="214"/>
    </i>
    <i>
      <x v="307"/>
    </i>
    <i>
      <x v="311"/>
    </i>
    <i>
      <x v="427"/>
    </i>
    <i>
      <x v="181"/>
    </i>
    <i>
      <x v="177"/>
    </i>
    <i>
      <x v="19"/>
    </i>
    <i>
      <x v="66"/>
    </i>
    <i>
      <x v="68"/>
    </i>
    <i>
      <x v="429"/>
    </i>
    <i>
      <x v="17"/>
    </i>
    <i>
      <x v="179"/>
    </i>
    <i>
      <x v="4"/>
    </i>
    <i>
      <x v="8"/>
    </i>
    <i>
      <x v="6"/>
    </i>
    <i>
      <x v="64"/>
    </i>
    <i>
      <x v="425"/>
    </i>
    <i>
      <x v="16"/>
    </i>
    <i>
      <x v="461"/>
    </i>
    <i>
      <x v="463"/>
    </i>
    <i>
      <x v="465"/>
    </i>
    <i>
      <x v="153"/>
    </i>
    <i>
      <x v="413"/>
    </i>
    <i>
      <x v="155"/>
    </i>
    <i>
      <x v="415"/>
    </i>
    <i>
      <x v="157"/>
    </i>
    <i>
      <x v="417"/>
    </i>
    <i>
      <x v="438"/>
    </i>
    <i>
      <x v="88"/>
    </i>
    <i>
      <x v="440"/>
    </i>
    <i>
      <x v="90"/>
    </i>
    <i>
      <x v="92"/>
    </i>
    <i>
      <x v="436"/>
    </i>
    <i>
      <x v="419"/>
    </i>
    <i>
      <x v="423"/>
    </i>
    <i>
      <x v="421"/>
    </i>
    <i>
      <x v="84"/>
    </i>
    <i>
      <x v="87"/>
    </i>
    <i>
      <x v="85"/>
    </i>
    <i>
      <x v="455"/>
    </i>
    <i>
      <x v="403"/>
    </i>
    <i>
      <x v="91"/>
    </i>
    <i>
      <x v="95"/>
    </i>
    <i>
      <x v="454"/>
    </i>
    <i>
      <x v="399"/>
    </i>
    <i>
      <x v="456"/>
    </i>
    <i>
      <x v="93"/>
    </i>
    <i>
      <x v="89"/>
    </i>
    <i>
      <x v="450"/>
    </i>
    <i>
      <x v="452"/>
    </i>
    <i>
      <x v="401"/>
    </i>
    <i>
      <x v="94"/>
    </i>
    <i>
      <x v="100"/>
    </i>
    <i>
      <x v="242"/>
    </i>
    <i>
      <x v="464"/>
    </i>
    <i>
      <x v="18"/>
    </i>
    <i>
      <x v="379"/>
    </i>
    <i>
      <x v="101"/>
    </i>
    <i>
      <x v="462"/>
    </i>
    <i>
      <x v="243"/>
    </i>
    <i>
      <x v="102"/>
    </i>
    <i>
      <x v="245"/>
    </i>
    <i>
      <x v="103"/>
    </i>
    <i>
      <x v="104"/>
    </i>
    <i>
      <x v="395"/>
    </i>
    <i>
      <x v="233"/>
    </i>
    <i>
      <x v="43"/>
    </i>
    <i>
      <x v="231"/>
    </i>
    <i>
      <x v="45"/>
    </i>
    <i>
      <x v="244"/>
    </i>
    <i>
      <x v="218"/>
    </i>
    <i>
      <x v="393"/>
    </i>
    <i>
      <x v="237"/>
    </i>
    <i>
      <x v="217"/>
    </i>
    <i>
      <x v="47"/>
    </i>
    <i>
      <x v="236"/>
    </i>
    <i>
      <x v="216"/>
    </i>
    <i>
      <x v="397"/>
    </i>
    <i>
      <x v="238"/>
    </i>
    <i>
      <x v="183"/>
    </i>
    <i>
      <x v="131"/>
    </i>
    <i>
      <x v="129"/>
    </i>
    <i>
      <x v="377"/>
    </i>
    <i>
      <x v="133"/>
    </i>
    <i>
      <x v="378"/>
    </i>
    <i>
      <x v="187"/>
    </i>
    <i>
      <x v="380"/>
    </i>
    <i>
      <x v="185"/>
    </i>
    <i>
      <x v="451"/>
    </i>
    <i>
      <x v="449"/>
    </i>
    <i>
      <x v="453"/>
    </i>
    <i>
      <x v="371"/>
    </i>
    <i>
      <x v="373"/>
    </i>
    <i>
      <x v="375"/>
    </i>
    <i>
      <x v="24"/>
    </i>
    <i>
      <x v="22"/>
    </i>
    <i>
      <x v="20"/>
    </i>
    <i>
      <x v="51"/>
    </i>
    <i>
      <x v="50"/>
    </i>
    <i>
      <x v="49"/>
    </i>
    <i>
      <x v="447"/>
    </i>
    <i>
      <x v="86"/>
    </i>
    <i>
      <x v="121"/>
    </i>
    <i>
      <x v="445"/>
    </i>
    <i>
      <x v="173"/>
    </i>
    <i>
      <x v="353"/>
    </i>
    <i>
      <x v="110"/>
    </i>
    <i>
      <x v="471"/>
    </i>
    <i>
      <x v="10"/>
    </i>
    <i>
      <x v="457"/>
    </i>
    <i>
      <x v="352"/>
    </i>
    <i>
      <x v="460"/>
    </i>
    <i>
      <x v="211"/>
    </i>
    <i>
      <x v="251"/>
    </i>
    <i>
      <x v="446"/>
    </i>
    <i>
      <x v="253"/>
    </i>
    <i>
      <x v="448"/>
    </i>
    <i>
      <x v="355"/>
    </i>
    <i>
      <x v="171"/>
    </i>
    <i>
      <x v="255"/>
    </i>
    <i>
      <x v="207"/>
    </i>
    <i>
      <x v="257"/>
    </i>
    <i>
      <x v="175"/>
    </i>
    <i>
      <x v="117"/>
    </i>
    <i>
      <x v="458"/>
    </i>
    <i>
      <x v="14"/>
    </i>
    <i>
      <x v="209"/>
    </i>
    <i>
      <x v="119"/>
    </i>
    <i>
      <x v="12"/>
    </i>
    <i>
      <x v="249"/>
    </i>
    <i>
      <x v="247"/>
    </i>
    <i>
      <x v="325"/>
    </i>
    <i>
      <x v="324"/>
    </i>
    <i>
      <x v="326"/>
    </i>
    <i>
      <x v="52"/>
    </i>
    <i>
      <x v="54"/>
    </i>
    <i>
      <x v="56"/>
    </i>
    <i>
      <x v="470"/>
    </i>
    <i>
      <x v="472"/>
    </i>
    <i>
      <x v="469"/>
    </i>
    <i>
      <x v="350"/>
    </i>
    <i>
      <x v="351"/>
    </i>
    <i>
      <x v="349"/>
    </i>
    <i>
      <x v="26"/>
    </i>
    <i>
      <x v="28"/>
    </i>
    <i>
      <x v="30"/>
    </i>
    <i>
      <x v="430"/>
    </i>
    <i>
      <x v="434"/>
    </i>
    <i>
      <x v="432"/>
    </i>
    <i>
      <x v="81"/>
    </i>
    <i>
      <x v="82"/>
    </i>
    <i>
      <x v="83"/>
    </i>
    <i>
      <x v="96"/>
    </i>
    <i>
      <x v="97"/>
    </i>
    <i>
      <x v="99"/>
    </i>
    <i>
      <x v="329"/>
    </i>
    <i>
      <x v="385"/>
    </i>
    <i>
      <x v="383"/>
    </i>
    <i>
      <x v="331"/>
    </i>
    <i>
      <x v="327"/>
    </i>
    <i>
      <x v="240"/>
    </i>
    <i>
      <x v="381"/>
    </i>
    <i>
      <x v="241"/>
    </i>
    <i>
      <x v="239"/>
    </i>
    <i>
      <x v="473"/>
    </i>
    <i>
      <x v="477"/>
    </i>
    <i>
      <x v="475"/>
    </i>
    <i>
      <x v="109"/>
    </i>
    <i>
      <x v="111"/>
    </i>
    <i>
      <x v="108"/>
    </i>
    <i>
      <x v="193"/>
    </i>
    <i>
      <x v="161"/>
    </i>
    <i>
      <x v="191"/>
    </i>
    <i>
      <x v="163"/>
    </i>
    <i>
      <x v="189"/>
    </i>
    <i>
      <x v="159"/>
    </i>
    <i>
      <x v="69"/>
    </i>
    <i>
      <x v="73"/>
    </i>
    <i>
      <x v="71"/>
    </i>
    <i>
      <x v="268"/>
    </i>
    <i>
      <x v="270"/>
    </i>
    <i>
      <x v="272"/>
    </i>
    <i>
      <x v="79"/>
    </i>
    <i>
      <x v="77"/>
    </i>
    <i>
      <x v="75"/>
    </i>
    <i>
      <x v="195"/>
    </i>
    <i>
      <x v="199"/>
    </i>
    <i>
      <x v="197"/>
    </i>
    <i>
      <x v="411"/>
    </i>
    <i>
      <x v="412"/>
    </i>
    <i>
      <x v="410"/>
    </i>
    <i>
      <x v="182"/>
    </i>
    <i>
      <x v="178"/>
    </i>
    <i>
      <x v="180"/>
    </i>
    <i>
      <x v="406"/>
    </i>
    <i>
      <x v="404"/>
    </i>
    <i>
      <x v="408"/>
    </i>
    <i>
      <x v="188"/>
    </i>
    <i>
      <x v="206"/>
    </i>
    <i>
      <x v="152"/>
    </i>
    <i>
      <x v="148"/>
    </i>
    <i>
      <x v="198"/>
    </i>
    <i>
      <x v="158"/>
    </i>
    <i>
      <x v="150"/>
    </i>
    <i>
      <x v="210"/>
    </i>
    <i>
      <x v="204"/>
    </i>
    <i>
      <x v="196"/>
    </i>
    <i>
      <x v="172"/>
    </i>
    <i>
      <x v="136"/>
    </i>
    <i>
      <x v="124"/>
    </i>
    <i>
      <x v="160"/>
    </i>
    <i>
      <x v="234"/>
    </i>
    <i>
      <x v="208"/>
    </i>
    <i>
      <x v="132"/>
    </i>
    <i>
      <x v="130"/>
    </i>
    <i>
      <x v="184"/>
    </i>
    <i>
      <x v="162"/>
    </i>
    <i>
      <x v="128"/>
    </i>
    <i>
      <x v="194"/>
    </i>
    <i>
      <x v="156"/>
    </i>
    <i>
      <x v="164"/>
    </i>
    <i>
      <x v="122"/>
    </i>
    <i>
      <x v="138"/>
    </i>
    <i>
      <x v="174"/>
    </i>
    <i>
      <x v="166"/>
    </i>
    <i>
      <x v="232"/>
    </i>
    <i>
      <x v="220"/>
    </i>
    <i>
      <x v="176"/>
    </i>
    <i>
      <x v="186"/>
    </i>
    <i>
      <x v="146"/>
    </i>
    <i>
      <x v="144"/>
    </i>
    <i>
      <x v="235"/>
    </i>
    <i>
      <x v="170"/>
    </i>
    <i>
      <x v="212"/>
    </i>
    <i>
      <x v="222"/>
    </i>
    <i>
      <x v="126"/>
    </i>
    <i>
      <x v="200"/>
    </i>
    <i>
      <x v="192"/>
    </i>
    <i>
      <x v="224"/>
    </i>
    <i>
      <x v="142"/>
    </i>
    <i>
      <x v="118"/>
    </i>
    <i>
      <x v="154"/>
    </i>
    <i>
      <x v="140"/>
    </i>
    <i>
      <x v="134"/>
    </i>
    <i>
      <x v="120"/>
    </i>
    <i>
      <x v="202"/>
    </i>
    <i>
      <x v="168"/>
    </i>
    <i>
      <x v="190"/>
    </i>
    <i t="grand">
      <x/>
    </i>
  </rowItems>
  <colItems count="1">
    <i/>
  </colItems>
  <pageFields count="1">
    <pageField fld="2" hier="-1"/>
  </pageFields>
  <dataFields count="1">
    <dataField name="Máx. de f1_score" fld="1" subtotal="max" baseField="0" baseItem="0" numFmtId="10"/>
  </dataFields>
  <formats count="5"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collapsedLevelsAreSubtotals="1" fieldPosition="0">
        <references count="1">
          <reference field="0" count="30">
            <x v="32"/>
            <x v="34"/>
            <x v="36"/>
            <x v="260"/>
            <x v="262"/>
            <x v="263"/>
            <x v="264"/>
            <x v="266"/>
            <x v="274"/>
            <x v="275"/>
            <x v="276"/>
            <x v="277"/>
            <x v="278"/>
            <x v="279"/>
            <x v="281"/>
            <x v="283"/>
            <x v="291"/>
            <x v="292"/>
            <x v="293"/>
            <x v="318"/>
            <x v="322"/>
            <x v="344"/>
            <x v="346"/>
            <x v="348"/>
            <x v="387"/>
            <x v="389"/>
            <x v="391"/>
            <x v="398"/>
            <x v="400"/>
            <x v="402"/>
          </reference>
        </references>
      </pivotArea>
    </format>
    <format dxfId="24">
      <pivotArea dataOnly="0" labelOnly="1" fieldPosition="0">
        <references count="1">
          <reference field="0" count="30">
            <x v="32"/>
            <x v="34"/>
            <x v="36"/>
            <x v="260"/>
            <x v="262"/>
            <x v="263"/>
            <x v="264"/>
            <x v="266"/>
            <x v="274"/>
            <x v="275"/>
            <x v="276"/>
            <x v="277"/>
            <x v="278"/>
            <x v="279"/>
            <x v="281"/>
            <x v="283"/>
            <x v="291"/>
            <x v="292"/>
            <x v="293"/>
            <x v="318"/>
            <x v="322"/>
            <x v="344"/>
            <x v="346"/>
            <x v="348"/>
            <x v="387"/>
            <x v="389"/>
            <x v="391"/>
            <x v="398"/>
            <x v="400"/>
            <x v="402"/>
          </reference>
        </references>
      </pivotArea>
    </format>
    <format dxfId="1">
      <pivotArea collapsedLevelsAreSubtotals="1" fieldPosition="0">
        <references count="1">
          <reference field="0" count="3">
            <x v="387"/>
            <x v="389"/>
            <x v="391"/>
          </reference>
        </references>
      </pivotArea>
    </format>
    <format dxfId="0">
      <pivotArea dataOnly="0" labelOnly="1" fieldPosition="0">
        <references count="1">
          <reference field="0" count="3">
            <x v="387"/>
            <x v="389"/>
            <x v="39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a_f1_scores_para_excel" connectionId="3" xr16:uid="{DD9EB928-1CEC-4846-8A96-A732C64E8A3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configs" connectionId="1" xr16:uid="{ED0109B1-6506-AB43-A78F-DB7032A4124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configs_3" connectionId="2" xr16:uid="{EE59C5F3-26CD-2846-BC78-22CF1EB6598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D320-CF42-5947-A2DE-0536E01CD604}">
  <dimension ref="A1:AB44"/>
  <sheetViews>
    <sheetView tabSelected="1" workbookViewId="0">
      <selection activeCell="B16" sqref="B16"/>
    </sheetView>
  </sheetViews>
  <sheetFormatPr baseColWidth="10" defaultRowHeight="16" x14ac:dyDescent="0.2"/>
  <cols>
    <col min="2" max="2" width="21.6640625" bestFit="1" customWidth="1"/>
    <col min="3" max="3" width="22.5" bestFit="1" customWidth="1"/>
    <col min="4" max="4" width="34.33203125" bestFit="1" customWidth="1"/>
    <col min="5" max="5" width="7.1640625" bestFit="1" customWidth="1"/>
    <col min="6" max="6" width="12.6640625" bestFit="1" customWidth="1"/>
    <col min="7" max="26" width="7.6640625" customWidth="1"/>
  </cols>
  <sheetData>
    <row r="1" spans="1:28" ht="24" x14ac:dyDescent="0.3">
      <c r="B1" s="29" t="s">
        <v>55</v>
      </c>
    </row>
    <row r="2" spans="1:28" ht="17" thickBot="1" x14ac:dyDescent="0.25">
      <c r="B2" t="s">
        <v>50</v>
      </c>
    </row>
    <row r="3" spans="1:28" ht="17" thickBot="1" x14ac:dyDescent="0.25">
      <c r="B3" t="s">
        <v>54</v>
      </c>
      <c r="G3" s="36" t="s">
        <v>57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8"/>
    </row>
    <row r="4" spans="1:28" ht="17" thickBot="1" x14ac:dyDescent="0.25">
      <c r="G4" s="33" t="s">
        <v>25</v>
      </c>
      <c r="H4" s="34"/>
      <c r="I4" s="34"/>
      <c r="J4" s="34"/>
      <c r="K4" s="34"/>
      <c r="L4" s="34"/>
      <c r="M4" s="34"/>
      <c r="N4" s="34"/>
      <c r="O4" s="34"/>
      <c r="P4" s="35"/>
      <c r="Q4" s="33" t="s">
        <v>49</v>
      </c>
      <c r="R4" s="34"/>
      <c r="S4" s="34"/>
      <c r="T4" s="34"/>
      <c r="U4" s="34"/>
      <c r="V4" s="34"/>
      <c r="W4" s="34"/>
      <c r="X4" s="34"/>
      <c r="Y4" s="34"/>
      <c r="Z4" s="35"/>
    </row>
    <row r="5" spans="1:28" ht="17" thickBot="1" x14ac:dyDescent="0.25">
      <c r="A5" s="22" t="s">
        <v>56</v>
      </c>
      <c r="B5" s="18" t="s">
        <v>0</v>
      </c>
      <c r="C5" s="7" t="s">
        <v>48</v>
      </c>
      <c r="D5" s="19" t="s">
        <v>51</v>
      </c>
      <c r="E5" s="27" t="s">
        <v>23</v>
      </c>
      <c r="F5" s="28" t="s">
        <v>24</v>
      </c>
      <c r="G5" s="8" t="s">
        <v>1</v>
      </c>
      <c r="H5" s="9" t="s">
        <v>2</v>
      </c>
      <c r="I5" s="9" t="s">
        <v>3</v>
      </c>
      <c r="J5" s="9" t="s">
        <v>4</v>
      </c>
      <c r="K5" s="9" t="s">
        <v>5</v>
      </c>
      <c r="L5" s="9" t="s">
        <v>6</v>
      </c>
      <c r="M5" s="9" t="s">
        <v>7</v>
      </c>
      <c r="N5" s="9" t="s">
        <v>8</v>
      </c>
      <c r="O5" s="9" t="s">
        <v>9</v>
      </c>
      <c r="P5" s="10" t="s">
        <v>10</v>
      </c>
      <c r="Q5" s="8" t="s">
        <v>1</v>
      </c>
      <c r="R5" s="9" t="s">
        <v>2</v>
      </c>
      <c r="S5" s="9" t="s">
        <v>3</v>
      </c>
      <c r="T5" s="9" t="s">
        <v>4</v>
      </c>
      <c r="U5" s="9" t="s">
        <v>5</v>
      </c>
      <c r="V5" s="9" t="s">
        <v>6</v>
      </c>
      <c r="W5" s="9" t="s">
        <v>7</v>
      </c>
      <c r="X5" s="9" t="s">
        <v>8</v>
      </c>
      <c r="Y5" s="9" t="s">
        <v>9</v>
      </c>
      <c r="Z5" s="10" t="s">
        <v>10</v>
      </c>
    </row>
    <row r="6" spans="1:28" x14ac:dyDescent="0.2">
      <c r="A6" s="22">
        <v>1</v>
      </c>
      <c r="B6" s="11" t="s">
        <v>18</v>
      </c>
      <c r="C6" s="15" t="s">
        <v>31</v>
      </c>
      <c r="D6" s="20" t="s">
        <v>36</v>
      </c>
      <c r="E6" s="23">
        <f t="shared" ref="E6:E17" si="0">AVERAGE(G6:Z6)</f>
        <v>0.75214080273985928</v>
      </c>
      <c r="F6" s="24">
        <f t="shared" ref="F6:F17" si="1">_xlfn.STDEV.S(G6:Z6)</f>
        <v>2.0339823565443751E-2</v>
      </c>
      <c r="G6" s="1">
        <v>0.76066761139977901</v>
      </c>
      <c r="H6" s="2">
        <v>0.74937343358395903</v>
      </c>
      <c r="I6" s="2">
        <v>0.72222222222222199</v>
      </c>
      <c r="J6" s="2">
        <v>0.73713033953997797</v>
      </c>
      <c r="K6" s="2">
        <v>0.78477607216331702</v>
      </c>
      <c r="L6" s="2">
        <v>0.72499999999999998</v>
      </c>
      <c r="M6" s="2">
        <v>0.77142857142857102</v>
      </c>
      <c r="N6" s="2">
        <v>0.71209513378188005</v>
      </c>
      <c r="O6" s="2">
        <v>0.73413514796644996</v>
      </c>
      <c r="P6" s="3">
        <v>0.73547472838923</v>
      </c>
      <c r="Q6" s="1">
        <v>0.74555114373680298</v>
      </c>
      <c r="R6" s="2">
        <v>0.75301319883009299</v>
      </c>
      <c r="S6" s="2">
        <v>0.75840360232735105</v>
      </c>
      <c r="T6" s="32">
        <v>0.78818371028133505</v>
      </c>
      <c r="U6" s="2">
        <v>0.76308963371300997</v>
      </c>
      <c r="V6" s="2">
        <v>0.77365976083283605</v>
      </c>
      <c r="W6" s="2">
        <v>0.76057219181573799</v>
      </c>
      <c r="X6" s="2">
        <v>0.76238088269638105</v>
      </c>
      <c r="Y6" s="2">
        <v>0.74452259594734305</v>
      </c>
      <c r="Z6" s="3">
        <v>0.761136074140913</v>
      </c>
      <c r="AB6" s="31"/>
    </row>
    <row r="7" spans="1:28" x14ac:dyDescent="0.2">
      <c r="A7" s="22">
        <f t="shared" ref="A7:A17" si="2">A6+1</f>
        <v>2</v>
      </c>
      <c r="B7" s="11" t="s">
        <v>21</v>
      </c>
      <c r="C7" s="16" t="s">
        <v>34</v>
      </c>
      <c r="D7" s="20" t="s">
        <v>37</v>
      </c>
      <c r="E7" s="23">
        <f t="shared" si="0"/>
        <v>0.72571687952600761</v>
      </c>
      <c r="F7" s="24">
        <f t="shared" si="1"/>
        <v>2.6901647747562717E-2</v>
      </c>
      <c r="G7" s="1">
        <v>0.69309462915600994</v>
      </c>
      <c r="H7" s="2">
        <v>0.68627450980392102</v>
      </c>
      <c r="I7" s="2">
        <v>0.71354166666666596</v>
      </c>
      <c r="J7" s="2">
        <v>0.68508896236813099</v>
      </c>
      <c r="K7" s="2">
        <v>0.71354166666666596</v>
      </c>
      <c r="L7" s="2">
        <v>0.73413514796644996</v>
      </c>
      <c r="M7" s="2">
        <v>0.71631205673758802</v>
      </c>
      <c r="N7" s="2">
        <v>0.70470229497672898</v>
      </c>
      <c r="O7" s="2">
        <v>0.684002633311389</v>
      </c>
      <c r="P7" s="3">
        <v>0.71354166666666596</v>
      </c>
      <c r="Q7" s="1">
        <v>0.74345212664326898</v>
      </c>
      <c r="R7" s="2">
        <v>0.72648747807478697</v>
      </c>
      <c r="S7" s="2">
        <v>0.73242175559093003</v>
      </c>
      <c r="T7" s="2">
        <v>0.75639466046006099</v>
      </c>
      <c r="U7" s="2">
        <v>0.73038584733937295</v>
      </c>
      <c r="V7" s="2">
        <v>0.77334227232675801</v>
      </c>
      <c r="W7" s="2">
        <v>0.75167692862841695</v>
      </c>
      <c r="X7" s="2">
        <v>0.75570652572000296</v>
      </c>
      <c r="Y7" s="2">
        <v>0.73710287236568395</v>
      </c>
      <c r="Z7" s="3">
        <v>0.76313188905065699</v>
      </c>
    </row>
    <row r="8" spans="1:28" x14ac:dyDescent="0.2">
      <c r="A8" s="22">
        <f t="shared" si="2"/>
        <v>3</v>
      </c>
      <c r="B8" s="11" t="s">
        <v>14</v>
      </c>
      <c r="C8" s="16" t="s">
        <v>27</v>
      </c>
      <c r="D8" s="20" t="s">
        <v>38</v>
      </c>
      <c r="E8" s="23">
        <f t="shared" si="0"/>
        <v>0.72016726193676051</v>
      </c>
      <c r="F8" s="24">
        <f t="shared" si="1"/>
        <v>2.5322303443961452E-2</v>
      </c>
      <c r="G8" s="1">
        <v>0.67902423367035802</v>
      </c>
      <c r="H8" s="2">
        <v>0.68705992802378302</v>
      </c>
      <c r="I8" s="2">
        <v>0.67272132220585801</v>
      </c>
      <c r="J8" s="2">
        <v>0.72222222222222199</v>
      </c>
      <c r="K8" s="2">
        <v>0.69890361642938903</v>
      </c>
      <c r="L8" s="2">
        <v>0.71631205673758802</v>
      </c>
      <c r="M8" s="2">
        <v>0.71033574720210602</v>
      </c>
      <c r="N8" s="2">
        <v>0.70202429149797496</v>
      </c>
      <c r="O8" s="2">
        <v>0.69531379367444901</v>
      </c>
      <c r="P8" s="3">
        <v>0.71631205673758802</v>
      </c>
      <c r="Q8" s="1">
        <v>0.72047956053325002</v>
      </c>
      <c r="R8" s="2">
        <v>0.726020906016139</v>
      </c>
      <c r="S8" s="2">
        <v>0.72892670765774403</v>
      </c>
      <c r="T8" s="2">
        <v>0.74058452577492195</v>
      </c>
      <c r="U8" s="2">
        <v>0.74205316700620805</v>
      </c>
      <c r="V8" s="2">
        <v>0.757473643656981</v>
      </c>
      <c r="W8" s="2">
        <v>0.74554963107552896</v>
      </c>
      <c r="X8" s="2">
        <v>0.75930272115120201</v>
      </c>
      <c r="Y8" s="2">
        <v>0.73297968418037196</v>
      </c>
      <c r="Z8" s="3">
        <v>0.74974542328154803</v>
      </c>
    </row>
    <row r="9" spans="1:28" x14ac:dyDescent="0.2">
      <c r="A9" s="22">
        <f t="shared" si="2"/>
        <v>4</v>
      </c>
      <c r="B9" s="11" t="s">
        <v>19</v>
      </c>
      <c r="C9" s="16" t="s">
        <v>32</v>
      </c>
      <c r="D9" s="20" t="s">
        <v>39</v>
      </c>
      <c r="E9" s="23">
        <f t="shared" si="0"/>
        <v>0.71934523646841264</v>
      </c>
      <c r="F9" s="24">
        <f t="shared" si="1"/>
        <v>4.2608311125687019E-2</v>
      </c>
      <c r="G9" s="1">
        <v>0.72482801751094394</v>
      </c>
      <c r="H9" s="2">
        <v>0.74858579509742296</v>
      </c>
      <c r="I9" s="2">
        <v>0.74858579509742296</v>
      </c>
      <c r="J9" s="2">
        <v>0.72482801751094394</v>
      </c>
      <c r="K9" s="2">
        <v>0.72344437460716504</v>
      </c>
      <c r="L9" s="2">
        <v>0.68745116424441299</v>
      </c>
      <c r="M9" s="2">
        <v>0.65817376167115005</v>
      </c>
      <c r="N9" s="2">
        <v>0.64912280701754299</v>
      </c>
      <c r="O9" s="2">
        <v>0.60503264851090899</v>
      </c>
      <c r="P9" s="3">
        <v>0.68745116424441299</v>
      </c>
      <c r="Q9" s="1">
        <v>0.71578450870083499</v>
      </c>
      <c r="R9" s="2">
        <v>0.71357529513766704</v>
      </c>
      <c r="S9" s="2">
        <v>0.74356682957583897</v>
      </c>
      <c r="T9" s="2">
        <v>0.76930317051260599</v>
      </c>
      <c r="U9" s="2">
        <v>0.73751584751536303</v>
      </c>
      <c r="V9" s="2">
        <v>0.76230085621011601</v>
      </c>
      <c r="W9" s="2">
        <v>0.73459523222822998</v>
      </c>
      <c r="X9" s="2">
        <v>0.75787951309577894</v>
      </c>
      <c r="Y9" s="2">
        <v>0.73455409771372604</v>
      </c>
      <c r="Z9" s="3">
        <v>0.76032583316576496</v>
      </c>
    </row>
    <row r="10" spans="1:28" x14ac:dyDescent="0.2">
      <c r="A10" s="22">
        <f t="shared" si="2"/>
        <v>5</v>
      </c>
      <c r="B10" s="11" t="s">
        <v>20</v>
      </c>
      <c r="C10" s="16" t="s">
        <v>33</v>
      </c>
      <c r="D10" s="20" t="s">
        <v>40</v>
      </c>
      <c r="E10" s="23">
        <f t="shared" si="0"/>
        <v>0.71425882713403499</v>
      </c>
      <c r="F10" s="24">
        <f t="shared" si="1"/>
        <v>2.7823520756101214E-2</v>
      </c>
      <c r="G10" s="1">
        <v>0.68147794234750703</v>
      </c>
      <c r="H10" s="2">
        <v>0.68745116424441299</v>
      </c>
      <c r="I10" s="2">
        <v>0.71354166666666596</v>
      </c>
      <c r="J10" s="2">
        <v>0.76066761139977901</v>
      </c>
      <c r="K10" s="2">
        <v>0.67999999999999905</v>
      </c>
      <c r="L10" s="2">
        <v>0.75605841758947201</v>
      </c>
      <c r="M10" s="2">
        <v>0.66881934095048801</v>
      </c>
      <c r="N10" s="2">
        <v>0.74424552429667501</v>
      </c>
      <c r="O10" s="2">
        <v>0.684002633311389</v>
      </c>
      <c r="P10" s="3">
        <v>0.70202429149797496</v>
      </c>
      <c r="Q10" s="1">
        <v>0.69138351080503602</v>
      </c>
      <c r="R10" s="2">
        <v>0.70938207923305896</v>
      </c>
      <c r="S10" s="2">
        <v>0.70796480818609897</v>
      </c>
      <c r="T10" s="2">
        <v>0.73038179197688202</v>
      </c>
      <c r="U10" s="2">
        <v>0.71195792879813902</v>
      </c>
      <c r="V10" s="2">
        <v>0.74752959083878601</v>
      </c>
      <c r="W10" s="2">
        <v>0.71431191703117003</v>
      </c>
      <c r="X10" s="2">
        <v>0.75197144075552202</v>
      </c>
      <c r="Y10" s="2">
        <v>0.70797773352273596</v>
      </c>
      <c r="Z10" s="3">
        <v>0.73402714922890899</v>
      </c>
    </row>
    <row r="11" spans="1:28" x14ac:dyDescent="0.2">
      <c r="A11" s="22">
        <f t="shared" si="2"/>
        <v>6</v>
      </c>
      <c r="B11" s="11" t="s">
        <v>11</v>
      </c>
      <c r="C11" s="16" t="s">
        <v>26</v>
      </c>
      <c r="D11" s="20" t="s">
        <v>41</v>
      </c>
      <c r="E11" s="23">
        <f t="shared" si="0"/>
        <v>0.70440188110219437</v>
      </c>
      <c r="F11" s="24">
        <f t="shared" si="1"/>
        <v>2.2513097292199576E-2</v>
      </c>
      <c r="G11" s="1">
        <v>0.69696969696969702</v>
      </c>
      <c r="H11" s="2">
        <v>0.69981238273921198</v>
      </c>
      <c r="I11" s="2">
        <v>0.71867007672634198</v>
      </c>
      <c r="J11" s="2">
        <v>0.7</v>
      </c>
      <c r="K11" s="2">
        <v>0.72793522267206401</v>
      </c>
      <c r="L11" s="2">
        <v>0.72344437460716504</v>
      </c>
      <c r="M11" s="2">
        <v>0.70202429149797496</v>
      </c>
      <c r="N11" s="2">
        <v>0.69830295411690702</v>
      </c>
      <c r="O11" s="2">
        <v>0.65333333333333299</v>
      </c>
      <c r="P11" s="3">
        <v>0.74424552429667501</v>
      </c>
      <c r="Q11" s="1">
        <v>0.71834007882068396</v>
      </c>
      <c r="R11" s="2">
        <v>0.70877849307251495</v>
      </c>
      <c r="S11" s="2">
        <v>0.69224805238036802</v>
      </c>
      <c r="T11" s="2">
        <v>0.72818315186346805</v>
      </c>
      <c r="U11" s="2">
        <v>0.69396226396754801</v>
      </c>
      <c r="V11" s="2">
        <v>0.72716523872538397</v>
      </c>
      <c r="W11" s="2">
        <v>0.67449799024188595</v>
      </c>
      <c r="X11" s="2">
        <v>0.71118320145427005</v>
      </c>
      <c r="Y11" s="2">
        <v>0.663407529163763</v>
      </c>
      <c r="Z11" s="3">
        <v>0.70553376539463297</v>
      </c>
    </row>
    <row r="12" spans="1:28" x14ac:dyDescent="0.2">
      <c r="A12" s="22">
        <f t="shared" si="2"/>
        <v>7</v>
      </c>
      <c r="B12" s="11" t="s">
        <v>12</v>
      </c>
      <c r="C12" s="16" t="s">
        <v>27</v>
      </c>
      <c r="D12" s="20" t="s">
        <v>42</v>
      </c>
      <c r="E12" s="23">
        <f t="shared" si="0"/>
        <v>0.69309193070250585</v>
      </c>
      <c r="F12" s="24">
        <f t="shared" si="1"/>
        <v>4.8441797300561064E-2</v>
      </c>
      <c r="G12" s="1">
        <v>0.68508896236813099</v>
      </c>
      <c r="H12" s="2">
        <v>0.674185463659147</v>
      </c>
      <c r="I12" s="2">
        <v>0.627668111057615</v>
      </c>
      <c r="J12" s="2">
        <v>0.68705992802378302</v>
      </c>
      <c r="K12" s="2">
        <v>0.56799214531173203</v>
      </c>
      <c r="L12" s="2">
        <v>0.69696969696969702</v>
      </c>
      <c r="M12" s="2">
        <v>0.60500329163923605</v>
      </c>
      <c r="N12" s="2">
        <v>0.70881468586801699</v>
      </c>
      <c r="O12" s="2">
        <v>0.67272132220585801</v>
      </c>
      <c r="P12" s="3">
        <v>0.68147794234750703</v>
      </c>
      <c r="Q12" s="1">
        <v>0.69590178866210295</v>
      </c>
      <c r="R12" s="2">
        <v>0.70142920290136401</v>
      </c>
      <c r="S12" s="2">
        <v>0.70052463356089201</v>
      </c>
      <c r="T12" s="2">
        <v>0.74156901363271999</v>
      </c>
      <c r="U12" s="2">
        <v>0.71190353906082704</v>
      </c>
      <c r="V12" s="2">
        <v>0.75604662369483899</v>
      </c>
      <c r="W12" s="2">
        <v>0.716455676563448</v>
      </c>
      <c r="X12" s="2">
        <v>0.75652354453312498</v>
      </c>
      <c r="Y12" s="2">
        <v>0.72390406262219298</v>
      </c>
      <c r="Z12" s="3">
        <v>0.750598979367882</v>
      </c>
    </row>
    <row r="13" spans="1:28" x14ac:dyDescent="0.2">
      <c r="A13" s="22">
        <f t="shared" si="2"/>
        <v>8</v>
      </c>
      <c r="B13" s="11" t="s">
        <v>22</v>
      </c>
      <c r="C13" s="16" t="s">
        <v>35</v>
      </c>
      <c r="D13" s="20" t="s">
        <v>43</v>
      </c>
      <c r="E13" s="23">
        <f t="shared" si="0"/>
        <v>0.67367085153270934</v>
      </c>
      <c r="F13" s="24">
        <f t="shared" si="1"/>
        <v>3.7790027538835258E-2</v>
      </c>
      <c r="G13" s="1">
        <v>0.58743553680262495</v>
      </c>
      <c r="H13" s="2">
        <v>0.60199004975124304</v>
      </c>
      <c r="I13" s="2">
        <v>0.64912280701754299</v>
      </c>
      <c r="J13" s="2">
        <v>0.64912280701754299</v>
      </c>
      <c r="K13" s="2">
        <v>0.66244725738396604</v>
      </c>
      <c r="L13" s="2">
        <v>0.65989607935758099</v>
      </c>
      <c r="M13" s="2">
        <v>0.67500000000000004</v>
      </c>
      <c r="N13" s="2">
        <v>0.68508896236813099</v>
      </c>
      <c r="O13" s="2">
        <v>0.68705992802378302</v>
      </c>
      <c r="P13" s="3">
        <v>0.65989607935758099</v>
      </c>
      <c r="Q13" s="1">
        <v>0.66348406588793496</v>
      </c>
      <c r="R13" s="2">
        <v>0.63603670736306095</v>
      </c>
      <c r="S13" s="2">
        <v>0.68972774274600002</v>
      </c>
      <c r="T13" s="2">
        <v>0.67767597705792404</v>
      </c>
      <c r="U13" s="2">
        <v>0.70001409811767901</v>
      </c>
      <c r="V13" s="2">
        <v>0.70397268389223899</v>
      </c>
      <c r="W13" s="2">
        <v>0.72419582612491995</v>
      </c>
      <c r="X13" s="2">
        <v>0.71671649977750296</v>
      </c>
      <c r="Y13" s="2">
        <v>0.72129329452039903</v>
      </c>
      <c r="Z13" s="3">
        <v>0.723240628086532</v>
      </c>
    </row>
    <row r="14" spans="1:28" x14ac:dyDescent="0.2">
      <c r="A14" s="22">
        <f t="shared" si="2"/>
        <v>9</v>
      </c>
      <c r="B14" s="11" t="s">
        <v>15</v>
      </c>
      <c r="C14" s="16" t="s">
        <v>29</v>
      </c>
      <c r="D14" s="20" t="s">
        <v>44</v>
      </c>
      <c r="E14" s="23">
        <f t="shared" si="0"/>
        <v>0.66940782583503888</v>
      </c>
      <c r="F14" s="24">
        <f t="shared" si="1"/>
        <v>2.5862236663911801E-2</v>
      </c>
      <c r="G14" s="1">
        <v>0.63744335052351897</v>
      </c>
      <c r="H14" s="2">
        <v>0.65020242914979698</v>
      </c>
      <c r="I14" s="2">
        <v>0.66244725738396604</v>
      </c>
      <c r="J14" s="2">
        <v>0.66751918158567702</v>
      </c>
      <c r="K14" s="2">
        <v>0.63744335052351897</v>
      </c>
      <c r="L14" s="2">
        <v>0.66984126984126902</v>
      </c>
      <c r="M14" s="2">
        <v>0.63744335052351897</v>
      </c>
      <c r="N14" s="2">
        <v>0.63607843137254805</v>
      </c>
      <c r="O14" s="2">
        <v>0.63744335052351897</v>
      </c>
      <c r="P14" s="3">
        <v>0.66117647058823503</v>
      </c>
      <c r="Q14" s="1">
        <v>0.67145306881879396</v>
      </c>
      <c r="R14" s="2">
        <v>0.64801472129728799</v>
      </c>
      <c r="S14" s="2">
        <v>0.68959890021140902</v>
      </c>
      <c r="T14" s="2">
        <v>0.67897162431271396</v>
      </c>
      <c r="U14" s="2">
        <v>0.697252031187229</v>
      </c>
      <c r="V14" s="2">
        <v>0.69437113696521302</v>
      </c>
      <c r="W14" s="2">
        <v>0.69879934024135704</v>
      </c>
      <c r="X14" s="2">
        <v>0.69381472968409896</v>
      </c>
      <c r="Y14" s="2">
        <v>0.70891336243104497</v>
      </c>
      <c r="Z14" s="3">
        <v>0.70992915953606095</v>
      </c>
    </row>
    <row r="15" spans="1:28" x14ac:dyDescent="0.2">
      <c r="A15" s="22">
        <f t="shared" si="2"/>
        <v>10</v>
      </c>
      <c r="B15" s="11" t="s">
        <v>13</v>
      </c>
      <c r="C15" s="16" t="s">
        <v>28</v>
      </c>
      <c r="D15" s="20" t="s">
        <v>45</v>
      </c>
      <c r="E15" s="23">
        <f t="shared" si="0"/>
        <v>0.66802945156176929</v>
      </c>
      <c r="F15" s="24">
        <f t="shared" si="1"/>
        <v>4.499541219662135E-2</v>
      </c>
      <c r="G15" s="1">
        <v>0.61636828644501196</v>
      </c>
      <c r="H15" s="2">
        <v>0.62287869264613405</v>
      </c>
      <c r="I15" s="2">
        <v>0.615830435502566</v>
      </c>
      <c r="J15" s="2">
        <v>0.68147794234750703</v>
      </c>
      <c r="K15" s="2">
        <v>0.69890361642938903</v>
      </c>
      <c r="L15" s="2">
        <v>0.73244147157190598</v>
      </c>
      <c r="M15" s="2">
        <v>0.71033574720210602</v>
      </c>
      <c r="N15" s="2">
        <v>0.78173647889584297</v>
      </c>
      <c r="O15" s="2">
        <v>0.58071278825995798</v>
      </c>
      <c r="P15" s="3">
        <v>0.66437321698271501</v>
      </c>
      <c r="Q15" s="1">
        <v>0.65704507312712501</v>
      </c>
      <c r="R15" s="2">
        <v>0.66123703582411897</v>
      </c>
      <c r="S15" s="2">
        <v>0.63946708587032497</v>
      </c>
      <c r="T15" s="2">
        <v>0.68353103578101004</v>
      </c>
      <c r="U15" s="2">
        <v>0.670321615905077</v>
      </c>
      <c r="V15" s="2">
        <v>0.69863082660204401</v>
      </c>
      <c r="W15" s="2">
        <v>0.66124008332162199</v>
      </c>
      <c r="X15" s="2">
        <v>0.68404760002630005</v>
      </c>
      <c r="Y15" s="2">
        <v>0.63820986544283598</v>
      </c>
      <c r="Z15" s="3">
        <v>0.66180013305179197</v>
      </c>
    </row>
    <row r="16" spans="1:28" x14ac:dyDescent="0.2">
      <c r="A16" s="22">
        <f t="shared" si="2"/>
        <v>11</v>
      </c>
      <c r="B16" s="11" t="s">
        <v>16</v>
      </c>
      <c r="C16" s="16" t="s">
        <v>28</v>
      </c>
      <c r="D16" s="20" t="s">
        <v>46</v>
      </c>
      <c r="E16" s="23">
        <f t="shared" si="0"/>
        <v>0.65480581203022581</v>
      </c>
      <c r="F16" s="24">
        <f t="shared" si="1"/>
        <v>2.4188560452575024E-2</v>
      </c>
      <c r="G16" s="1">
        <v>0.65817376167115005</v>
      </c>
      <c r="H16" s="2">
        <v>0.65817376167115005</v>
      </c>
      <c r="I16" s="2">
        <v>0.69696969696969702</v>
      </c>
      <c r="J16" s="2">
        <v>0.65</v>
      </c>
      <c r="K16" s="2">
        <v>0.63541666666666596</v>
      </c>
      <c r="L16" s="2">
        <v>0.69830295411690702</v>
      </c>
      <c r="M16" s="2">
        <v>0.63133640552995396</v>
      </c>
      <c r="N16" s="2">
        <v>0.64194373401534499</v>
      </c>
      <c r="O16" s="2">
        <v>0.64841108857336005</v>
      </c>
      <c r="P16" s="3">
        <v>0.70202429149797496</v>
      </c>
      <c r="Q16" s="1">
        <v>0.64744645553426605</v>
      </c>
      <c r="R16" s="2">
        <v>0.65533262271076098</v>
      </c>
      <c r="S16" s="2">
        <v>0.65017385931641103</v>
      </c>
      <c r="T16" s="2">
        <v>0.67181798822755301</v>
      </c>
      <c r="U16" s="2">
        <v>0.62747654904475403</v>
      </c>
      <c r="V16" s="2">
        <v>0.67392985944315797</v>
      </c>
      <c r="W16" s="2">
        <v>0.62525583133943996</v>
      </c>
      <c r="X16" s="2">
        <v>0.66408095014959501</v>
      </c>
      <c r="Y16" s="2">
        <v>0.61645030804350498</v>
      </c>
      <c r="Z16" s="3">
        <v>0.64339945608287197</v>
      </c>
    </row>
    <row r="17" spans="1:26" ht="17" thickBot="1" x14ac:dyDescent="0.25">
      <c r="A17" s="22">
        <f t="shared" si="2"/>
        <v>12</v>
      </c>
      <c r="B17" s="12" t="s">
        <v>17</v>
      </c>
      <c r="C17" s="17" t="s">
        <v>30</v>
      </c>
      <c r="D17" s="21" t="s">
        <v>47</v>
      </c>
      <c r="E17" s="25">
        <f t="shared" si="0"/>
        <v>0.6439847654189842</v>
      </c>
      <c r="F17" s="26">
        <f t="shared" si="1"/>
        <v>4.301039458005658E-2</v>
      </c>
      <c r="G17" s="4">
        <v>0.51406649616368205</v>
      </c>
      <c r="H17" s="5">
        <v>0.56727518593644299</v>
      </c>
      <c r="I17" s="5">
        <v>0.60753283747428399</v>
      </c>
      <c r="J17" s="5">
        <v>0.62429149797570804</v>
      </c>
      <c r="K17" s="5">
        <v>0.65989607935758099</v>
      </c>
      <c r="L17" s="5">
        <v>0.65334617236398596</v>
      </c>
      <c r="M17" s="5">
        <v>0.68705992802378302</v>
      </c>
      <c r="N17" s="5">
        <v>0.65817376167115005</v>
      </c>
      <c r="O17" s="5">
        <v>0.66202472226568598</v>
      </c>
      <c r="P17" s="6">
        <v>0.64646464646464596</v>
      </c>
      <c r="Q17" s="4">
        <v>0.63450601568756004</v>
      </c>
      <c r="R17" s="5">
        <v>0.60302864014615398</v>
      </c>
      <c r="S17" s="5">
        <v>0.68226048076062795</v>
      </c>
      <c r="T17" s="5">
        <v>0.65908110315901502</v>
      </c>
      <c r="U17" s="5">
        <v>0.67614817800483495</v>
      </c>
      <c r="V17" s="5">
        <v>0.65712214558896398</v>
      </c>
      <c r="W17" s="5">
        <v>0.66296875435960001</v>
      </c>
      <c r="X17" s="5">
        <v>0.66953352174782499</v>
      </c>
      <c r="Y17" s="5">
        <v>0.68044630112132198</v>
      </c>
      <c r="Z17" s="6">
        <v>0.67446884010683295</v>
      </c>
    </row>
    <row r="19" spans="1:26" x14ac:dyDescent="0.2">
      <c r="A19" t="s">
        <v>58</v>
      </c>
      <c r="D19" s="30" t="s">
        <v>52</v>
      </c>
    </row>
    <row r="20" spans="1:26" x14ac:dyDescent="0.2">
      <c r="D20" s="30" t="s">
        <v>53</v>
      </c>
    </row>
    <row r="23" spans="1:26" x14ac:dyDescent="0.2">
      <c r="C23" s="13"/>
      <c r="D23" s="14"/>
    </row>
    <row r="24" spans="1:26" x14ac:dyDescent="0.2">
      <c r="C24" s="14"/>
      <c r="D24" s="14"/>
    </row>
    <row r="25" spans="1:26" x14ac:dyDescent="0.2">
      <c r="C25" s="14"/>
      <c r="D25" s="14"/>
      <c r="G25" s="14"/>
    </row>
    <row r="26" spans="1:26" x14ac:dyDescent="0.2">
      <c r="C26" s="14"/>
      <c r="D26" s="14"/>
      <c r="G26" s="14"/>
    </row>
    <row r="27" spans="1:26" x14ac:dyDescent="0.2">
      <c r="C27" s="14"/>
      <c r="D27" s="14"/>
      <c r="G27" s="14"/>
    </row>
    <row r="28" spans="1:26" x14ac:dyDescent="0.2">
      <c r="C28" s="14"/>
      <c r="D28" s="14"/>
      <c r="G28" s="14"/>
    </row>
    <row r="29" spans="1:26" x14ac:dyDescent="0.2">
      <c r="C29" s="14"/>
      <c r="D29" s="14"/>
      <c r="G29" s="14"/>
    </row>
    <row r="30" spans="1:26" x14ac:dyDescent="0.2">
      <c r="C30" s="14"/>
      <c r="D30" s="14"/>
      <c r="G30" s="14"/>
    </row>
    <row r="31" spans="1:26" x14ac:dyDescent="0.2">
      <c r="C31" s="14"/>
      <c r="D31" s="14"/>
      <c r="G31" s="14"/>
    </row>
    <row r="32" spans="1:26" x14ac:dyDescent="0.2">
      <c r="C32" s="14"/>
      <c r="D32" s="14"/>
      <c r="G32" s="14"/>
    </row>
    <row r="33" spans="3:7" x14ac:dyDescent="0.2">
      <c r="C33" s="14"/>
      <c r="D33" s="14"/>
      <c r="G33" s="14"/>
    </row>
    <row r="34" spans="3:7" x14ac:dyDescent="0.2">
      <c r="C34" s="14"/>
      <c r="D34" s="14"/>
      <c r="G34" s="14"/>
    </row>
    <row r="35" spans="3:7" x14ac:dyDescent="0.2">
      <c r="C35" s="14"/>
      <c r="D35" s="14"/>
      <c r="G35" s="14"/>
    </row>
    <row r="36" spans="3:7" x14ac:dyDescent="0.2">
      <c r="C36" s="14"/>
      <c r="D36" s="14"/>
      <c r="G36" s="14"/>
    </row>
    <row r="37" spans="3:7" x14ac:dyDescent="0.2">
      <c r="C37" s="14"/>
      <c r="D37" s="14"/>
      <c r="G37" s="14"/>
    </row>
    <row r="38" spans="3:7" x14ac:dyDescent="0.2">
      <c r="C38" s="14"/>
      <c r="D38" s="14"/>
      <c r="G38" s="14"/>
    </row>
    <row r="39" spans="3:7" x14ac:dyDescent="0.2">
      <c r="C39" s="14"/>
      <c r="D39" s="14"/>
      <c r="G39" s="14"/>
    </row>
    <row r="40" spans="3:7" x14ac:dyDescent="0.2">
      <c r="C40" s="14"/>
      <c r="D40" s="14"/>
      <c r="G40" s="14"/>
    </row>
    <row r="41" spans="3:7" x14ac:dyDescent="0.2">
      <c r="C41" s="14"/>
      <c r="D41" s="14"/>
      <c r="G41" s="14"/>
    </row>
    <row r="42" spans="3:7" x14ac:dyDescent="0.2">
      <c r="C42" s="14"/>
      <c r="D42" s="14"/>
      <c r="G42" s="14"/>
    </row>
    <row r="43" spans="3:7" x14ac:dyDescent="0.2">
      <c r="D43" s="14"/>
      <c r="G43" s="14"/>
    </row>
    <row r="44" spans="3:7" x14ac:dyDescent="0.2">
      <c r="D44" s="14"/>
      <c r="G44" s="14"/>
    </row>
  </sheetData>
  <sortState xmlns:xlrd2="http://schemas.microsoft.com/office/spreadsheetml/2017/richdata2" ref="D25:G44">
    <sortCondition ref="D25:D44"/>
  </sortState>
  <mergeCells count="3">
    <mergeCell ref="G4:P4"/>
    <mergeCell ref="Q4:Z4"/>
    <mergeCell ref="G3:Z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4F67-AF0D-8B41-95CB-ADD6D6C536FA}">
  <dimension ref="A1:I560"/>
  <sheetViews>
    <sheetView workbookViewId="0">
      <selection activeCell="E1" sqref="E1"/>
    </sheetView>
  </sheetViews>
  <sheetFormatPr baseColWidth="10" defaultRowHeight="16" x14ac:dyDescent="0.2"/>
  <cols>
    <col min="1" max="1" width="96.5" style="50" bestFit="1" customWidth="1"/>
    <col min="2" max="2" width="12.1640625" style="50" bestFit="1" customWidth="1"/>
    <col min="3" max="3" width="8.6640625" style="50" bestFit="1" customWidth="1"/>
    <col min="4" max="4" width="83" style="50" bestFit="1" customWidth="1"/>
    <col min="8" max="8" width="96.5" bestFit="1" customWidth="1"/>
    <col min="9" max="9" width="14.83203125" bestFit="1" customWidth="1"/>
  </cols>
  <sheetData>
    <row r="1" spans="1:9" ht="17" thickBot="1" x14ac:dyDescent="0.25">
      <c r="A1" s="50" t="s">
        <v>59</v>
      </c>
      <c r="B1" s="50" t="s">
        <v>60</v>
      </c>
      <c r="C1" s="50" t="s">
        <v>61</v>
      </c>
      <c r="D1" s="50" t="s">
        <v>619</v>
      </c>
      <c r="E1" s="50" t="s">
        <v>652</v>
      </c>
      <c r="H1" s="39" t="s">
        <v>61</v>
      </c>
      <c r="I1" t="s">
        <v>631</v>
      </c>
    </row>
    <row r="2" spans="1:9" x14ac:dyDescent="0.2">
      <c r="A2" s="51" t="s">
        <v>252</v>
      </c>
      <c r="B2" s="60">
        <v>0.80683553122178997</v>
      </c>
      <c r="C2" s="52" t="s">
        <v>62</v>
      </c>
      <c r="D2" s="53" t="str">
        <f>SUBSTITUTE(SUBSTITUTE(SUBSTITUTE(A2, "'max_iter': 500,", ""), "'max_iter': 1000,", ""), "'max_iter': 1500,", "")</f>
        <v>{'activation': 'relu', 'hidden_layer_sizes': (200, 100), 'learning_rate_init': 0.005,  'solver': 'adam'}</v>
      </c>
      <c r="E2">
        <f>_xlfn.RANK.EQ(B2,B$2:$B$479,0)</f>
        <v>1</v>
      </c>
    </row>
    <row r="3" spans="1:9" ht="17" thickBot="1" x14ac:dyDescent="0.25">
      <c r="A3" s="54" t="s">
        <v>63</v>
      </c>
      <c r="B3" s="61">
        <v>0.80683553122178997</v>
      </c>
      <c r="C3" s="55" t="s">
        <v>62</v>
      </c>
      <c r="D3" s="56" t="str">
        <f>SUBSTITUTE(SUBSTITUTE(SUBSTITUTE(A3, "'max_iter': 500,", ""), "'max_iter': 1000,", ""), "'max_iter': 1500,", "")</f>
        <v>{'activation': 'relu', 'hidden_layer_sizes': (200, 100), 'learning_rate_init': 0.005,  'solver': 'adam'}</v>
      </c>
      <c r="E3">
        <f>_xlfn.RANK.EQ(B3,B$2:$B$479,0)</f>
        <v>1</v>
      </c>
      <c r="H3" s="39" t="s">
        <v>620</v>
      </c>
      <c r="I3" t="s">
        <v>650</v>
      </c>
    </row>
    <row r="4" spans="1:9" ht="17" thickBot="1" x14ac:dyDescent="0.25">
      <c r="A4" s="57" t="s">
        <v>253</v>
      </c>
      <c r="B4" s="62">
        <v>0.80683553122178997</v>
      </c>
      <c r="C4" s="58" t="s">
        <v>62</v>
      </c>
      <c r="D4" s="59" t="str">
        <f>SUBSTITUTE(SUBSTITUTE(SUBSTITUTE(A4, "'max_iter': 500,", ""), "'max_iter': 1000,", ""), "'max_iter': 1500,", "")</f>
        <v>{'activation': 'relu', 'hidden_layer_sizes': (200, 100), 'learning_rate_init': 0.005,  'solver': 'adam'}</v>
      </c>
      <c r="E4">
        <f>_xlfn.RANK.EQ(B4,B$2:$B$479,0)</f>
        <v>1</v>
      </c>
      <c r="H4" s="43" t="s">
        <v>252</v>
      </c>
      <c r="I4" s="44">
        <v>0.80683553122178997</v>
      </c>
    </row>
    <row r="5" spans="1:9" x14ac:dyDescent="0.2">
      <c r="A5" s="51" t="s">
        <v>254</v>
      </c>
      <c r="B5" s="60">
        <v>0.79280393681943195</v>
      </c>
      <c r="C5" s="52" t="s">
        <v>62</v>
      </c>
      <c r="D5" s="53" t="str">
        <f>SUBSTITUTE(SUBSTITUTE(SUBSTITUTE(A5, "'max_iter': 500,", ""), "'max_iter': 1000,", ""), "'max_iter': 1500,", "")</f>
        <v>{'activation': 'relu', 'hidden_layer_sizes': 50, 'learning_rate_init': 0.01,  'solver': 'sgd'}</v>
      </c>
      <c r="E5">
        <f>_xlfn.RANK.EQ(B5,B$2:$B$479,0)</f>
        <v>4</v>
      </c>
      <c r="H5" s="45" t="s">
        <v>253</v>
      </c>
      <c r="I5" s="46">
        <v>0.80683553122178997</v>
      </c>
    </row>
    <row r="6" spans="1:9" ht="17" thickBot="1" x14ac:dyDescent="0.25">
      <c r="A6" s="54" t="s">
        <v>64</v>
      </c>
      <c r="B6" s="61">
        <v>0.79280393681943195</v>
      </c>
      <c r="C6" s="55" t="s">
        <v>62</v>
      </c>
      <c r="D6" s="56" t="str">
        <f>SUBSTITUTE(SUBSTITUTE(SUBSTITUTE(A6, "'max_iter': 500,", ""), "'max_iter': 1000,", ""), "'max_iter': 1500,", "")</f>
        <v>{'activation': 'relu', 'hidden_layer_sizes': 50, 'learning_rate_init': 0.01,  'solver': 'sgd'}</v>
      </c>
      <c r="E6">
        <f>_xlfn.RANK.EQ(B6,B$2:$B$479,0)</f>
        <v>4</v>
      </c>
      <c r="H6" s="47" t="s">
        <v>63</v>
      </c>
      <c r="I6" s="48">
        <v>0.80683553122178997</v>
      </c>
    </row>
    <row r="7" spans="1:9" ht="17" thickBot="1" x14ac:dyDescent="0.25">
      <c r="A7" s="57" t="s">
        <v>255</v>
      </c>
      <c r="B7" s="62">
        <v>0.79280393681943195</v>
      </c>
      <c r="C7" s="58" t="s">
        <v>62</v>
      </c>
      <c r="D7" s="59" t="str">
        <f>SUBSTITUTE(SUBSTITUTE(SUBSTITUTE(A7, "'max_iter': 500,", ""), "'max_iter': 1000,", ""), "'max_iter': 1500,", "")</f>
        <v>{'activation': 'relu', 'hidden_layer_sizes': 50, 'learning_rate_init': 0.01,  'solver': 'sgd'}</v>
      </c>
      <c r="E7">
        <f>_xlfn.RANK.EQ(B7,B$2:$B$479,0)</f>
        <v>4</v>
      </c>
      <c r="H7" s="43" t="s">
        <v>254</v>
      </c>
      <c r="I7" s="44">
        <v>0.79280393681943195</v>
      </c>
    </row>
    <row r="8" spans="1:9" x14ac:dyDescent="0.2">
      <c r="A8" s="51" t="s">
        <v>259</v>
      </c>
      <c r="B8" s="60">
        <v>0.78796843016847695</v>
      </c>
      <c r="C8" s="52" t="s">
        <v>62</v>
      </c>
      <c r="D8" s="53" t="str">
        <f>SUBSTITUTE(SUBSTITUTE(SUBSTITUTE(A8, "'max_iter': 500,", ""), "'max_iter': 1000,", ""), "'max_iter': 1500,", "")</f>
        <v>{'activation': 'identity', 'hidden_layer_sizes': 150, 'learning_rate_init': 0.01,  'solver': 'adam'}</v>
      </c>
      <c r="E8">
        <f>_xlfn.RANK.EQ(B8,B$2:$B$479,0)</f>
        <v>7</v>
      </c>
      <c r="H8" s="45" t="s">
        <v>64</v>
      </c>
      <c r="I8" s="46">
        <v>0.79280393681943195</v>
      </c>
    </row>
    <row r="9" spans="1:9" ht="17" thickBot="1" x14ac:dyDescent="0.25">
      <c r="A9" s="54" t="s">
        <v>65</v>
      </c>
      <c r="B9" s="61">
        <v>0.78796843016847695</v>
      </c>
      <c r="C9" s="55" t="s">
        <v>62</v>
      </c>
      <c r="D9" s="56" t="str">
        <f>SUBSTITUTE(SUBSTITUTE(SUBSTITUTE(A9, "'max_iter': 500,", ""), "'max_iter': 1000,", ""), "'max_iter': 1500,", "")</f>
        <v>{'activation': 'identity', 'hidden_layer_sizes': 150, 'learning_rate_init': 0.01,  'solver': 'adam'}</v>
      </c>
      <c r="E9">
        <f>_xlfn.RANK.EQ(B9,B$2:$B$479,0)</f>
        <v>7</v>
      </c>
      <c r="H9" s="47" t="s">
        <v>255</v>
      </c>
      <c r="I9" s="48">
        <v>0.79280393681943195</v>
      </c>
    </row>
    <row r="10" spans="1:9" ht="17" thickBot="1" x14ac:dyDescent="0.25">
      <c r="A10" s="57" t="s">
        <v>258</v>
      </c>
      <c r="B10" s="62">
        <v>0.78796843016847695</v>
      </c>
      <c r="C10" s="58" t="s">
        <v>62</v>
      </c>
      <c r="D10" s="59" t="str">
        <f>SUBSTITUTE(SUBSTITUTE(SUBSTITUTE(A10, "'max_iter': 500,", ""), "'max_iter': 1000,", ""), "'max_iter': 1500,", "")</f>
        <v>{'activation': 'identity', 'hidden_layer_sizes': 150, 'learning_rate_init': 0.01,  'solver': 'adam'}</v>
      </c>
      <c r="E10">
        <f>_xlfn.RANK.EQ(B10,B$2:$B$479,0)</f>
        <v>7</v>
      </c>
      <c r="H10" s="43" t="s">
        <v>256</v>
      </c>
      <c r="I10" s="44">
        <v>0.78796843016847695</v>
      </c>
    </row>
    <row r="11" spans="1:9" x14ac:dyDescent="0.2">
      <c r="A11" s="51" t="s">
        <v>260</v>
      </c>
      <c r="B11" s="60">
        <v>0.78796843016847695</v>
      </c>
      <c r="C11" s="52" t="s">
        <v>62</v>
      </c>
      <c r="D11" s="53" t="str">
        <f>SUBSTITUTE(SUBSTITUTE(SUBSTITUTE(A11, "'max_iter': 500,", ""), "'max_iter': 1000,", ""), "'max_iter': 1500,", "")</f>
        <v>{'activation': 'logistic', 'hidden_layer_sizes': (200, 100, 50), 'learning_rate_init': 0.005,  'solver': 'adam'}</v>
      </c>
      <c r="E11">
        <f>_xlfn.RANK.EQ(B11,B$2:$B$479,0)</f>
        <v>7</v>
      </c>
      <c r="H11" s="45" t="s">
        <v>66</v>
      </c>
      <c r="I11" s="46">
        <v>0.78796843016847695</v>
      </c>
    </row>
    <row r="12" spans="1:9" ht="17" thickBot="1" x14ac:dyDescent="0.25">
      <c r="A12" s="54" t="s">
        <v>67</v>
      </c>
      <c r="B12" s="61">
        <v>0.78796843016847695</v>
      </c>
      <c r="C12" s="55" t="s">
        <v>62</v>
      </c>
      <c r="D12" s="56" t="str">
        <f>SUBSTITUTE(SUBSTITUTE(SUBSTITUTE(A12, "'max_iter': 500,", ""), "'max_iter': 1000,", ""), "'max_iter': 1500,", "")</f>
        <v>{'activation': 'logistic', 'hidden_layer_sizes': (200, 100, 50), 'learning_rate_init': 0.005,  'solver': 'adam'}</v>
      </c>
      <c r="E12">
        <f>_xlfn.RANK.EQ(B12,B$2:$B$479,0)</f>
        <v>7</v>
      </c>
      <c r="H12" s="47" t="s">
        <v>257</v>
      </c>
      <c r="I12" s="48">
        <v>0.78796843016847695</v>
      </c>
    </row>
    <row r="13" spans="1:9" ht="17" thickBot="1" x14ac:dyDescent="0.25">
      <c r="A13" s="57" t="s">
        <v>261</v>
      </c>
      <c r="B13" s="62">
        <v>0.78796843016847695</v>
      </c>
      <c r="C13" s="58" t="s">
        <v>62</v>
      </c>
      <c r="D13" s="59" t="str">
        <f>SUBSTITUTE(SUBSTITUTE(SUBSTITUTE(A13, "'max_iter': 500,", ""), "'max_iter': 1000,", ""), "'max_iter': 1500,", "")</f>
        <v>{'activation': 'logistic', 'hidden_layer_sizes': (200, 100, 50), 'learning_rate_init': 0.005,  'solver': 'adam'}</v>
      </c>
      <c r="E13">
        <f>_xlfn.RANK.EQ(B13,B$2:$B$479,0)</f>
        <v>7</v>
      </c>
      <c r="H13" s="43" t="s">
        <v>260</v>
      </c>
      <c r="I13" s="44">
        <v>0.78796843016847695</v>
      </c>
    </row>
    <row r="14" spans="1:9" x14ac:dyDescent="0.2">
      <c r="A14" s="51" t="s">
        <v>257</v>
      </c>
      <c r="B14" s="60">
        <v>0.78796843016847695</v>
      </c>
      <c r="C14" s="52" t="s">
        <v>62</v>
      </c>
      <c r="D14" s="53" t="str">
        <f>SUBSTITUTE(SUBSTITUTE(SUBSTITUTE(A14, "'max_iter': 500,", ""), "'max_iter': 1000,", ""), "'max_iter': 1500,", "")</f>
        <v>{'activation': 'tanh', 'hidden_layer_sizes': (100, 50), 'learning_rate_init': 0.01,  'solver': 'sgd'}</v>
      </c>
      <c r="E14">
        <f>_xlfn.RANK.EQ(B14,B$2:$B$479,0)</f>
        <v>7</v>
      </c>
      <c r="H14" s="45" t="s">
        <v>261</v>
      </c>
      <c r="I14" s="46">
        <v>0.78796843016847695</v>
      </c>
    </row>
    <row r="15" spans="1:9" ht="17" thickBot="1" x14ac:dyDescent="0.25">
      <c r="A15" s="54" t="s">
        <v>66</v>
      </c>
      <c r="B15" s="61">
        <v>0.78796843016847695</v>
      </c>
      <c r="C15" s="55" t="s">
        <v>62</v>
      </c>
      <c r="D15" s="56" t="str">
        <f>SUBSTITUTE(SUBSTITUTE(SUBSTITUTE(A15, "'max_iter': 500,", ""), "'max_iter': 1000,", ""), "'max_iter': 1500,", "")</f>
        <v>{'activation': 'tanh', 'hidden_layer_sizes': (100, 50), 'learning_rate_init': 0.01,  'solver': 'sgd'}</v>
      </c>
      <c r="E15">
        <f>_xlfn.RANK.EQ(B15,B$2:$B$479,0)</f>
        <v>7</v>
      </c>
      <c r="H15" s="47" t="s">
        <v>67</v>
      </c>
      <c r="I15" s="48">
        <v>0.78796843016847695</v>
      </c>
    </row>
    <row r="16" spans="1:9" ht="17" thickBot="1" x14ac:dyDescent="0.25">
      <c r="A16" s="57" t="s">
        <v>256</v>
      </c>
      <c r="B16" s="62">
        <v>0.78796843016847695</v>
      </c>
      <c r="C16" s="58" t="s">
        <v>62</v>
      </c>
      <c r="D16" s="59" t="str">
        <f>SUBSTITUTE(SUBSTITUTE(SUBSTITUTE(A16, "'max_iter': 500,", ""), "'max_iter': 1000,", ""), "'max_iter': 1500,", "")</f>
        <v>{'activation': 'tanh', 'hidden_layer_sizes': (100, 50), 'learning_rate_init': 0.01,  'solver': 'sgd'}</v>
      </c>
      <c r="E16">
        <f>_xlfn.RANK.EQ(B16,B$2:$B$479,0)</f>
        <v>7</v>
      </c>
      <c r="H16" s="43" t="s">
        <v>259</v>
      </c>
      <c r="I16" s="44">
        <v>0.78796843016847695</v>
      </c>
    </row>
    <row r="17" spans="1:9" x14ac:dyDescent="0.2">
      <c r="A17" s="51" t="s">
        <v>263</v>
      </c>
      <c r="B17" s="60">
        <v>0.78716269841269804</v>
      </c>
      <c r="C17" s="52" t="s">
        <v>62</v>
      </c>
      <c r="D17" s="53" t="str">
        <f>SUBSTITUTE(SUBSTITUTE(SUBSTITUTE(A17, "'max_iter': 500,", ""), "'max_iter': 1000,", ""), "'max_iter': 1500,", "")</f>
        <v>{'activation': 'relu', 'hidden_layer_sizes': 50, 'learning_rate_init': 0.01,  'solver': 'adam'}</v>
      </c>
      <c r="E17">
        <f>_xlfn.RANK.EQ(B17,B$2:$B$479,0)</f>
        <v>16</v>
      </c>
      <c r="H17" s="45" t="s">
        <v>65</v>
      </c>
      <c r="I17" s="46">
        <v>0.78796843016847695</v>
      </c>
    </row>
    <row r="18" spans="1:9" ht="17" thickBot="1" x14ac:dyDescent="0.25">
      <c r="A18" s="54" t="s">
        <v>68</v>
      </c>
      <c r="B18" s="61">
        <v>0.78716269841269804</v>
      </c>
      <c r="C18" s="55" t="s">
        <v>62</v>
      </c>
      <c r="D18" s="56" t="str">
        <f>SUBSTITUTE(SUBSTITUTE(SUBSTITUTE(A18, "'max_iter': 500,", ""), "'max_iter': 1000,", ""), "'max_iter': 1500,", "")</f>
        <v>{'activation': 'relu', 'hidden_layer_sizes': 50, 'learning_rate_init': 0.01,  'solver': 'adam'}</v>
      </c>
      <c r="E18">
        <f>_xlfn.RANK.EQ(B18,B$2:$B$479,0)</f>
        <v>16</v>
      </c>
      <c r="H18" s="47" t="s">
        <v>258</v>
      </c>
      <c r="I18" s="48">
        <v>0.78796843016847695</v>
      </c>
    </row>
    <row r="19" spans="1:9" ht="17" thickBot="1" x14ac:dyDescent="0.25">
      <c r="A19" s="57" t="s">
        <v>262</v>
      </c>
      <c r="B19" s="62">
        <v>0.78716269841269804</v>
      </c>
      <c r="C19" s="58" t="s">
        <v>62</v>
      </c>
      <c r="D19" s="59" t="str">
        <f>SUBSTITUTE(SUBSTITUTE(SUBSTITUTE(A19, "'max_iter': 500,", ""), "'max_iter': 1000,", ""), "'max_iter': 1500,", "")</f>
        <v>{'activation': 'relu', 'hidden_layer_sizes': 50, 'learning_rate_init': 0.01,  'solver': 'adam'}</v>
      </c>
      <c r="E19">
        <f>_xlfn.RANK.EQ(B19,B$2:$B$479,0)</f>
        <v>16</v>
      </c>
      <c r="H19" s="43" t="s">
        <v>263</v>
      </c>
      <c r="I19" s="44">
        <v>0.78716269841269804</v>
      </c>
    </row>
    <row r="20" spans="1:9" x14ac:dyDescent="0.2">
      <c r="A20" s="51" t="s">
        <v>264</v>
      </c>
      <c r="B20" s="60">
        <v>0.78163793103448198</v>
      </c>
      <c r="C20" s="52" t="s">
        <v>62</v>
      </c>
      <c r="D20" s="53" t="str">
        <f>SUBSTITUTE(SUBSTITUTE(SUBSTITUTE(A20, "'max_iter': 500,", ""), "'max_iter': 1000,", ""), "'max_iter': 1500,", "")</f>
        <v>{'activation': 'tanh', 'hidden_layer_sizes': (100, 50), 'learning_rate_init': 0.005,  'solver': 'sgd'}</v>
      </c>
      <c r="E20">
        <f>_xlfn.RANK.EQ(B20,B$2:$B$479,0)</f>
        <v>19</v>
      </c>
      <c r="H20" s="45" t="s">
        <v>68</v>
      </c>
      <c r="I20" s="46">
        <v>0.78716269841269804</v>
      </c>
    </row>
    <row r="21" spans="1:9" ht="17" thickBot="1" x14ac:dyDescent="0.25">
      <c r="A21" s="54" t="s">
        <v>69</v>
      </c>
      <c r="B21" s="61">
        <v>0.78163793103448198</v>
      </c>
      <c r="C21" s="55" t="s">
        <v>62</v>
      </c>
      <c r="D21" s="56" t="str">
        <f>SUBSTITUTE(SUBSTITUTE(SUBSTITUTE(A21, "'max_iter': 500,", ""), "'max_iter': 1000,", ""), "'max_iter': 1500,", "")</f>
        <v>{'activation': 'tanh', 'hidden_layer_sizes': (100, 50), 'learning_rate_init': 0.005,  'solver': 'sgd'}</v>
      </c>
      <c r="E21">
        <f>_xlfn.RANK.EQ(B21,B$2:$B$479,0)</f>
        <v>19</v>
      </c>
      <c r="H21" s="47" t="s">
        <v>262</v>
      </c>
      <c r="I21" s="48">
        <v>0.78716269841269804</v>
      </c>
    </row>
    <row r="22" spans="1:9" ht="17" thickBot="1" x14ac:dyDescent="0.25">
      <c r="A22" s="57" t="s">
        <v>265</v>
      </c>
      <c r="B22" s="62">
        <v>0.78163793103448198</v>
      </c>
      <c r="C22" s="58" t="s">
        <v>62</v>
      </c>
      <c r="D22" s="59" t="str">
        <f>SUBSTITUTE(SUBSTITUTE(SUBSTITUTE(A22, "'max_iter': 500,", ""), "'max_iter': 1000,", ""), "'max_iter': 1500,", "")</f>
        <v>{'activation': 'tanh', 'hidden_layer_sizes': (100, 50), 'learning_rate_init': 0.005,  'solver': 'sgd'}</v>
      </c>
      <c r="E22">
        <f>_xlfn.RANK.EQ(B22,B$2:$B$479,0)</f>
        <v>19</v>
      </c>
      <c r="H22" s="43" t="s">
        <v>265</v>
      </c>
      <c r="I22" s="44">
        <v>0.78163793103448198</v>
      </c>
    </row>
    <row r="23" spans="1:9" x14ac:dyDescent="0.2">
      <c r="A23" s="51" t="s">
        <v>266</v>
      </c>
      <c r="B23" s="60">
        <v>0.78139692228675195</v>
      </c>
      <c r="C23" s="52" t="s">
        <v>62</v>
      </c>
      <c r="D23" s="53" t="str">
        <f>SUBSTITUTE(SUBSTITUTE(SUBSTITUTE(A23, "'max_iter': 500,", ""), "'max_iter': 1000,", ""), "'max_iter': 1500,", "")</f>
        <v>{'activation': 'relu', 'hidden_layer_sizes': (200, 100), 'learning_rate_init': 0.01,  'solver': 'adam'}</v>
      </c>
      <c r="E23">
        <f>_xlfn.RANK.EQ(B23,B$2:$B$479,0)</f>
        <v>22</v>
      </c>
      <c r="H23" s="45" t="s">
        <v>69</v>
      </c>
      <c r="I23" s="46">
        <v>0.78163793103448198</v>
      </c>
    </row>
    <row r="24" spans="1:9" ht="17" thickBot="1" x14ac:dyDescent="0.25">
      <c r="A24" s="54" t="s">
        <v>70</v>
      </c>
      <c r="B24" s="61">
        <v>0.78139692228675195</v>
      </c>
      <c r="C24" s="55" t="s">
        <v>62</v>
      </c>
      <c r="D24" s="56" t="str">
        <f>SUBSTITUTE(SUBSTITUTE(SUBSTITUTE(A24, "'max_iter': 500,", ""), "'max_iter': 1000,", ""), "'max_iter': 1500,", "")</f>
        <v>{'activation': 'relu', 'hidden_layer_sizes': (200, 100), 'learning_rate_init': 0.01,  'solver': 'adam'}</v>
      </c>
      <c r="E24">
        <f>_xlfn.RANK.EQ(B24,B$2:$B$479,0)</f>
        <v>22</v>
      </c>
      <c r="H24" s="47" t="s">
        <v>264</v>
      </c>
      <c r="I24" s="48">
        <v>0.78163793103448198</v>
      </c>
    </row>
    <row r="25" spans="1:9" ht="17" thickBot="1" x14ac:dyDescent="0.25">
      <c r="A25" s="57" t="s">
        <v>267</v>
      </c>
      <c r="B25" s="62">
        <v>0.78139692228675195</v>
      </c>
      <c r="C25" s="58" t="s">
        <v>62</v>
      </c>
      <c r="D25" s="59" t="str">
        <f>SUBSTITUTE(SUBSTITUTE(SUBSTITUTE(A25, "'max_iter': 500,", ""), "'max_iter': 1000,", ""), "'max_iter': 1500,", "")</f>
        <v>{'activation': 'relu', 'hidden_layer_sizes': (200, 100), 'learning_rate_init': 0.01,  'solver': 'adam'}</v>
      </c>
      <c r="E25">
        <f>_xlfn.RANK.EQ(B25,B$2:$B$479,0)</f>
        <v>22</v>
      </c>
      <c r="H25" s="43" t="s">
        <v>266</v>
      </c>
      <c r="I25" s="44">
        <v>0.78139692228675195</v>
      </c>
    </row>
    <row r="26" spans="1:9" x14ac:dyDescent="0.2">
      <c r="A26" s="51" t="s">
        <v>268</v>
      </c>
      <c r="B26" s="60">
        <v>0.77570588235294102</v>
      </c>
      <c r="C26" s="52" t="s">
        <v>62</v>
      </c>
      <c r="D26" s="53" t="str">
        <f>SUBSTITUTE(SUBSTITUTE(SUBSTITUTE(A26, "'max_iter': 500,", ""), "'max_iter': 1000,", ""), "'max_iter': 1500,", "")</f>
        <v>{'activation': 'tanh', 'hidden_layer_sizes': (200, 100, 50), 'learning_rate_init': 0.005,  'solver': 'sgd'}</v>
      </c>
      <c r="E26">
        <f>_xlfn.RANK.EQ(B26,B$2:$B$479,0)</f>
        <v>25</v>
      </c>
      <c r="H26" s="45" t="s">
        <v>70</v>
      </c>
      <c r="I26" s="46">
        <v>0.78139692228675195</v>
      </c>
    </row>
    <row r="27" spans="1:9" ht="17" thickBot="1" x14ac:dyDescent="0.25">
      <c r="A27" s="54" t="s">
        <v>71</v>
      </c>
      <c r="B27" s="61">
        <v>0.77570588235294102</v>
      </c>
      <c r="C27" s="55" t="s">
        <v>62</v>
      </c>
      <c r="D27" s="56" t="str">
        <f>SUBSTITUTE(SUBSTITUTE(SUBSTITUTE(A27, "'max_iter': 500,", ""), "'max_iter': 1000,", ""), "'max_iter': 1500,", "")</f>
        <v>{'activation': 'tanh', 'hidden_layer_sizes': (200, 100, 50), 'learning_rate_init': 0.005,  'solver': 'sgd'}</v>
      </c>
      <c r="E27">
        <f>_xlfn.RANK.EQ(B27,B$2:$B$479,0)</f>
        <v>25</v>
      </c>
      <c r="H27" s="47" t="s">
        <v>267</v>
      </c>
      <c r="I27" s="48">
        <v>0.78139692228675195</v>
      </c>
    </row>
    <row r="28" spans="1:9" ht="17" thickBot="1" x14ac:dyDescent="0.25">
      <c r="A28" s="57" t="s">
        <v>269</v>
      </c>
      <c r="B28" s="62">
        <v>0.77570588235294102</v>
      </c>
      <c r="C28" s="58" t="s">
        <v>62</v>
      </c>
      <c r="D28" s="59" t="str">
        <f>SUBSTITUTE(SUBSTITUTE(SUBSTITUTE(A28, "'max_iter': 500,", ""), "'max_iter': 1000,", ""), "'max_iter': 1500,", "")</f>
        <v>{'activation': 'tanh', 'hidden_layer_sizes': (200, 100, 50), 'learning_rate_init': 0.005,  'solver': 'sgd'}</v>
      </c>
      <c r="E28">
        <f>_xlfn.RANK.EQ(B28,B$2:$B$479,0)</f>
        <v>25</v>
      </c>
      <c r="H28" s="43" t="s">
        <v>71</v>
      </c>
      <c r="I28" s="44">
        <v>0.77570588235294102</v>
      </c>
    </row>
    <row r="29" spans="1:9" x14ac:dyDescent="0.2">
      <c r="A29" s="51" t="s">
        <v>272</v>
      </c>
      <c r="B29" s="60">
        <v>0.77563639220615899</v>
      </c>
      <c r="C29" s="52" t="s">
        <v>62</v>
      </c>
      <c r="D29" s="53" t="str">
        <f>SUBSTITUTE(SUBSTITUTE(SUBSTITUTE(A29, "'max_iter': 500,", ""), "'max_iter': 1000,", ""), "'max_iter': 1500,", "")</f>
        <v>{'activation': 'relu', 'hidden_layer_sizes': (200, 100, 50), 'learning_rate_init': 0.01,  'solver': 'sgd'}</v>
      </c>
      <c r="E29">
        <f>_xlfn.RANK.EQ(B29,B$2:$B$479,0)</f>
        <v>28</v>
      </c>
      <c r="H29" s="45" t="s">
        <v>269</v>
      </c>
      <c r="I29" s="46">
        <v>0.77570588235294102</v>
      </c>
    </row>
    <row r="30" spans="1:9" ht="17" thickBot="1" x14ac:dyDescent="0.25">
      <c r="A30" s="54" t="s">
        <v>73</v>
      </c>
      <c r="B30" s="61">
        <v>0.77563639220615899</v>
      </c>
      <c r="C30" s="55" t="s">
        <v>62</v>
      </c>
      <c r="D30" s="56" t="str">
        <f>SUBSTITUTE(SUBSTITUTE(SUBSTITUTE(A30, "'max_iter': 500,", ""), "'max_iter': 1000,", ""), "'max_iter': 1500,", "")</f>
        <v>{'activation': 'relu', 'hidden_layer_sizes': (200, 100, 50), 'learning_rate_init': 0.01,  'solver': 'sgd'}</v>
      </c>
      <c r="E30">
        <f>_xlfn.RANK.EQ(B30,B$2:$B$479,0)</f>
        <v>28</v>
      </c>
      <c r="H30" s="47" t="s">
        <v>268</v>
      </c>
      <c r="I30" s="48">
        <v>0.77570588235294102</v>
      </c>
    </row>
    <row r="31" spans="1:9" ht="17" thickBot="1" x14ac:dyDescent="0.25">
      <c r="A31" s="57" t="s">
        <v>273</v>
      </c>
      <c r="B31" s="62">
        <v>0.77563639220615899</v>
      </c>
      <c r="C31" s="58" t="s">
        <v>62</v>
      </c>
      <c r="D31" s="59" t="str">
        <f>SUBSTITUTE(SUBSTITUTE(SUBSTITUTE(A31, "'max_iter': 500,", ""), "'max_iter': 1000,", ""), "'max_iter': 1500,", "")</f>
        <v>{'activation': 'relu', 'hidden_layer_sizes': (200, 100, 50), 'learning_rate_init': 0.01,  'solver': 'sgd'}</v>
      </c>
      <c r="E31">
        <f>_xlfn.RANK.EQ(B31,B$2:$B$479,0)</f>
        <v>28</v>
      </c>
      <c r="H31" s="43" t="s">
        <v>270</v>
      </c>
      <c r="I31" s="44">
        <v>0.77563639220615899</v>
      </c>
    </row>
    <row r="32" spans="1:9" x14ac:dyDescent="0.2">
      <c r="A32" s="50" t="s">
        <v>270</v>
      </c>
      <c r="B32" s="63">
        <v>0.77563639220615899</v>
      </c>
      <c r="C32" s="50" t="s">
        <v>62</v>
      </c>
      <c r="D32" s="50" t="str">
        <f>SUBSTITUTE(SUBSTITUTE(SUBSTITUTE(A32, "'max_iter': 500,", ""), "'max_iter': 1000,", ""), "'max_iter': 1500,", "")</f>
        <v>{'activation': 'tanh', 'hidden_layer_sizes': (200, 100, 50), 'learning_rate_init': 0.01,  'solver': 'sgd'}</v>
      </c>
      <c r="E32">
        <f>_xlfn.RANK.EQ(B32,B$2:$B$479,0)</f>
        <v>28</v>
      </c>
      <c r="H32" s="45" t="s">
        <v>272</v>
      </c>
      <c r="I32" s="46">
        <v>0.77563639220615899</v>
      </c>
    </row>
    <row r="33" spans="1:9" ht="17" thickBot="1" x14ac:dyDescent="0.25">
      <c r="A33" s="50" t="s">
        <v>72</v>
      </c>
      <c r="B33" s="63">
        <v>0.77563639220615899</v>
      </c>
      <c r="C33" s="50" t="s">
        <v>62</v>
      </c>
      <c r="D33" s="50" t="str">
        <f>SUBSTITUTE(SUBSTITUTE(SUBSTITUTE(A33, "'max_iter': 500,", ""), "'max_iter': 1000,", ""), "'max_iter': 1500,", "")</f>
        <v>{'activation': 'tanh', 'hidden_layer_sizes': (200, 100, 50), 'learning_rate_init': 0.01,  'solver': 'sgd'}</v>
      </c>
      <c r="E33">
        <f>_xlfn.RANK.EQ(B33,B$2:$B$479,0)</f>
        <v>28</v>
      </c>
      <c r="H33" s="47" t="s">
        <v>72</v>
      </c>
      <c r="I33" s="48">
        <v>0.77563639220615899</v>
      </c>
    </row>
    <row r="34" spans="1:9" x14ac:dyDescent="0.2">
      <c r="A34" s="50" t="s">
        <v>271</v>
      </c>
      <c r="B34" s="63">
        <v>0.77563639220615899</v>
      </c>
      <c r="C34" s="50" t="s">
        <v>62</v>
      </c>
      <c r="D34" s="50" t="str">
        <f>SUBSTITUTE(SUBSTITUTE(SUBSTITUTE(A34, "'max_iter': 500,", ""), "'max_iter': 1000,", ""), "'max_iter': 1500,", "")</f>
        <v>{'activation': 'tanh', 'hidden_layer_sizes': (200, 100, 50), 'learning_rate_init': 0.01,  'solver': 'sgd'}</v>
      </c>
      <c r="E34">
        <f>_xlfn.RANK.EQ(B34,B$2:$B$479,0)</f>
        <v>28</v>
      </c>
      <c r="H34" s="40" t="s">
        <v>73</v>
      </c>
      <c r="I34" s="31">
        <v>0.77563639220615899</v>
      </c>
    </row>
    <row r="35" spans="1:9" x14ac:dyDescent="0.2">
      <c r="A35" s="50" t="s">
        <v>277</v>
      </c>
      <c r="B35" s="63">
        <v>0.77549598488426996</v>
      </c>
      <c r="C35" s="50" t="s">
        <v>62</v>
      </c>
      <c r="D35" s="50" t="str">
        <f>SUBSTITUTE(SUBSTITUTE(SUBSTITUTE(A35, "'max_iter': 500,", ""), "'max_iter': 1000,", ""), "'max_iter': 1500,", "")</f>
        <v>{'activation': 'logistic', 'hidden_layer_sizes': 50, 'learning_rate_init': 0.01,  'solver': 'sgd'}</v>
      </c>
      <c r="E35">
        <f>_xlfn.RANK.EQ(B35,B$2:$B$479,0)</f>
        <v>34</v>
      </c>
      <c r="H35" s="40" t="s">
        <v>271</v>
      </c>
      <c r="I35" s="31">
        <v>0.77563639220615899</v>
      </c>
    </row>
    <row r="36" spans="1:9" x14ac:dyDescent="0.2">
      <c r="A36" s="50" t="s">
        <v>74</v>
      </c>
      <c r="B36" s="63">
        <v>0.77549598488426996</v>
      </c>
      <c r="C36" s="50" t="s">
        <v>62</v>
      </c>
      <c r="D36" s="50" t="str">
        <f>SUBSTITUTE(SUBSTITUTE(SUBSTITUTE(A36, "'max_iter': 500,", ""), "'max_iter': 1000,", ""), "'max_iter': 1500,", "")</f>
        <v>{'activation': 'logistic', 'hidden_layer_sizes': 50, 'learning_rate_init': 0.01,  'solver': 'sgd'}</v>
      </c>
      <c r="E36">
        <f>_xlfn.RANK.EQ(B36,B$2:$B$479,0)</f>
        <v>34</v>
      </c>
      <c r="H36" s="40" t="s">
        <v>273</v>
      </c>
      <c r="I36" s="31">
        <v>0.77563639220615899</v>
      </c>
    </row>
    <row r="37" spans="1:9" x14ac:dyDescent="0.2">
      <c r="A37" s="50" t="s">
        <v>276</v>
      </c>
      <c r="B37" s="63">
        <v>0.77549598488426996</v>
      </c>
      <c r="C37" s="50" t="s">
        <v>62</v>
      </c>
      <c r="D37" s="50" t="str">
        <f>SUBSTITUTE(SUBSTITUTE(SUBSTITUTE(A37, "'max_iter': 500,", ""), "'max_iter': 1000,", ""), "'max_iter': 1500,", "")</f>
        <v>{'activation': 'logistic', 'hidden_layer_sizes': 50, 'learning_rate_init': 0.01,  'solver': 'sgd'}</v>
      </c>
      <c r="E37">
        <f>_xlfn.RANK.EQ(B37,B$2:$B$479,0)</f>
        <v>34</v>
      </c>
      <c r="H37" s="40" t="s">
        <v>75</v>
      </c>
      <c r="I37" s="31">
        <v>0.77549598488426996</v>
      </c>
    </row>
    <row r="38" spans="1:9" x14ac:dyDescent="0.2">
      <c r="A38" s="50" t="s">
        <v>274</v>
      </c>
      <c r="B38" s="63">
        <v>0.77549598488426996</v>
      </c>
      <c r="C38" s="50" t="s">
        <v>62</v>
      </c>
      <c r="D38" s="50" t="str">
        <f>SUBSTITUTE(SUBSTITUTE(SUBSTITUTE(A38, "'max_iter': 500,", ""), "'max_iter': 1000,", ""), "'max_iter': 1500,", "")</f>
        <v>{'activation': 'tanh', 'hidden_layer_sizes': 100, 'learning_rate_init': 0.01,  'solver': 'sgd'}</v>
      </c>
      <c r="E38">
        <f>_xlfn.RANK.EQ(B38,B$2:$B$479,0)</f>
        <v>34</v>
      </c>
      <c r="H38" s="40" t="s">
        <v>274</v>
      </c>
      <c r="I38" s="31">
        <v>0.77549598488426996</v>
      </c>
    </row>
    <row r="39" spans="1:9" x14ac:dyDescent="0.2">
      <c r="A39" s="50" t="s">
        <v>75</v>
      </c>
      <c r="B39" s="63">
        <v>0.77549598488426996</v>
      </c>
      <c r="C39" s="50" t="s">
        <v>62</v>
      </c>
      <c r="D39" s="50" t="str">
        <f>SUBSTITUTE(SUBSTITUTE(SUBSTITUTE(A39, "'max_iter': 500,", ""), "'max_iter': 1000,", ""), "'max_iter': 1500,", "")</f>
        <v>{'activation': 'tanh', 'hidden_layer_sizes': 100, 'learning_rate_init': 0.01,  'solver': 'sgd'}</v>
      </c>
      <c r="E39">
        <f>_xlfn.RANK.EQ(B39,B$2:$B$479,0)</f>
        <v>34</v>
      </c>
      <c r="H39" s="40" t="s">
        <v>275</v>
      </c>
      <c r="I39" s="31">
        <v>0.77549598488426996</v>
      </c>
    </row>
    <row r="40" spans="1:9" x14ac:dyDescent="0.2">
      <c r="A40" s="50" t="s">
        <v>275</v>
      </c>
      <c r="B40" s="63">
        <v>0.77549598488426996</v>
      </c>
      <c r="C40" s="50" t="s">
        <v>62</v>
      </c>
      <c r="D40" s="50" t="str">
        <f>SUBSTITUTE(SUBSTITUTE(SUBSTITUTE(A40, "'max_iter': 500,", ""), "'max_iter': 1000,", ""), "'max_iter': 1500,", "")</f>
        <v>{'activation': 'tanh', 'hidden_layer_sizes': 100, 'learning_rate_init': 0.01,  'solver': 'sgd'}</v>
      </c>
      <c r="E40">
        <f>_xlfn.RANK.EQ(B40,B$2:$B$479,0)</f>
        <v>34</v>
      </c>
      <c r="H40" s="40" t="s">
        <v>74</v>
      </c>
      <c r="I40" s="31">
        <v>0.77549598488426996</v>
      </c>
    </row>
    <row r="41" spans="1:9" x14ac:dyDescent="0.2">
      <c r="A41" s="50" t="s">
        <v>278</v>
      </c>
      <c r="B41" s="63">
        <v>0.77528409090909001</v>
      </c>
      <c r="C41" s="50" t="s">
        <v>62</v>
      </c>
      <c r="D41" s="50" t="str">
        <f>SUBSTITUTE(SUBSTITUTE(SUBSTITUTE(A41, "'max_iter': 500,", ""), "'max_iter': 1000,", ""), "'max_iter': 1500,", "")</f>
        <v>{'activation': 'tanh', 'hidden_layer_sizes': (100, 50), 'learning_rate_init': 0.001,  'solver': 'sgd'}</v>
      </c>
      <c r="E41">
        <f>_xlfn.RANK.EQ(B41,B$2:$B$479,0)</f>
        <v>40</v>
      </c>
      <c r="H41" s="40" t="s">
        <v>277</v>
      </c>
      <c r="I41" s="31">
        <v>0.77549598488426996</v>
      </c>
    </row>
    <row r="42" spans="1:9" x14ac:dyDescent="0.2">
      <c r="A42" s="50" t="s">
        <v>76</v>
      </c>
      <c r="B42" s="63">
        <v>0.77528409090909001</v>
      </c>
      <c r="C42" s="50" t="s">
        <v>62</v>
      </c>
      <c r="D42" s="50" t="str">
        <f>SUBSTITUTE(SUBSTITUTE(SUBSTITUTE(A42, "'max_iter': 500,", ""), "'max_iter': 1000,", ""), "'max_iter': 1500,", "")</f>
        <v>{'activation': 'tanh', 'hidden_layer_sizes': (100, 50), 'learning_rate_init': 0.001,  'solver': 'sgd'}</v>
      </c>
      <c r="E42">
        <f>_xlfn.RANK.EQ(B42,B$2:$B$479,0)</f>
        <v>40</v>
      </c>
      <c r="H42" s="40" t="s">
        <v>276</v>
      </c>
      <c r="I42" s="31">
        <v>0.77549598488426996</v>
      </c>
    </row>
    <row r="43" spans="1:9" x14ac:dyDescent="0.2">
      <c r="A43" s="50" t="s">
        <v>279</v>
      </c>
      <c r="B43" s="63">
        <v>0.77528409090909001</v>
      </c>
      <c r="C43" s="50" t="s">
        <v>62</v>
      </c>
      <c r="D43" s="50" t="str">
        <f>SUBSTITUTE(SUBSTITUTE(SUBSTITUTE(A43, "'max_iter': 500,", ""), "'max_iter': 1000,", ""), "'max_iter': 1500,", "")</f>
        <v>{'activation': 'tanh', 'hidden_layer_sizes': (100, 50), 'learning_rate_init': 0.001,  'solver': 'sgd'}</v>
      </c>
      <c r="E43">
        <f>_xlfn.RANK.EQ(B43,B$2:$B$479,0)</f>
        <v>40</v>
      </c>
      <c r="H43" s="40" t="s">
        <v>76</v>
      </c>
      <c r="I43" s="31">
        <v>0.77528409090909001</v>
      </c>
    </row>
    <row r="44" spans="1:9" x14ac:dyDescent="0.2">
      <c r="A44" s="50" t="s">
        <v>282</v>
      </c>
      <c r="B44" s="63">
        <v>0.77500000000000002</v>
      </c>
      <c r="C44" s="50" t="s">
        <v>62</v>
      </c>
      <c r="D44" s="50" t="str">
        <f>SUBSTITUTE(SUBSTITUTE(SUBSTITUTE(A44, "'max_iter': 500,", ""), "'max_iter': 1000,", ""), "'max_iter': 1500,", "")</f>
        <v>{'activation': 'identity', 'hidden_layer_sizes': (150, 75), 'learning_rate_init': 0.01,  'solver': 'adam'}</v>
      </c>
      <c r="E44">
        <f>_xlfn.RANK.EQ(B44,B$2:$B$479,0)</f>
        <v>43</v>
      </c>
      <c r="H44" s="40" t="s">
        <v>279</v>
      </c>
      <c r="I44" s="31">
        <v>0.77528409090909001</v>
      </c>
    </row>
    <row r="45" spans="1:9" x14ac:dyDescent="0.2">
      <c r="A45" s="50" t="s">
        <v>77</v>
      </c>
      <c r="B45" s="63">
        <v>0.77500000000000002</v>
      </c>
      <c r="C45" s="50" t="s">
        <v>62</v>
      </c>
      <c r="D45" s="50" t="str">
        <f>SUBSTITUTE(SUBSTITUTE(SUBSTITUTE(A45, "'max_iter': 500,", ""), "'max_iter': 1000,", ""), "'max_iter': 1500,", "")</f>
        <v>{'activation': 'identity', 'hidden_layer_sizes': (150, 75), 'learning_rate_init': 0.01,  'solver': 'adam'}</v>
      </c>
      <c r="E45">
        <f>_xlfn.RANK.EQ(B45,B$2:$B$479,0)</f>
        <v>43</v>
      </c>
      <c r="H45" s="40" t="s">
        <v>278</v>
      </c>
      <c r="I45" s="31">
        <v>0.77528409090909001</v>
      </c>
    </row>
    <row r="46" spans="1:9" x14ac:dyDescent="0.2">
      <c r="A46" s="50" t="s">
        <v>281</v>
      </c>
      <c r="B46" s="63">
        <v>0.77500000000000002</v>
      </c>
      <c r="C46" s="50" t="s">
        <v>62</v>
      </c>
      <c r="D46" s="50" t="str">
        <f>SUBSTITUTE(SUBSTITUTE(SUBSTITUTE(A46, "'max_iter': 500,", ""), "'max_iter': 1000,", ""), "'max_iter': 1500,", "")</f>
        <v>{'activation': 'identity', 'hidden_layer_sizes': (150, 75), 'learning_rate_init': 0.01,  'solver': 'adam'}</v>
      </c>
      <c r="E46">
        <f>_xlfn.RANK.EQ(B46,B$2:$B$479,0)</f>
        <v>43</v>
      </c>
      <c r="H46" s="40" t="s">
        <v>283</v>
      </c>
      <c r="I46" s="31">
        <v>0.77500000000000002</v>
      </c>
    </row>
    <row r="47" spans="1:9" x14ac:dyDescent="0.2">
      <c r="A47" s="50" t="s">
        <v>285</v>
      </c>
      <c r="B47" s="63">
        <v>0.77500000000000002</v>
      </c>
      <c r="C47" s="50" t="s">
        <v>62</v>
      </c>
      <c r="D47" s="50" t="str">
        <f>SUBSTITUTE(SUBSTITUTE(SUBSTITUTE(A47, "'max_iter': 500,", ""), "'max_iter': 1000,", ""), "'max_iter': 1500,", "")</f>
        <v>{'activation': 'identity', 'hidden_layer_sizes': 100, 'learning_rate_init': 0.01,  'solver': 'sgd'}</v>
      </c>
      <c r="E47">
        <f>_xlfn.RANK.EQ(B47,B$2:$B$479,0)</f>
        <v>43</v>
      </c>
      <c r="H47" s="40" t="s">
        <v>280</v>
      </c>
      <c r="I47" s="31">
        <v>0.77500000000000002</v>
      </c>
    </row>
    <row r="48" spans="1:9" x14ac:dyDescent="0.2">
      <c r="A48" s="50" t="s">
        <v>79</v>
      </c>
      <c r="B48" s="63">
        <v>0.77500000000000002</v>
      </c>
      <c r="C48" s="50" t="s">
        <v>62</v>
      </c>
      <c r="D48" s="50" t="str">
        <f>SUBSTITUTE(SUBSTITUTE(SUBSTITUTE(A48, "'max_iter': 500,", ""), "'max_iter': 1000,", ""), "'max_iter': 1500,", "")</f>
        <v>{'activation': 'identity', 'hidden_layer_sizes': 100, 'learning_rate_init': 0.01,  'solver': 'sgd'}</v>
      </c>
      <c r="E48">
        <f>_xlfn.RANK.EQ(B48,B$2:$B$479,0)</f>
        <v>43</v>
      </c>
      <c r="H48" s="40" t="s">
        <v>78</v>
      </c>
      <c r="I48" s="31">
        <v>0.77500000000000002</v>
      </c>
    </row>
    <row r="49" spans="1:9" x14ac:dyDescent="0.2">
      <c r="A49" s="50" t="s">
        <v>284</v>
      </c>
      <c r="B49" s="63">
        <v>0.77500000000000002</v>
      </c>
      <c r="C49" s="50" t="s">
        <v>62</v>
      </c>
      <c r="D49" s="50" t="str">
        <f>SUBSTITUTE(SUBSTITUTE(SUBSTITUTE(A49, "'max_iter': 500,", ""), "'max_iter': 1000,", ""), "'max_iter': 1500,", "")</f>
        <v>{'activation': 'identity', 'hidden_layer_sizes': 100, 'learning_rate_init': 0.01,  'solver': 'sgd'}</v>
      </c>
      <c r="E49">
        <f>_xlfn.RANK.EQ(B49,B$2:$B$479,0)</f>
        <v>43</v>
      </c>
      <c r="H49" s="40" t="s">
        <v>77</v>
      </c>
      <c r="I49" s="31">
        <v>0.77500000000000002</v>
      </c>
    </row>
    <row r="50" spans="1:9" x14ac:dyDescent="0.2">
      <c r="A50" s="50" t="s">
        <v>283</v>
      </c>
      <c r="B50" s="63">
        <v>0.77500000000000002</v>
      </c>
      <c r="C50" s="50" t="s">
        <v>62</v>
      </c>
      <c r="D50" s="50" t="str">
        <f>SUBSTITUTE(SUBSTITUTE(SUBSTITUTE(A50, "'max_iter': 500,", ""), "'max_iter': 1000,", ""), "'max_iter': 1500,", "")</f>
        <v>{'activation': 'tanh', 'hidden_layer_sizes': (100, 50), 'learning_rate_init': 0.001,  'solver': 'adam'}</v>
      </c>
      <c r="E50">
        <f>_xlfn.RANK.EQ(B50,B$2:$B$479,0)</f>
        <v>43</v>
      </c>
      <c r="H50" s="40" t="s">
        <v>79</v>
      </c>
      <c r="I50" s="31">
        <v>0.77500000000000002</v>
      </c>
    </row>
    <row r="51" spans="1:9" x14ac:dyDescent="0.2">
      <c r="A51" s="50" t="s">
        <v>78</v>
      </c>
      <c r="B51" s="63">
        <v>0.77500000000000002</v>
      </c>
      <c r="C51" s="50" t="s">
        <v>62</v>
      </c>
      <c r="D51" s="50" t="str">
        <f>SUBSTITUTE(SUBSTITUTE(SUBSTITUTE(A51, "'max_iter': 500,", ""), "'max_iter': 1000,", ""), "'max_iter': 1500,", "")</f>
        <v>{'activation': 'tanh', 'hidden_layer_sizes': (100, 50), 'learning_rate_init': 0.001,  'solver': 'adam'}</v>
      </c>
      <c r="E51">
        <f>_xlfn.RANK.EQ(B51,B$2:$B$479,0)</f>
        <v>43</v>
      </c>
      <c r="H51" s="40" t="s">
        <v>282</v>
      </c>
      <c r="I51" s="31">
        <v>0.77500000000000002</v>
      </c>
    </row>
    <row r="52" spans="1:9" x14ac:dyDescent="0.2">
      <c r="A52" s="50" t="s">
        <v>280</v>
      </c>
      <c r="B52" s="63">
        <v>0.77500000000000002</v>
      </c>
      <c r="C52" s="50" t="s">
        <v>62</v>
      </c>
      <c r="D52" s="50" t="str">
        <f>SUBSTITUTE(SUBSTITUTE(SUBSTITUTE(A52, "'max_iter': 500,", ""), "'max_iter': 1000,", ""), "'max_iter': 1500,", "")</f>
        <v>{'activation': 'tanh', 'hidden_layer_sizes': (100, 50), 'learning_rate_init': 0.001,  'solver': 'adam'}</v>
      </c>
      <c r="E52">
        <f>_xlfn.RANK.EQ(B52,B$2:$B$479,0)</f>
        <v>43</v>
      </c>
      <c r="H52" s="40" t="s">
        <v>285</v>
      </c>
      <c r="I52" s="31">
        <v>0.77500000000000002</v>
      </c>
    </row>
    <row r="53" spans="1:9" x14ac:dyDescent="0.2">
      <c r="A53" s="50" t="s">
        <v>287</v>
      </c>
      <c r="B53" s="63">
        <v>0.77464285714285697</v>
      </c>
      <c r="C53" s="50" t="s">
        <v>62</v>
      </c>
      <c r="D53" s="50" t="str">
        <f>SUBSTITUTE(SUBSTITUTE(SUBSTITUTE(A53, "'max_iter': 500,", ""), "'max_iter': 1000,", ""), "'max_iter': 1500,", "")</f>
        <v>{'activation': 'identity', 'hidden_layer_sizes': 150, 'learning_rate_init': 0.005,  'solver': 'adam'}</v>
      </c>
      <c r="E53">
        <f>_xlfn.RANK.EQ(B53,B$2:$B$479,0)</f>
        <v>52</v>
      </c>
      <c r="H53" s="40" t="s">
        <v>281</v>
      </c>
      <c r="I53" s="31">
        <v>0.77500000000000002</v>
      </c>
    </row>
    <row r="54" spans="1:9" x14ac:dyDescent="0.2">
      <c r="A54" s="50" t="s">
        <v>81</v>
      </c>
      <c r="B54" s="63">
        <v>0.77464285714285697</v>
      </c>
      <c r="C54" s="50" t="s">
        <v>62</v>
      </c>
      <c r="D54" s="50" t="str">
        <f>SUBSTITUTE(SUBSTITUTE(SUBSTITUTE(A54, "'max_iter': 500,", ""), "'max_iter': 1000,", ""), "'max_iter': 1500,", "")</f>
        <v>{'activation': 'identity', 'hidden_layer_sizes': 150, 'learning_rate_init': 0.005,  'solver': 'adam'}</v>
      </c>
      <c r="E54">
        <f>_xlfn.RANK.EQ(B54,B$2:$B$479,0)</f>
        <v>52</v>
      </c>
      <c r="H54" s="40" t="s">
        <v>284</v>
      </c>
      <c r="I54" s="31">
        <v>0.77500000000000002</v>
      </c>
    </row>
    <row r="55" spans="1:9" x14ac:dyDescent="0.2">
      <c r="A55" s="50" t="s">
        <v>289</v>
      </c>
      <c r="B55" s="63">
        <v>0.77464285714285697</v>
      </c>
      <c r="C55" s="50" t="s">
        <v>62</v>
      </c>
      <c r="D55" s="50" t="str">
        <f>SUBSTITUTE(SUBSTITUTE(SUBSTITUTE(A55, "'max_iter': 500,", ""), "'max_iter': 1000,", ""), "'max_iter': 1500,", "")</f>
        <v>{'activation': 'identity', 'hidden_layer_sizes': 150, 'learning_rate_init': 0.005,  'solver': 'adam'}</v>
      </c>
      <c r="E55">
        <f>_xlfn.RANK.EQ(B55,B$2:$B$479,0)</f>
        <v>52</v>
      </c>
      <c r="H55" s="40" t="s">
        <v>80</v>
      </c>
      <c r="I55" s="31">
        <v>0.77464285714285697</v>
      </c>
    </row>
    <row r="56" spans="1:9" x14ac:dyDescent="0.2">
      <c r="A56" s="50" t="s">
        <v>286</v>
      </c>
      <c r="B56" s="63">
        <v>0.77464285714285697</v>
      </c>
      <c r="C56" s="50" t="s">
        <v>62</v>
      </c>
      <c r="D56" s="50" t="str">
        <f>SUBSTITUTE(SUBSTITUTE(SUBSTITUTE(A56, "'max_iter': 500,", ""), "'max_iter': 1000,", ""), "'max_iter': 1500,", "")</f>
        <v>{'activation': 'identity', 'hidden_layer_sizes': 150, 'learning_rate_init': 0.01,  'solver': 'sgd'}</v>
      </c>
      <c r="E56">
        <f>_xlfn.RANK.EQ(B56,B$2:$B$479,0)</f>
        <v>52</v>
      </c>
      <c r="H56" s="40" t="s">
        <v>81</v>
      </c>
      <c r="I56" s="31">
        <v>0.77464285714285697</v>
      </c>
    </row>
    <row r="57" spans="1:9" x14ac:dyDescent="0.2">
      <c r="A57" s="50" t="s">
        <v>80</v>
      </c>
      <c r="B57" s="63">
        <v>0.77464285714285697</v>
      </c>
      <c r="C57" s="50" t="s">
        <v>62</v>
      </c>
      <c r="D57" s="50" t="str">
        <f>SUBSTITUTE(SUBSTITUTE(SUBSTITUTE(A57, "'max_iter': 500,", ""), "'max_iter': 1000,", ""), "'max_iter': 1500,", "")</f>
        <v>{'activation': 'identity', 'hidden_layer_sizes': 150, 'learning_rate_init': 0.01,  'solver': 'sgd'}</v>
      </c>
      <c r="E57">
        <f>_xlfn.RANK.EQ(B57,B$2:$B$479,0)</f>
        <v>52</v>
      </c>
      <c r="H57" s="40" t="s">
        <v>288</v>
      </c>
      <c r="I57" s="31">
        <v>0.77464285714285697</v>
      </c>
    </row>
    <row r="58" spans="1:9" x14ac:dyDescent="0.2">
      <c r="A58" s="50" t="s">
        <v>288</v>
      </c>
      <c r="B58" s="63">
        <v>0.77464285714285697</v>
      </c>
      <c r="C58" s="50" t="s">
        <v>62</v>
      </c>
      <c r="D58" s="50" t="str">
        <f>SUBSTITUTE(SUBSTITUTE(SUBSTITUTE(A58, "'max_iter': 500,", ""), "'max_iter': 1000,", ""), "'max_iter': 1500,", "")</f>
        <v>{'activation': 'identity', 'hidden_layer_sizes': 150, 'learning_rate_init': 0.01,  'solver': 'sgd'}</v>
      </c>
      <c r="E58">
        <f>_xlfn.RANK.EQ(B58,B$2:$B$479,0)</f>
        <v>52</v>
      </c>
      <c r="H58" s="40" t="s">
        <v>289</v>
      </c>
      <c r="I58" s="31">
        <v>0.77464285714285697</v>
      </c>
    </row>
    <row r="59" spans="1:9" x14ac:dyDescent="0.2">
      <c r="A59" s="50" t="s">
        <v>291</v>
      </c>
      <c r="B59" s="63">
        <v>0.77421165790730995</v>
      </c>
      <c r="C59" s="50" t="s">
        <v>62</v>
      </c>
      <c r="D59" s="50" t="str">
        <f>SUBSTITUTE(SUBSTITUTE(SUBSTITUTE(A59, "'max_iter': 500,", ""), "'max_iter': 1000,", ""), "'max_iter': 1500,", "")</f>
        <v>{'activation': 'identity', 'hidden_layer_sizes': (200, 100), 'learning_rate_init': 0.001,  'solver': 'sgd'}</v>
      </c>
      <c r="E59">
        <f>_xlfn.RANK.EQ(B59,B$2:$B$479,0)</f>
        <v>58</v>
      </c>
      <c r="H59" s="40" t="s">
        <v>286</v>
      </c>
      <c r="I59" s="31">
        <v>0.77464285714285697</v>
      </c>
    </row>
    <row r="60" spans="1:9" x14ac:dyDescent="0.2">
      <c r="A60" s="50" t="s">
        <v>82</v>
      </c>
      <c r="B60" s="63">
        <v>0.77421165790730995</v>
      </c>
      <c r="C60" s="50" t="s">
        <v>62</v>
      </c>
      <c r="D60" s="50" t="str">
        <f>SUBSTITUTE(SUBSTITUTE(SUBSTITUTE(A60, "'max_iter': 500,", ""), "'max_iter': 1000,", ""), "'max_iter': 1500,", "")</f>
        <v>{'activation': 'identity', 'hidden_layer_sizes': (200, 100), 'learning_rate_init': 0.001,  'solver': 'sgd'}</v>
      </c>
      <c r="E60">
        <f>_xlfn.RANK.EQ(B60,B$2:$B$479,0)</f>
        <v>58</v>
      </c>
      <c r="H60" s="40" t="s">
        <v>287</v>
      </c>
      <c r="I60" s="31">
        <v>0.77464285714285697</v>
      </c>
    </row>
    <row r="61" spans="1:9" x14ac:dyDescent="0.2">
      <c r="A61" s="50" t="s">
        <v>290</v>
      </c>
      <c r="B61" s="63">
        <v>0.77421165790730995</v>
      </c>
      <c r="C61" s="50" t="s">
        <v>62</v>
      </c>
      <c r="D61" s="50" t="str">
        <f>SUBSTITUTE(SUBSTITUTE(SUBSTITUTE(A61, "'max_iter': 500,", ""), "'max_iter': 1000,", ""), "'max_iter': 1500,", "")</f>
        <v>{'activation': 'identity', 'hidden_layer_sizes': (200, 100), 'learning_rate_init': 0.001,  'solver': 'sgd'}</v>
      </c>
      <c r="E61">
        <f>_xlfn.RANK.EQ(B61,B$2:$B$479,0)</f>
        <v>58</v>
      </c>
      <c r="H61" s="40" t="s">
        <v>291</v>
      </c>
      <c r="I61" s="31">
        <v>0.77421165790730995</v>
      </c>
    </row>
    <row r="62" spans="1:9" x14ac:dyDescent="0.2">
      <c r="A62" s="50" t="s">
        <v>292</v>
      </c>
      <c r="B62" s="63">
        <v>0.769484011912692</v>
      </c>
      <c r="C62" s="50" t="s">
        <v>62</v>
      </c>
      <c r="D62" s="50" t="str">
        <f>SUBSTITUTE(SUBSTITUTE(SUBSTITUTE(A62, "'max_iter': 500,", ""), "'max_iter': 1000,", ""), "'max_iter': 1500,", "")</f>
        <v>{'activation': 'tanh', 'hidden_layer_sizes': (200, 100, 50), 'learning_rate_init': 0.001,  'solver': 'sgd'}</v>
      </c>
      <c r="E62">
        <f>_xlfn.RANK.EQ(B62,B$2:$B$479,0)</f>
        <v>61</v>
      </c>
      <c r="H62" s="40" t="s">
        <v>82</v>
      </c>
      <c r="I62" s="31">
        <v>0.77421165790730995</v>
      </c>
    </row>
    <row r="63" spans="1:9" x14ac:dyDescent="0.2">
      <c r="A63" s="50" t="s">
        <v>83</v>
      </c>
      <c r="B63" s="63">
        <v>0.769484011912692</v>
      </c>
      <c r="C63" s="50" t="s">
        <v>62</v>
      </c>
      <c r="D63" s="50" t="str">
        <f>SUBSTITUTE(SUBSTITUTE(SUBSTITUTE(A63, "'max_iter': 500,", ""), "'max_iter': 1000,", ""), "'max_iter': 1500,", "")</f>
        <v>{'activation': 'tanh', 'hidden_layer_sizes': (200, 100, 50), 'learning_rate_init': 0.001,  'solver': 'sgd'}</v>
      </c>
      <c r="E63">
        <f>_xlfn.RANK.EQ(B63,B$2:$B$479,0)</f>
        <v>61</v>
      </c>
      <c r="H63" s="40" t="s">
        <v>290</v>
      </c>
      <c r="I63" s="31">
        <v>0.77421165790730995</v>
      </c>
    </row>
    <row r="64" spans="1:9" x14ac:dyDescent="0.2">
      <c r="A64" s="50" t="s">
        <v>293</v>
      </c>
      <c r="B64" s="63">
        <v>0.769484011912692</v>
      </c>
      <c r="C64" s="50" t="s">
        <v>62</v>
      </c>
      <c r="D64" s="50" t="str">
        <f>SUBSTITUTE(SUBSTITUTE(SUBSTITUTE(A64, "'max_iter': 500,", ""), "'max_iter': 1000,", ""), "'max_iter': 1500,", "")</f>
        <v>{'activation': 'tanh', 'hidden_layer_sizes': (200, 100, 50), 'learning_rate_init': 0.001,  'solver': 'sgd'}</v>
      </c>
      <c r="E64">
        <f>_xlfn.RANK.EQ(B64,B$2:$B$479,0)</f>
        <v>61</v>
      </c>
      <c r="H64" s="40" t="s">
        <v>292</v>
      </c>
      <c r="I64" s="31">
        <v>0.769484011912692</v>
      </c>
    </row>
    <row r="65" spans="1:9" x14ac:dyDescent="0.2">
      <c r="A65" s="50" t="s">
        <v>295</v>
      </c>
      <c r="B65" s="63">
        <v>0.76944885984536204</v>
      </c>
      <c r="C65" s="50" t="s">
        <v>62</v>
      </c>
      <c r="D65" s="50" t="str">
        <f>SUBSTITUTE(SUBSTITUTE(SUBSTITUTE(A65, "'max_iter': 500,", ""), "'max_iter': 1000,", ""), "'max_iter': 1500,", "")</f>
        <v>{'activation': 'relu', 'hidden_layer_sizes': (200, 100, 50), 'learning_rate_init': 0.001,  'solver': 'adam'}</v>
      </c>
      <c r="E65">
        <f>_xlfn.RANK.EQ(B65,B$2:$B$479,0)</f>
        <v>64</v>
      </c>
      <c r="H65" s="40" t="s">
        <v>83</v>
      </c>
      <c r="I65" s="31">
        <v>0.769484011912692</v>
      </c>
    </row>
    <row r="66" spans="1:9" x14ac:dyDescent="0.2">
      <c r="A66" s="50" t="s">
        <v>84</v>
      </c>
      <c r="B66" s="63">
        <v>0.76944885984536204</v>
      </c>
      <c r="C66" s="50" t="s">
        <v>62</v>
      </c>
      <c r="D66" s="50" t="str">
        <f>SUBSTITUTE(SUBSTITUTE(SUBSTITUTE(A66, "'max_iter': 500,", ""), "'max_iter': 1000,", ""), "'max_iter': 1500,", "")</f>
        <v>{'activation': 'relu', 'hidden_layer_sizes': (200, 100, 50), 'learning_rate_init': 0.001,  'solver': 'adam'}</v>
      </c>
      <c r="E66">
        <f>_xlfn.RANK.EQ(B66,B$2:$B$479,0)</f>
        <v>64</v>
      </c>
      <c r="H66" s="40" t="s">
        <v>293</v>
      </c>
      <c r="I66" s="31">
        <v>0.769484011912692</v>
      </c>
    </row>
    <row r="67" spans="1:9" x14ac:dyDescent="0.2">
      <c r="A67" s="50" t="s">
        <v>294</v>
      </c>
      <c r="B67" s="63">
        <v>0.76944885984536204</v>
      </c>
      <c r="C67" s="50" t="s">
        <v>62</v>
      </c>
      <c r="D67" s="50" t="str">
        <f>SUBSTITUTE(SUBSTITUTE(SUBSTITUTE(A67, "'max_iter': 500,", ""), "'max_iter': 1000,", ""), "'max_iter': 1500,", "")</f>
        <v>{'activation': 'relu', 'hidden_layer_sizes': (200, 100, 50), 'learning_rate_init': 0.001,  'solver': 'adam'}</v>
      </c>
      <c r="E67">
        <f>_xlfn.RANK.EQ(B67,B$2:$B$479,0)</f>
        <v>64</v>
      </c>
      <c r="H67" s="40" t="s">
        <v>294</v>
      </c>
      <c r="I67" s="31">
        <v>0.76944885984536204</v>
      </c>
    </row>
    <row r="68" spans="1:9" x14ac:dyDescent="0.2">
      <c r="A68" s="50" t="s">
        <v>297</v>
      </c>
      <c r="B68" s="63">
        <v>0.76934106012347103</v>
      </c>
      <c r="C68" s="50" t="s">
        <v>62</v>
      </c>
      <c r="D68" s="50" t="str">
        <f>SUBSTITUTE(SUBSTITUTE(SUBSTITUTE(A68, "'max_iter': 500,", ""), "'max_iter': 1000,", ""), "'max_iter': 1500,", "")</f>
        <v>{'activation': 'logistic', 'hidden_layer_sizes': 50, 'learning_rate_init': 0.005,  'solver': 'adam'}</v>
      </c>
      <c r="E68">
        <f>_xlfn.RANK.EQ(B68,B$2:$B$479,0)</f>
        <v>67</v>
      </c>
      <c r="H68" s="40" t="s">
        <v>84</v>
      </c>
      <c r="I68" s="31">
        <v>0.76944885984536204</v>
      </c>
    </row>
    <row r="69" spans="1:9" x14ac:dyDescent="0.2">
      <c r="A69" s="50" t="s">
        <v>86</v>
      </c>
      <c r="B69" s="63">
        <v>0.76934106012347103</v>
      </c>
      <c r="C69" s="50" t="s">
        <v>62</v>
      </c>
      <c r="D69" s="50" t="str">
        <f>SUBSTITUTE(SUBSTITUTE(SUBSTITUTE(A69, "'max_iter': 500,", ""), "'max_iter': 1000,", ""), "'max_iter': 1500,", "")</f>
        <v>{'activation': 'logistic', 'hidden_layer_sizes': 50, 'learning_rate_init': 0.005,  'solver': 'adam'}</v>
      </c>
      <c r="E69">
        <f>_xlfn.RANK.EQ(B69,B$2:$B$479,0)</f>
        <v>67</v>
      </c>
      <c r="H69" s="40" t="s">
        <v>295</v>
      </c>
      <c r="I69" s="31">
        <v>0.76944885984536204</v>
      </c>
    </row>
    <row r="70" spans="1:9" x14ac:dyDescent="0.2">
      <c r="A70" s="50" t="s">
        <v>299</v>
      </c>
      <c r="B70" s="63">
        <v>0.76934106012347103</v>
      </c>
      <c r="C70" s="50" t="s">
        <v>62</v>
      </c>
      <c r="D70" s="50" t="str">
        <f>SUBSTITUTE(SUBSTITUTE(SUBSTITUTE(A70, "'max_iter': 500,", ""), "'max_iter': 1000,", ""), "'max_iter': 1500,", "")</f>
        <v>{'activation': 'logistic', 'hidden_layer_sizes': 50, 'learning_rate_init': 0.005,  'solver': 'adam'}</v>
      </c>
      <c r="E70">
        <f>_xlfn.RANK.EQ(B70,B$2:$B$479,0)</f>
        <v>67</v>
      </c>
      <c r="H70" s="40" t="s">
        <v>85</v>
      </c>
      <c r="I70" s="31">
        <v>0.76934106012347103</v>
      </c>
    </row>
    <row r="71" spans="1:9" x14ac:dyDescent="0.2">
      <c r="A71" s="50" t="s">
        <v>298</v>
      </c>
      <c r="B71" s="63">
        <v>0.76934106012347103</v>
      </c>
      <c r="C71" s="50" t="s">
        <v>62</v>
      </c>
      <c r="D71" s="50" t="str">
        <f>SUBSTITUTE(SUBSTITUTE(SUBSTITUTE(A71, "'max_iter': 500,", ""), "'max_iter': 1000,", ""), "'max_iter': 1500,", "")</f>
        <v>{'activation': 'relu', 'hidden_layer_sizes': (200, 100, 50), 'learning_rate_init': 0.001,  'solver': 'sgd'}</v>
      </c>
      <c r="E71">
        <f>_xlfn.RANK.EQ(B71,B$2:$B$479,0)</f>
        <v>67</v>
      </c>
      <c r="H71" s="40" t="s">
        <v>298</v>
      </c>
      <c r="I71" s="31">
        <v>0.76934106012347103</v>
      </c>
    </row>
    <row r="72" spans="1:9" x14ac:dyDescent="0.2">
      <c r="A72" s="50" t="s">
        <v>85</v>
      </c>
      <c r="B72" s="63">
        <v>0.76934106012347103</v>
      </c>
      <c r="C72" s="50" t="s">
        <v>62</v>
      </c>
      <c r="D72" s="50" t="str">
        <f>SUBSTITUTE(SUBSTITUTE(SUBSTITUTE(A72, "'max_iter': 500,", ""), "'max_iter': 1000,", ""), "'max_iter': 1500,", "")</f>
        <v>{'activation': 'relu', 'hidden_layer_sizes': (200, 100, 50), 'learning_rate_init': 0.001,  'solver': 'sgd'}</v>
      </c>
      <c r="E72">
        <f>_xlfn.RANK.EQ(B72,B$2:$B$479,0)</f>
        <v>67</v>
      </c>
      <c r="H72" s="40" t="s">
        <v>296</v>
      </c>
      <c r="I72" s="31">
        <v>0.76934106012347103</v>
      </c>
    </row>
    <row r="73" spans="1:9" x14ac:dyDescent="0.2">
      <c r="A73" s="50" t="s">
        <v>296</v>
      </c>
      <c r="B73" s="63">
        <v>0.76934106012347103</v>
      </c>
      <c r="C73" s="50" t="s">
        <v>62</v>
      </c>
      <c r="D73" s="50" t="str">
        <f>SUBSTITUTE(SUBSTITUTE(SUBSTITUTE(A73, "'max_iter': 500,", ""), "'max_iter': 1000,", ""), "'max_iter': 1500,", "")</f>
        <v>{'activation': 'relu', 'hidden_layer_sizes': (200, 100, 50), 'learning_rate_init': 0.001,  'solver': 'sgd'}</v>
      </c>
      <c r="E73">
        <f>_xlfn.RANK.EQ(B73,B$2:$B$479,0)</f>
        <v>67</v>
      </c>
      <c r="H73" s="40" t="s">
        <v>86</v>
      </c>
      <c r="I73" s="31">
        <v>0.76934106012347103</v>
      </c>
    </row>
    <row r="74" spans="1:9" x14ac:dyDescent="0.2">
      <c r="A74" s="50" t="s">
        <v>302</v>
      </c>
      <c r="B74" s="63">
        <v>0.76916009852216705</v>
      </c>
      <c r="C74" s="50" t="s">
        <v>62</v>
      </c>
      <c r="D74" s="50" t="str">
        <f>SUBSTITUTE(SUBSTITUTE(SUBSTITUTE(A74, "'max_iter': 500,", ""), "'max_iter': 1000,", ""), "'max_iter': 1500,", "")</f>
        <v>{'activation': 'identity', 'hidden_layer_sizes': (200, 100, 50), 'learning_rate_init': 0.005,  'solver': 'sgd'}</v>
      </c>
      <c r="E74">
        <f>_xlfn.RANK.EQ(B74,B$2:$B$479,0)</f>
        <v>73</v>
      </c>
      <c r="H74" s="40" t="s">
        <v>297</v>
      </c>
      <c r="I74" s="31">
        <v>0.76934106012347103</v>
      </c>
    </row>
    <row r="75" spans="1:9" x14ac:dyDescent="0.2">
      <c r="A75" s="50" t="s">
        <v>89</v>
      </c>
      <c r="B75" s="63">
        <v>0.76916009852216705</v>
      </c>
      <c r="C75" s="50" t="s">
        <v>62</v>
      </c>
      <c r="D75" s="50" t="str">
        <f>SUBSTITUTE(SUBSTITUTE(SUBSTITUTE(A75, "'max_iter': 500,", ""), "'max_iter': 1000,", ""), "'max_iter': 1500,", "")</f>
        <v>{'activation': 'identity', 'hidden_layer_sizes': (200, 100, 50), 'learning_rate_init': 0.005,  'solver': 'sgd'}</v>
      </c>
      <c r="E75">
        <f>_xlfn.RANK.EQ(B75,B$2:$B$479,0)</f>
        <v>73</v>
      </c>
      <c r="H75" s="40" t="s">
        <v>299</v>
      </c>
      <c r="I75" s="31">
        <v>0.76934106012347103</v>
      </c>
    </row>
    <row r="76" spans="1:9" x14ac:dyDescent="0.2">
      <c r="A76" s="50" t="s">
        <v>305</v>
      </c>
      <c r="B76" s="63">
        <v>0.76916009852216705</v>
      </c>
      <c r="C76" s="50" t="s">
        <v>62</v>
      </c>
      <c r="D76" s="50" t="str">
        <f>SUBSTITUTE(SUBSTITUTE(SUBSTITUTE(A76, "'max_iter': 500,", ""), "'max_iter': 1000,", ""), "'max_iter': 1500,", "")</f>
        <v>{'activation': 'identity', 'hidden_layer_sizes': (200, 100, 50), 'learning_rate_init': 0.005,  'solver': 'sgd'}</v>
      </c>
      <c r="E76">
        <f>_xlfn.RANK.EQ(B76,B$2:$B$479,0)</f>
        <v>73</v>
      </c>
      <c r="H76" s="40" t="s">
        <v>304</v>
      </c>
      <c r="I76" s="31">
        <v>0.76916009852216705</v>
      </c>
    </row>
    <row r="77" spans="1:9" x14ac:dyDescent="0.2">
      <c r="A77" s="50" t="s">
        <v>307</v>
      </c>
      <c r="B77" s="63">
        <v>0.76916009852216705</v>
      </c>
      <c r="C77" s="50" t="s">
        <v>62</v>
      </c>
      <c r="D77" s="50" t="str">
        <f>SUBSTITUTE(SUBSTITUTE(SUBSTITUTE(A77, "'max_iter': 500,", ""), "'max_iter': 1000,", ""), "'max_iter': 1500,", "")</f>
        <v>{'activation': 'logistic', 'hidden_layer_sizes': (200, 100, 50), 'learning_rate_init': 0.01,  'solver': 'adam'}</v>
      </c>
      <c r="E77">
        <f>_xlfn.RANK.EQ(B77,B$2:$B$479,0)</f>
        <v>73</v>
      </c>
      <c r="H77" s="40" t="s">
        <v>301</v>
      </c>
      <c r="I77" s="31">
        <v>0.76916009852216705</v>
      </c>
    </row>
    <row r="78" spans="1:9" x14ac:dyDescent="0.2">
      <c r="A78" s="50" t="s">
        <v>88</v>
      </c>
      <c r="B78" s="63">
        <v>0.76916009852216705</v>
      </c>
      <c r="C78" s="50" t="s">
        <v>62</v>
      </c>
      <c r="D78" s="50" t="str">
        <f>SUBSTITUTE(SUBSTITUTE(SUBSTITUTE(A78, "'max_iter': 500,", ""), "'max_iter': 1000,", ""), "'max_iter': 1500,", "")</f>
        <v>{'activation': 'logistic', 'hidden_layer_sizes': (200, 100, 50), 'learning_rate_init': 0.01,  'solver': 'adam'}</v>
      </c>
      <c r="E78">
        <f>_xlfn.RANK.EQ(B78,B$2:$B$479,0)</f>
        <v>73</v>
      </c>
      <c r="H78" s="40" t="s">
        <v>90</v>
      </c>
      <c r="I78" s="31">
        <v>0.76916009852216705</v>
      </c>
    </row>
    <row r="79" spans="1:9" x14ac:dyDescent="0.2">
      <c r="A79" s="50" t="s">
        <v>308</v>
      </c>
      <c r="B79" s="63">
        <v>0.76916009852216705</v>
      </c>
      <c r="C79" s="50" t="s">
        <v>62</v>
      </c>
      <c r="D79" s="50" t="str">
        <f>SUBSTITUTE(SUBSTITUTE(SUBSTITUTE(A79, "'max_iter': 500,", ""), "'max_iter': 1000,", ""), "'max_iter': 1500,", "")</f>
        <v>{'activation': 'logistic', 'hidden_layer_sizes': (200, 100, 50), 'learning_rate_init': 0.01,  'solver': 'adam'}</v>
      </c>
      <c r="E79">
        <f>_xlfn.RANK.EQ(B79,B$2:$B$479,0)</f>
        <v>73</v>
      </c>
      <c r="H79" s="40" t="s">
        <v>303</v>
      </c>
      <c r="I79" s="31">
        <v>0.76916009852216705</v>
      </c>
    </row>
    <row r="80" spans="1:9" x14ac:dyDescent="0.2">
      <c r="A80" s="50" t="s">
        <v>306</v>
      </c>
      <c r="B80" s="63">
        <v>0.76916009852216705</v>
      </c>
      <c r="C80" s="50" t="s">
        <v>62</v>
      </c>
      <c r="D80" s="50" t="str">
        <f>SUBSTITUTE(SUBSTITUTE(SUBSTITUTE(A80, "'max_iter': 500,", ""), "'max_iter': 1000,", ""), "'max_iter': 1500,", "")</f>
        <v>{'activation': 'logistic', 'hidden_layer_sizes': 50, 'learning_rate_init': 0.005,  'solver': 'sgd'}</v>
      </c>
      <c r="E80">
        <f>_xlfn.RANK.EQ(B80,B$2:$B$479,0)</f>
        <v>73</v>
      </c>
      <c r="H80" s="40" t="s">
        <v>87</v>
      </c>
      <c r="I80" s="31">
        <v>0.76916009852216705</v>
      </c>
    </row>
    <row r="81" spans="1:9" x14ac:dyDescent="0.2">
      <c r="A81" s="50" t="s">
        <v>91</v>
      </c>
      <c r="B81" s="63">
        <v>0.76916009852216705</v>
      </c>
      <c r="C81" s="50" t="s">
        <v>62</v>
      </c>
      <c r="D81" s="50" t="str">
        <f>SUBSTITUTE(SUBSTITUTE(SUBSTITUTE(A81, "'max_iter': 500,", ""), "'max_iter': 1000,", ""), "'max_iter': 1500,", "")</f>
        <v>{'activation': 'logistic', 'hidden_layer_sizes': 50, 'learning_rate_init': 0.005,  'solver': 'sgd'}</v>
      </c>
      <c r="E81">
        <f>_xlfn.RANK.EQ(B81,B$2:$B$479,0)</f>
        <v>73</v>
      </c>
      <c r="H81" s="40" t="s">
        <v>300</v>
      </c>
      <c r="I81" s="31">
        <v>0.76916009852216705</v>
      </c>
    </row>
    <row r="82" spans="1:9" x14ac:dyDescent="0.2">
      <c r="A82" s="50" t="s">
        <v>309</v>
      </c>
      <c r="B82" s="63">
        <v>0.76916009852216705</v>
      </c>
      <c r="C82" s="50" t="s">
        <v>62</v>
      </c>
      <c r="D82" s="50" t="str">
        <f>SUBSTITUTE(SUBSTITUTE(SUBSTITUTE(A82, "'max_iter': 500,", ""), "'max_iter': 1000,", ""), "'max_iter': 1500,", "")</f>
        <v>{'activation': 'logistic', 'hidden_layer_sizes': 50, 'learning_rate_init': 0.005,  'solver': 'sgd'}</v>
      </c>
      <c r="E82">
        <f>_xlfn.RANK.EQ(B82,B$2:$B$479,0)</f>
        <v>73</v>
      </c>
      <c r="H82" s="40" t="s">
        <v>305</v>
      </c>
      <c r="I82" s="31">
        <v>0.76916009852216705</v>
      </c>
    </row>
    <row r="83" spans="1:9" x14ac:dyDescent="0.2">
      <c r="A83" s="50" t="s">
        <v>303</v>
      </c>
      <c r="B83" s="63">
        <v>0.76916009852216705</v>
      </c>
      <c r="C83" s="50" t="s">
        <v>62</v>
      </c>
      <c r="D83" s="50" t="str">
        <f>SUBSTITUTE(SUBSTITUTE(SUBSTITUTE(A83, "'max_iter': 500,", ""), "'max_iter': 1000,", ""), "'max_iter': 1500,", "")</f>
        <v>{'activation': 'relu', 'hidden_layer_sizes': 100, 'learning_rate_init': 0.005,  'solver': 'sgd'}</v>
      </c>
      <c r="E83">
        <f>_xlfn.RANK.EQ(B83,B$2:$B$479,0)</f>
        <v>73</v>
      </c>
      <c r="H83" s="40" t="s">
        <v>89</v>
      </c>
      <c r="I83" s="31">
        <v>0.76916009852216705</v>
      </c>
    </row>
    <row r="84" spans="1:9" x14ac:dyDescent="0.2">
      <c r="A84" s="50" t="s">
        <v>87</v>
      </c>
      <c r="B84" s="63">
        <v>0.76916009852216705</v>
      </c>
      <c r="C84" s="50" t="s">
        <v>62</v>
      </c>
      <c r="D84" s="50" t="str">
        <f>SUBSTITUTE(SUBSTITUTE(SUBSTITUTE(A84, "'max_iter': 500,", ""), "'max_iter': 1000,", ""), "'max_iter': 1500,", "")</f>
        <v>{'activation': 'relu', 'hidden_layer_sizes': 100, 'learning_rate_init': 0.005,  'solver': 'sgd'}</v>
      </c>
      <c r="E84">
        <f>_xlfn.RANK.EQ(B84,B$2:$B$479,0)</f>
        <v>73</v>
      </c>
      <c r="H84" s="40" t="s">
        <v>308</v>
      </c>
      <c r="I84" s="31">
        <v>0.76916009852216705</v>
      </c>
    </row>
    <row r="85" spans="1:9" x14ac:dyDescent="0.2">
      <c r="A85" s="50" t="s">
        <v>300</v>
      </c>
      <c r="B85" s="63">
        <v>0.76916009852216705</v>
      </c>
      <c r="C85" s="50" t="s">
        <v>62</v>
      </c>
      <c r="D85" s="50" t="str">
        <f>SUBSTITUTE(SUBSTITUTE(SUBSTITUTE(A85, "'max_iter': 500,", ""), "'max_iter': 1000,", ""), "'max_iter': 1500,", "")</f>
        <v>{'activation': 'relu', 'hidden_layer_sizes': 100, 'learning_rate_init': 0.005,  'solver': 'sgd'}</v>
      </c>
      <c r="E85">
        <f>_xlfn.RANK.EQ(B85,B$2:$B$479,0)</f>
        <v>73</v>
      </c>
      <c r="H85" s="40" t="s">
        <v>302</v>
      </c>
      <c r="I85" s="31">
        <v>0.76916009852216705</v>
      </c>
    </row>
    <row r="86" spans="1:9" x14ac:dyDescent="0.2">
      <c r="A86" s="50" t="s">
        <v>304</v>
      </c>
      <c r="B86" s="63">
        <v>0.76916009852216705</v>
      </c>
      <c r="C86" s="50" t="s">
        <v>62</v>
      </c>
      <c r="D86" s="50" t="str">
        <f>SUBSTITUTE(SUBSTITUTE(SUBSTITUTE(A86, "'max_iter': 500,", ""), "'max_iter': 1000,", ""), "'max_iter': 1500,", "")</f>
        <v>{'activation': 'relu', 'hidden_layer_sizes': 100, 'learning_rate_init': 0.01,  'solver': 'sgd'}</v>
      </c>
      <c r="E86">
        <f>_xlfn.RANK.EQ(B86,B$2:$B$479,0)</f>
        <v>73</v>
      </c>
      <c r="H86" s="40" t="s">
        <v>306</v>
      </c>
      <c r="I86" s="31">
        <v>0.76916009852216705</v>
      </c>
    </row>
    <row r="87" spans="1:9" x14ac:dyDescent="0.2">
      <c r="A87" s="50" t="s">
        <v>90</v>
      </c>
      <c r="B87" s="63">
        <v>0.76916009852216705</v>
      </c>
      <c r="C87" s="50" t="s">
        <v>62</v>
      </c>
      <c r="D87" s="50" t="str">
        <f>SUBSTITUTE(SUBSTITUTE(SUBSTITUTE(A87, "'max_iter': 500,", ""), "'max_iter': 1000,", ""), "'max_iter': 1500,", "")</f>
        <v>{'activation': 'relu', 'hidden_layer_sizes': 100, 'learning_rate_init': 0.01,  'solver': 'sgd'}</v>
      </c>
      <c r="E87">
        <f>_xlfn.RANK.EQ(B87,B$2:$B$479,0)</f>
        <v>73</v>
      </c>
      <c r="H87" s="40" t="s">
        <v>91</v>
      </c>
      <c r="I87" s="31">
        <v>0.76916009852216705</v>
      </c>
    </row>
    <row r="88" spans="1:9" x14ac:dyDescent="0.2">
      <c r="A88" s="50" t="s">
        <v>301</v>
      </c>
      <c r="B88" s="63">
        <v>0.76916009852216705</v>
      </c>
      <c r="C88" s="50" t="s">
        <v>62</v>
      </c>
      <c r="D88" s="50" t="str">
        <f>SUBSTITUTE(SUBSTITUTE(SUBSTITUTE(A88, "'max_iter': 500,", ""), "'max_iter': 1000,", ""), "'max_iter': 1500,", "")</f>
        <v>{'activation': 'relu', 'hidden_layer_sizes': 100, 'learning_rate_init': 0.01,  'solver': 'sgd'}</v>
      </c>
      <c r="E88">
        <f>_xlfn.RANK.EQ(B88,B$2:$B$479,0)</f>
        <v>73</v>
      </c>
      <c r="H88" s="40" t="s">
        <v>88</v>
      </c>
      <c r="I88" s="31">
        <v>0.76916009852216705</v>
      </c>
    </row>
    <row r="89" spans="1:9" x14ac:dyDescent="0.2">
      <c r="A89" s="50" t="s">
        <v>317</v>
      </c>
      <c r="B89" s="63">
        <v>0.76890531784599503</v>
      </c>
      <c r="C89" s="50" t="s">
        <v>62</v>
      </c>
      <c r="D89" s="50" t="str">
        <f>SUBSTITUTE(SUBSTITUTE(SUBSTITUTE(A89, "'max_iter': 500,", ""), "'max_iter': 1000,", ""), "'max_iter': 1500,", "")</f>
        <v>{'activation': 'identity', 'hidden_layer_sizes': (150, 75), 'learning_rate_init': 0.001,  'solver': 'sgd'}</v>
      </c>
      <c r="E89">
        <f>_xlfn.RANK.EQ(B89,B$2:$B$479,0)</f>
        <v>88</v>
      </c>
      <c r="H89" s="40" t="s">
        <v>307</v>
      </c>
      <c r="I89" s="31">
        <v>0.76916009852216705</v>
      </c>
    </row>
    <row r="90" spans="1:9" x14ac:dyDescent="0.2">
      <c r="A90" s="50" t="s">
        <v>94</v>
      </c>
      <c r="B90" s="63">
        <v>0.76890531784599503</v>
      </c>
      <c r="C90" s="50" t="s">
        <v>62</v>
      </c>
      <c r="D90" s="50" t="str">
        <f>SUBSTITUTE(SUBSTITUTE(SUBSTITUTE(A90, "'max_iter': 500,", ""), "'max_iter': 1000,", ""), "'max_iter': 1500,", "")</f>
        <v>{'activation': 'identity', 'hidden_layer_sizes': (150, 75), 'learning_rate_init': 0.001,  'solver': 'sgd'}</v>
      </c>
      <c r="E90">
        <f>_xlfn.RANK.EQ(B90,B$2:$B$479,0)</f>
        <v>88</v>
      </c>
      <c r="H90" s="40" t="s">
        <v>309</v>
      </c>
      <c r="I90" s="31">
        <v>0.76916009852216705</v>
      </c>
    </row>
    <row r="91" spans="1:9" x14ac:dyDescent="0.2">
      <c r="A91" s="50" t="s">
        <v>316</v>
      </c>
      <c r="B91" s="63">
        <v>0.76890531784599503</v>
      </c>
      <c r="C91" s="50" t="s">
        <v>62</v>
      </c>
      <c r="D91" s="50" t="str">
        <f>SUBSTITUTE(SUBSTITUTE(SUBSTITUTE(A91, "'max_iter': 500,", ""), "'max_iter': 1000,", ""), "'max_iter': 1500,", "")</f>
        <v>{'activation': 'identity', 'hidden_layer_sizes': (150, 75), 'learning_rate_init': 0.001,  'solver': 'sgd'}</v>
      </c>
      <c r="E91">
        <f>_xlfn.RANK.EQ(B91,B$2:$B$479,0)</f>
        <v>88</v>
      </c>
      <c r="H91" s="40" t="s">
        <v>93</v>
      </c>
      <c r="I91" s="31">
        <v>0.76890531784599503</v>
      </c>
    </row>
    <row r="92" spans="1:9" x14ac:dyDescent="0.2">
      <c r="A92" s="50" t="s">
        <v>312</v>
      </c>
      <c r="B92" s="63">
        <v>0.76890531784599503</v>
      </c>
      <c r="C92" s="50" t="s">
        <v>62</v>
      </c>
      <c r="D92" s="50" t="str">
        <f>SUBSTITUTE(SUBSTITUTE(SUBSTITUTE(A92, "'max_iter': 500,", ""), "'max_iter': 1000,", ""), "'max_iter': 1500,", "")</f>
        <v>{'activation': 'identity', 'hidden_layer_sizes': (200, 75, 25), 'learning_rate_init': 0.01,  'solver': 'sgd'}</v>
      </c>
      <c r="E92">
        <f>_xlfn.RANK.EQ(B92,B$2:$B$479,0)</f>
        <v>88</v>
      </c>
      <c r="H92" s="40" t="s">
        <v>310</v>
      </c>
      <c r="I92" s="31">
        <v>0.76890531784599503</v>
      </c>
    </row>
    <row r="93" spans="1:9" x14ac:dyDescent="0.2">
      <c r="A93" s="50" t="s">
        <v>92</v>
      </c>
      <c r="B93" s="63">
        <v>0.76890531784599503</v>
      </c>
      <c r="C93" s="50" t="s">
        <v>62</v>
      </c>
      <c r="D93" s="50" t="str">
        <f>SUBSTITUTE(SUBSTITUTE(SUBSTITUTE(A93, "'max_iter': 500,", ""), "'max_iter': 1000,", ""), "'max_iter': 1500,", "")</f>
        <v>{'activation': 'identity', 'hidden_layer_sizes': (200, 75, 25), 'learning_rate_init': 0.01,  'solver': 'sgd'}</v>
      </c>
      <c r="E93">
        <f>_xlfn.RANK.EQ(B93,B$2:$B$479,0)</f>
        <v>88</v>
      </c>
      <c r="H93" s="40" t="s">
        <v>314</v>
      </c>
      <c r="I93" s="31">
        <v>0.76890531784599503</v>
      </c>
    </row>
    <row r="94" spans="1:9" x14ac:dyDescent="0.2">
      <c r="A94" s="50" t="s">
        <v>313</v>
      </c>
      <c r="B94" s="63">
        <v>0.76890531784599503</v>
      </c>
      <c r="C94" s="50" t="s">
        <v>62</v>
      </c>
      <c r="D94" s="50" t="str">
        <f>SUBSTITUTE(SUBSTITUTE(SUBSTITUTE(A94, "'max_iter': 500,", ""), "'max_iter': 1000,", ""), "'max_iter': 1500,", "")</f>
        <v>{'activation': 'identity', 'hidden_layer_sizes': (200, 75, 25), 'learning_rate_init': 0.01,  'solver': 'sgd'}</v>
      </c>
      <c r="E94">
        <f>_xlfn.RANK.EQ(B94,B$2:$B$479,0)</f>
        <v>88</v>
      </c>
      <c r="H94" s="40" t="s">
        <v>311</v>
      </c>
      <c r="I94" s="31">
        <v>0.76890531784599503</v>
      </c>
    </row>
    <row r="95" spans="1:9" x14ac:dyDescent="0.2">
      <c r="A95" s="50" t="s">
        <v>95</v>
      </c>
      <c r="B95" s="63">
        <v>0.76890531784599503</v>
      </c>
      <c r="C95" s="50" t="s">
        <v>62</v>
      </c>
      <c r="D95" s="50" t="str">
        <f>SUBSTITUTE(SUBSTITUTE(SUBSTITUTE(A95, "'max_iter': 500,", ""), "'max_iter': 1000,", ""), "'max_iter': 1500,", "")</f>
        <v>{'activation': 'logistic', 'hidden_layer_sizes': 50, 'learning_rate_init': 0.001,  'solver': 'sgd'}</v>
      </c>
      <c r="E95">
        <f>_xlfn.RANK.EQ(B95,B$2:$B$479,0)</f>
        <v>88</v>
      </c>
      <c r="H95" s="40" t="s">
        <v>96</v>
      </c>
      <c r="I95" s="31">
        <v>0.76890531784599503</v>
      </c>
    </row>
    <row r="96" spans="1:9" x14ac:dyDescent="0.2">
      <c r="A96" s="50" t="s">
        <v>315</v>
      </c>
      <c r="B96" s="63">
        <v>0.76890531784599503</v>
      </c>
      <c r="C96" s="50" t="s">
        <v>62</v>
      </c>
      <c r="D96" s="50" t="str">
        <f>SUBSTITUTE(SUBSTITUTE(SUBSTITUTE(A96, "'max_iter': 500,", ""), "'max_iter': 1000,", ""), "'max_iter': 1500,", "")</f>
        <v>{'activation': 'relu', 'hidden_layer_sizes': (200, 100, 50), 'learning_rate_init': 0.005,  'solver': 'adam'}</v>
      </c>
      <c r="E96">
        <f>_xlfn.RANK.EQ(B96,B$2:$B$479,0)</f>
        <v>88</v>
      </c>
      <c r="H96" s="40" t="s">
        <v>315</v>
      </c>
      <c r="I96" s="31">
        <v>0.76890531784599503</v>
      </c>
    </row>
    <row r="97" spans="1:9" x14ac:dyDescent="0.2">
      <c r="A97" s="50" t="s">
        <v>96</v>
      </c>
      <c r="B97" s="63">
        <v>0.76890531784599503</v>
      </c>
      <c r="C97" s="50" t="s">
        <v>62</v>
      </c>
      <c r="D97" s="50" t="str">
        <f>SUBSTITUTE(SUBSTITUTE(SUBSTITUTE(A97, "'max_iter': 500,", ""), "'max_iter': 1000,", ""), "'max_iter': 1500,", "")</f>
        <v>{'activation': 'relu', 'hidden_layer_sizes': (200, 100, 50), 'learning_rate_init': 0.005,  'solver': 'adam'}</v>
      </c>
      <c r="E97">
        <f>_xlfn.RANK.EQ(B97,B$2:$B$479,0)</f>
        <v>88</v>
      </c>
      <c r="H97" s="40" t="s">
        <v>313</v>
      </c>
      <c r="I97" s="31">
        <v>0.76890531784599503</v>
      </c>
    </row>
    <row r="98" spans="1:9" x14ac:dyDescent="0.2">
      <c r="A98" s="50" t="s">
        <v>314</v>
      </c>
      <c r="B98" s="63">
        <v>0.76890531784599503</v>
      </c>
      <c r="C98" s="50" t="s">
        <v>62</v>
      </c>
      <c r="D98" s="50" t="str">
        <f>SUBSTITUTE(SUBSTITUTE(SUBSTITUTE(A98, "'max_iter': 500,", ""), "'max_iter': 1000,", ""), "'max_iter': 1500,", "")</f>
        <v>{'activation': 'relu', 'hidden_layer_sizes': (200, 100, 50), 'learning_rate_init': 0.005,  'solver': 'adam'}</v>
      </c>
      <c r="E98">
        <f>_xlfn.RANK.EQ(B98,B$2:$B$479,0)</f>
        <v>88</v>
      </c>
      <c r="H98" s="40" t="s">
        <v>95</v>
      </c>
      <c r="I98" s="31">
        <v>0.76890531784599503</v>
      </c>
    </row>
    <row r="99" spans="1:9" x14ac:dyDescent="0.2">
      <c r="A99" s="50" t="s">
        <v>310</v>
      </c>
      <c r="B99" s="63">
        <v>0.76890531784599503</v>
      </c>
      <c r="C99" s="50" t="s">
        <v>62</v>
      </c>
      <c r="D99" s="50" t="str">
        <f>SUBSTITUTE(SUBSTITUTE(SUBSTITUTE(A99, "'max_iter': 500,", ""), "'max_iter': 1000,", ""), "'max_iter': 1500,", "")</f>
        <v>{'activation': 'tanh', 'hidden_layer_sizes': 100, 'learning_rate_init': 0.001,  'solver': 'adam'}</v>
      </c>
      <c r="E99">
        <f>_xlfn.RANK.EQ(B99,B$2:$B$479,0)</f>
        <v>88</v>
      </c>
      <c r="H99" s="40" t="s">
        <v>312</v>
      </c>
      <c r="I99" s="31">
        <v>0.76890531784599503</v>
      </c>
    </row>
    <row r="100" spans="1:9" x14ac:dyDescent="0.2">
      <c r="A100" s="50" t="s">
        <v>93</v>
      </c>
      <c r="B100" s="63">
        <v>0.76890531784599503</v>
      </c>
      <c r="C100" s="50" t="s">
        <v>62</v>
      </c>
      <c r="D100" s="50" t="str">
        <f>SUBSTITUTE(SUBSTITUTE(SUBSTITUTE(A100, "'max_iter': 500,", ""), "'max_iter': 1000,", ""), "'max_iter': 1500,", "")</f>
        <v>{'activation': 'tanh', 'hidden_layer_sizes': 100, 'learning_rate_init': 0.001,  'solver': 'adam'}</v>
      </c>
      <c r="E100">
        <f>_xlfn.RANK.EQ(B100,B$2:$B$479,0)</f>
        <v>88</v>
      </c>
      <c r="H100" s="40" t="s">
        <v>317</v>
      </c>
      <c r="I100" s="31">
        <v>0.76890531784599503</v>
      </c>
    </row>
    <row r="101" spans="1:9" x14ac:dyDescent="0.2">
      <c r="A101" s="50" t="s">
        <v>311</v>
      </c>
      <c r="B101" s="63">
        <v>0.76890531784599503</v>
      </c>
      <c r="C101" s="50" t="s">
        <v>62</v>
      </c>
      <c r="D101" s="50" t="str">
        <f>SUBSTITUTE(SUBSTITUTE(SUBSTITUTE(A101, "'max_iter': 500,", ""), "'max_iter': 1000,", ""), "'max_iter': 1500,", "")</f>
        <v>{'activation': 'tanh', 'hidden_layer_sizes': 100, 'learning_rate_init': 0.001,  'solver': 'adam'}</v>
      </c>
      <c r="E101">
        <f>_xlfn.RANK.EQ(B101,B$2:$B$479,0)</f>
        <v>88</v>
      </c>
      <c r="H101" s="40" t="s">
        <v>94</v>
      </c>
      <c r="I101" s="31">
        <v>0.76890531784599503</v>
      </c>
    </row>
    <row r="102" spans="1:9" x14ac:dyDescent="0.2">
      <c r="A102" s="50" t="s">
        <v>318</v>
      </c>
      <c r="B102" s="63">
        <v>0.76857591425967697</v>
      </c>
      <c r="C102" s="50" t="s">
        <v>62</v>
      </c>
      <c r="D102" s="50" t="str">
        <f>SUBSTITUTE(SUBSTITUTE(SUBSTITUTE(A102, "'max_iter': 500,", ""), "'max_iter': 1000,", ""), "'max_iter': 1500,", "")</f>
        <v>{'activation': 'identity', 'hidden_layer_sizes': 150, 'learning_rate_init': 0.005,  'solver': 'sgd'}</v>
      </c>
      <c r="E102">
        <f>_xlfn.RANK.EQ(B102,B$2:$B$479,0)</f>
        <v>101</v>
      </c>
      <c r="H102" s="40" t="s">
        <v>316</v>
      </c>
      <c r="I102" s="31">
        <v>0.76890531784599503</v>
      </c>
    </row>
    <row r="103" spans="1:9" x14ac:dyDescent="0.2">
      <c r="A103" s="50" t="s">
        <v>97</v>
      </c>
      <c r="B103" s="63">
        <v>0.76857591425967697</v>
      </c>
      <c r="C103" s="50" t="s">
        <v>62</v>
      </c>
      <c r="D103" s="50" t="str">
        <f>SUBSTITUTE(SUBSTITUTE(SUBSTITUTE(A103, "'max_iter': 500,", ""), "'max_iter': 1000,", ""), "'max_iter': 1500,", "")</f>
        <v>{'activation': 'identity', 'hidden_layer_sizes': 150, 'learning_rate_init': 0.005,  'solver': 'sgd'}</v>
      </c>
      <c r="E103">
        <f>_xlfn.RANK.EQ(B103,B$2:$B$479,0)</f>
        <v>101</v>
      </c>
      <c r="H103" s="40" t="s">
        <v>92</v>
      </c>
      <c r="I103" s="31">
        <v>0.76890531784599503</v>
      </c>
    </row>
    <row r="104" spans="1:9" x14ac:dyDescent="0.2">
      <c r="A104" s="50" t="s">
        <v>319</v>
      </c>
      <c r="B104" s="63">
        <v>0.76857591425967697</v>
      </c>
      <c r="C104" s="50" t="s">
        <v>62</v>
      </c>
      <c r="D104" s="50" t="str">
        <f>SUBSTITUTE(SUBSTITUTE(SUBSTITUTE(A104, "'max_iter': 500,", ""), "'max_iter': 1000,", ""), "'max_iter': 1500,", "")</f>
        <v>{'activation': 'identity', 'hidden_layer_sizes': 150, 'learning_rate_init': 0.005,  'solver': 'sgd'}</v>
      </c>
      <c r="E104">
        <f>_xlfn.RANK.EQ(B104,B$2:$B$479,0)</f>
        <v>101</v>
      </c>
      <c r="H104" s="40" t="s">
        <v>319</v>
      </c>
      <c r="I104" s="31">
        <v>0.76857591425967697</v>
      </c>
    </row>
    <row r="105" spans="1:9" x14ac:dyDescent="0.2">
      <c r="A105" s="50" t="s">
        <v>320</v>
      </c>
      <c r="B105" s="63">
        <v>0.76817093286696603</v>
      </c>
      <c r="C105" s="50" t="s">
        <v>62</v>
      </c>
      <c r="D105" s="50" t="str">
        <f>SUBSTITUTE(SUBSTITUTE(SUBSTITUTE(A105, "'max_iter': 500,", ""), "'max_iter': 1000,", ""), "'max_iter': 1500,", "")</f>
        <v>{'activation': 'relu', 'hidden_layer_sizes': 50, 'learning_rate_init': 0.005,  'solver': 'sgd'}</v>
      </c>
      <c r="E105">
        <f>_xlfn.RANK.EQ(B105,B$2:$B$479,0)</f>
        <v>104</v>
      </c>
      <c r="H105" s="40" t="s">
        <v>97</v>
      </c>
      <c r="I105" s="31">
        <v>0.76857591425967697</v>
      </c>
    </row>
    <row r="106" spans="1:9" x14ac:dyDescent="0.2">
      <c r="A106" s="50" t="s">
        <v>98</v>
      </c>
      <c r="B106" s="63">
        <v>0.76817093286696603</v>
      </c>
      <c r="C106" s="50" t="s">
        <v>62</v>
      </c>
      <c r="D106" s="50" t="str">
        <f>SUBSTITUTE(SUBSTITUTE(SUBSTITUTE(A106, "'max_iter': 500,", ""), "'max_iter': 1000,", ""), "'max_iter': 1500,", "")</f>
        <v>{'activation': 'relu', 'hidden_layer_sizes': 50, 'learning_rate_init': 0.005,  'solver': 'sgd'}</v>
      </c>
      <c r="E106">
        <f>_xlfn.RANK.EQ(B106,B$2:$B$479,0)</f>
        <v>104</v>
      </c>
      <c r="H106" s="40" t="s">
        <v>318</v>
      </c>
      <c r="I106" s="31">
        <v>0.76857591425967697</v>
      </c>
    </row>
    <row r="107" spans="1:9" x14ac:dyDescent="0.2">
      <c r="A107" s="50" t="s">
        <v>321</v>
      </c>
      <c r="B107" s="63">
        <v>0.76817093286696603</v>
      </c>
      <c r="C107" s="50" t="s">
        <v>62</v>
      </c>
      <c r="D107" s="50" t="str">
        <f>SUBSTITUTE(SUBSTITUTE(SUBSTITUTE(A107, "'max_iter': 500,", ""), "'max_iter': 1000,", ""), "'max_iter': 1500,", "")</f>
        <v>{'activation': 'relu', 'hidden_layer_sizes': 50, 'learning_rate_init': 0.005,  'solver': 'sgd'}</v>
      </c>
      <c r="E107">
        <f>_xlfn.RANK.EQ(B107,B$2:$B$479,0)</f>
        <v>104</v>
      </c>
      <c r="H107" s="40" t="s">
        <v>98</v>
      </c>
      <c r="I107" s="31">
        <v>0.76817093286696603</v>
      </c>
    </row>
    <row r="108" spans="1:9" x14ac:dyDescent="0.2">
      <c r="A108" s="50" t="s">
        <v>325</v>
      </c>
      <c r="B108" s="63">
        <v>0.76768926249451497</v>
      </c>
      <c r="C108" s="50" t="s">
        <v>62</v>
      </c>
      <c r="D108" s="50" t="str">
        <f>SUBSTITUTE(SUBSTITUTE(SUBSTITUTE(A108, "'max_iter': 500,", ""), "'max_iter': 1000,", ""), "'max_iter': 1500,", "")</f>
        <v>{'activation': 'identity', 'hidden_layer_sizes': (200, 75, 25), 'learning_rate_init': 0.005,  'solver': 'sgd'}</v>
      </c>
      <c r="E108">
        <f>_xlfn.RANK.EQ(B108,B$2:$B$479,0)</f>
        <v>107</v>
      </c>
      <c r="H108" s="40" t="s">
        <v>320</v>
      </c>
      <c r="I108" s="31">
        <v>0.76817093286696603</v>
      </c>
    </row>
    <row r="109" spans="1:9" x14ac:dyDescent="0.2">
      <c r="A109" s="50" t="s">
        <v>100</v>
      </c>
      <c r="B109" s="63">
        <v>0.76768926249451497</v>
      </c>
      <c r="C109" s="50" t="s">
        <v>62</v>
      </c>
      <c r="D109" s="50" t="str">
        <f>SUBSTITUTE(SUBSTITUTE(SUBSTITUTE(A109, "'max_iter': 500,", ""), "'max_iter': 1000,", ""), "'max_iter': 1500,", "")</f>
        <v>{'activation': 'identity', 'hidden_layer_sizes': (200, 75, 25), 'learning_rate_init': 0.005,  'solver': 'sgd'}</v>
      </c>
      <c r="E109">
        <f>_xlfn.RANK.EQ(B109,B$2:$B$479,0)</f>
        <v>107</v>
      </c>
      <c r="H109" s="40" t="s">
        <v>321</v>
      </c>
      <c r="I109" s="31">
        <v>0.76817093286696603</v>
      </c>
    </row>
    <row r="110" spans="1:9" x14ac:dyDescent="0.2">
      <c r="A110" s="50" t="s">
        <v>324</v>
      </c>
      <c r="B110" s="63">
        <v>0.76768926249451497</v>
      </c>
      <c r="C110" s="50" t="s">
        <v>62</v>
      </c>
      <c r="D110" s="50" t="str">
        <f>SUBSTITUTE(SUBSTITUTE(SUBSTITUTE(A110, "'max_iter': 500,", ""), "'max_iter': 1000,", ""), "'max_iter': 1500,", "")</f>
        <v>{'activation': 'identity', 'hidden_layer_sizes': (200, 75, 25), 'learning_rate_init': 0.005,  'solver': 'sgd'}</v>
      </c>
      <c r="E110">
        <f>_xlfn.RANK.EQ(B110,B$2:$B$479,0)</f>
        <v>107</v>
      </c>
      <c r="H110" s="40" t="s">
        <v>323</v>
      </c>
      <c r="I110" s="31">
        <v>0.76768926249451497</v>
      </c>
    </row>
    <row r="111" spans="1:9" x14ac:dyDescent="0.2">
      <c r="A111" s="50" t="s">
        <v>323</v>
      </c>
      <c r="B111" s="63">
        <v>0.76768926249451497</v>
      </c>
      <c r="C111" s="50" t="s">
        <v>62</v>
      </c>
      <c r="D111" s="50" t="str">
        <f>SUBSTITUTE(SUBSTITUTE(SUBSTITUTE(A111, "'max_iter': 500,", ""), "'max_iter': 1000,", ""), "'max_iter': 1500,", "")</f>
        <v>{'activation': 'relu', 'hidden_layer_sizes': (150, 75), 'learning_rate_init': 0.01,  'solver': 'adam'}</v>
      </c>
      <c r="E111">
        <f>_xlfn.RANK.EQ(B111,B$2:$B$479,0)</f>
        <v>107</v>
      </c>
      <c r="H111" s="40" t="s">
        <v>99</v>
      </c>
      <c r="I111" s="31">
        <v>0.76768926249451497</v>
      </c>
    </row>
    <row r="112" spans="1:9" x14ac:dyDescent="0.2">
      <c r="A112" s="50" t="s">
        <v>99</v>
      </c>
      <c r="B112" s="63">
        <v>0.76768926249451497</v>
      </c>
      <c r="C112" s="50" t="s">
        <v>62</v>
      </c>
      <c r="D112" s="50" t="str">
        <f>SUBSTITUTE(SUBSTITUTE(SUBSTITUTE(A112, "'max_iter': 500,", ""), "'max_iter': 1000,", ""), "'max_iter': 1500,", "")</f>
        <v>{'activation': 'relu', 'hidden_layer_sizes': (150, 75), 'learning_rate_init': 0.01,  'solver': 'adam'}</v>
      </c>
      <c r="E112">
        <f>_xlfn.RANK.EQ(B112,B$2:$B$479,0)</f>
        <v>107</v>
      </c>
      <c r="H112" s="40" t="s">
        <v>322</v>
      </c>
      <c r="I112" s="31">
        <v>0.76768926249451497</v>
      </c>
    </row>
    <row r="113" spans="1:9" x14ac:dyDescent="0.2">
      <c r="A113" s="50" t="s">
        <v>322</v>
      </c>
      <c r="B113" s="63">
        <v>0.76768926249451497</v>
      </c>
      <c r="C113" s="50" t="s">
        <v>62</v>
      </c>
      <c r="D113" s="50" t="str">
        <f>SUBSTITUTE(SUBSTITUTE(SUBSTITUTE(A113, "'max_iter': 500,", ""), "'max_iter': 1000,", ""), "'max_iter': 1500,", "")</f>
        <v>{'activation': 'relu', 'hidden_layer_sizes': (150, 75), 'learning_rate_init': 0.01,  'solver': 'adam'}</v>
      </c>
      <c r="E113">
        <f>_xlfn.RANK.EQ(B113,B$2:$B$479,0)</f>
        <v>107</v>
      </c>
      <c r="H113" s="40" t="s">
        <v>100</v>
      </c>
      <c r="I113" s="31">
        <v>0.76768926249451497</v>
      </c>
    </row>
    <row r="114" spans="1:9" x14ac:dyDescent="0.2">
      <c r="A114" s="50" t="s">
        <v>326</v>
      </c>
      <c r="B114" s="63">
        <v>0.76317174732872395</v>
      </c>
      <c r="C114" s="50" t="s">
        <v>62</v>
      </c>
      <c r="D114" s="50" t="str">
        <f>SUBSTITUTE(SUBSTITUTE(SUBSTITUTE(A114, "'max_iter': 500,", ""), "'max_iter': 1000,", ""), "'max_iter': 1500,", "")</f>
        <v>{'activation': 'relu', 'hidden_layer_sizes': (200, 100, 50), 'learning_rate_init': 0.005,  'solver': 'sgd'}</v>
      </c>
      <c r="E114">
        <f>_xlfn.RANK.EQ(B114,B$2:$B$479,0)</f>
        <v>113</v>
      </c>
      <c r="H114" s="40" t="s">
        <v>324</v>
      </c>
      <c r="I114" s="31">
        <v>0.76768926249451497</v>
      </c>
    </row>
    <row r="115" spans="1:9" x14ac:dyDescent="0.2">
      <c r="A115" s="50" t="s">
        <v>102</v>
      </c>
      <c r="B115" s="63">
        <v>0.76317174732872395</v>
      </c>
      <c r="C115" s="50" t="s">
        <v>62</v>
      </c>
      <c r="D115" s="50" t="str">
        <f>SUBSTITUTE(SUBSTITUTE(SUBSTITUTE(A115, "'max_iter': 500,", ""), "'max_iter': 1000,", ""), "'max_iter': 1500,", "")</f>
        <v>{'activation': 'relu', 'hidden_layer_sizes': (200, 100, 50), 'learning_rate_init': 0.005,  'solver': 'sgd'}</v>
      </c>
      <c r="E115">
        <f>_xlfn.RANK.EQ(B115,B$2:$B$479,0)</f>
        <v>113</v>
      </c>
      <c r="H115" s="40" t="s">
        <v>325</v>
      </c>
      <c r="I115" s="31">
        <v>0.76768926249451497</v>
      </c>
    </row>
    <row r="116" spans="1:9" x14ac:dyDescent="0.2">
      <c r="A116" s="50" t="s">
        <v>329</v>
      </c>
      <c r="B116" s="63">
        <v>0.76317174732872395</v>
      </c>
      <c r="C116" s="50" t="s">
        <v>62</v>
      </c>
      <c r="D116" s="50" t="str">
        <f>SUBSTITUTE(SUBSTITUTE(SUBSTITUTE(A116, "'max_iter': 500,", ""), "'max_iter': 1000,", ""), "'max_iter': 1500,", "")</f>
        <v>{'activation': 'relu', 'hidden_layer_sizes': (200, 100, 50), 'learning_rate_init': 0.005,  'solver': 'sgd'}</v>
      </c>
      <c r="E116">
        <f>_xlfn.RANK.EQ(B116,B$2:$B$479,0)</f>
        <v>113</v>
      </c>
      <c r="H116" s="40" t="s">
        <v>101</v>
      </c>
      <c r="I116" s="31">
        <v>0.76317174732872395</v>
      </c>
    </row>
    <row r="117" spans="1:9" x14ac:dyDescent="0.2">
      <c r="A117" s="50" t="s">
        <v>327</v>
      </c>
      <c r="B117" s="63">
        <v>0.76317174732872395</v>
      </c>
      <c r="C117" s="50" t="s">
        <v>62</v>
      </c>
      <c r="D117" s="50" t="str">
        <f>SUBSTITUTE(SUBSTITUTE(SUBSTITUTE(A117, "'max_iter': 500,", ""), "'max_iter': 1000,", ""), "'max_iter': 1500,", "")</f>
        <v>{'activation': 'tanh', 'hidden_layer_sizes': (200, 100, 50), 'learning_rate_init': 0.001,  'solver': 'adam'}</v>
      </c>
      <c r="E117">
        <f>_xlfn.RANK.EQ(B117,B$2:$B$479,0)</f>
        <v>113</v>
      </c>
      <c r="H117" s="40" t="s">
        <v>327</v>
      </c>
      <c r="I117" s="31">
        <v>0.76317174732872395</v>
      </c>
    </row>
    <row r="118" spans="1:9" x14ac:dyDescent="0.2">
      <c r="A118" s="50" t="s">
        <v>101</v>
      </c>
      <c r="B118" s="63">
        <v>0.76317174732872395</v>
      </c>
      <c r="C118" s="50" t="s">
        <v>62</v>
      </c>
      <c r="D118" s="50" t="str">
        <f>SUBSTITUTE(SUBSTITUTE(SUBSTITUTE(A118, "'max_iter': 500,", ""), "'max_iter': 1000,", ""), "'max_iter': 1500,", "")</f>
        <v>{'activation': 'tanh', 'hidden_layer_sizes': (200, 100, 50), 'learning_rate_init': 0.001,  'solver': 'adam'}</v>
      </c>
      <c r="E118">
        <f>_xlfn.RANK.EQ(B118,B$2:$B$479,0)</f>
        <v>113</v>
      </c>
      <c r="H118" s="40" t="s">
        <v>326</v>
      </c>
      <c r="I118" s="31">
        <v>0.76317174732872395</v>
      </c>
    </row>
    <row r="119" spans="1:9" x14ac:dyDescent="0.2">
      <c r="A119" s="50" t="s">
        <v>328</v>
      </c>
      <c r="B119" s="63">
        <v>0.76317174732872395</v>
      </c>
      <c r="C119" s="50" t="s">
        <v>62</v>
      </c>
      <c r="D119" s="50" t="str">
        <f>SUBSTITUTE(SUBSTITUTE(SUBSTITUTE(A119, "'max_iter': 500,", ""), "'max_iter': 1000,", ""), "'max_iter': 1500,", "")</f>
        <v>{'activation': 'tanh', 'hidden_layer_sizes': (200, 100, 50), 'learning_rate_init': 0.001,  'solver': 'adam'}</v>
      </c>
      <c r="E119">
        <f>_xlfn.RANK.EQ(B119,B$2:$B$479,0)</f>
        <v>113</v>
      </c>
      <c r="H119" s="40" t="s">
        <v>102</v>
      </c>
      <c r="I119" s="31">
        <v>0.76317174732872395</v>
      </c>
    </row>
    <row r="120" spans="1:9" x14ac:dyDescent="0.2">
      <c r="A120" s="50" t="s">
        <v>332</v>
      </c>
      <c r="B120" s="63">
        <v>0.76302353960006297</v>
      </c>
      <c r="C120" s="50" t="s">
        <v>62</v>
      </c>
      <c r="D120" s="50" t="str">
        <f>SUBSTITUTE(SUBSTITUTE(SUBSTITUTE(A120, "'max_iter': 500,", ""), "'max_iter': 1000,", ""), "'max_iter': 1500,", "")</f>
        <v>{'activation': 'logistic', 'hidden_layer_sizes': (100, 50), 'learning_rate_init': 0.005,  'solver': 'sgd'}</v>
      </c>
      <c r="E120">
        <f>_xlfn.RANK.EQ(B120,B$2:$B$479,0)</f>
        <v>119</v>
      </c>
      <c r="H120" s="40" t="s">
        <v>329</v>
      </c>
      <c r="I120" s="31">
        <v>0.76317174732872395</v>
      </c>
    </row>
    <row r="121" spans="1:9" x14ac:dyDescent="0.2">
      <c r="A121" s="50" t="s">
        <v>103</v>
      </c>
      <c r="B121" s="63">
        <v>0.76302353960006297</v>
      </c>
      <c r="C121" s="50" t="s">
        <v>62</v>
      </c>
      <c r="D121" s="50" t="str">
        <f>SUBSTITUTE(SUBSTITUTE(SUBSTITUTE(A121, "'max_iter': 500,", ""), "'max_iter': 1000,", ""), "'max_iter': 1500,", "")</f>
        <v>{'activation': 'logistic', 'hidden_layer_sizes': (100, 50), 'learning_rate_init': 0.005,  'solver': 'sgd'}</v>
      </c>
      <c r="E121">
        <f>_xlfn.RANK.EQ(B121,B$2:$B$479,0)</f>
        <v>119</v>
      </c>
      <c r="H121" s="40" t="s">
        <v>328</v>
      </c>
      <c r="I121" s="31">
        <v>0.76317174732872395</v>
      </c>
    </row>
    <row r="122" spans="1:9" x14ac:dyDescent="0.2">
      <c r="A122" s="50" t="s">
        <v>331</v>
      </c>
      <c r="B122" s="63">
        <v>0.76302353960006297</v>
      </c>
      <c r="C122" s="50" t="s">
        <v>62</v>
      </c>
      <c r="D122" s="50" t="str">
        <f>SUBSTITUTE(SUBSTITUTE(SUBSTITUTE(A122, "'max_iter': 500,", ""), "'max_iter': 1000,", ""), "'max_iter': 1500,", "")</f>
        <v>{'activation': 'relu', 'hidden_layer_sizes': (200, 100, 50), 'learning_rate_init': 0.01,  'solver': 'adam'}</v>
      </c>
      <c r="E122">
        <f>_xlfn.RANK.EQ(B122,B$2:$B$479,0)</f>
        <v>119</v>
      </c>
      <c r="H122" s="40" t="s">
        <v>104</v>
      </c>
      <c r="I122" s="31">
        <v>0.76302353960006297</v>
      </c>
    </row>
    <row r="123" spans="1:9" x14ac:dyDescent="0.2">
      <c r="A123" s="50" t="s">
        <v>104</v>
      </c>
      <c r="B123" s="63">
        <v>0.76302353960006297</v>
      </c>
      <c r="C123" s="50" t="s">
        <v>62</v>
      </c>
      <c r="D123" s="50" t="str">
        <f>SUBSTITUTE(SUBSTITUTE(SUBSTITUTE(A123, "'max_iter': 500,", ""), "'max_iter': 1000,", ""), "'max_iter': 1500,", "")</f>
        <v>{'activation': 'relu', 'hidden_layer_sizes': (200, 100, 50), 'learning_rate_init': 0.01,  'solver': 'adam'}</v>
      </c>
      <c r="E123">
        <f>_xlfn.RANK.EQ(B123,B$2:$B$479,0)</f>
        <v>119</v>
      </c>
      <c r="H123" s="40" t="s">
        <v>331</v>
      </c>
      <c r="I123" s="31">
        <v>0.76302353960006297</v>
      </c>
    </row>
    <row r="124" spans="1:9" x14ac:dyDescent="0.2">
      <c r="A124" s="50" t="s">
        <v>330</v>
      </c>
      <c r="B124" s="63">
        <v>0.76302353960006297</v>
      </c>
      <c r="C124" s="50" t="s">
        <v>62</v>
      </c>
      <c r="D124" s="50" t="str">
        <f>SUBSTITUTE(SUBSTITUTE(SUBSTITUTE(A124, "'max_iter': 500,", ""), "'max_iter': 1000,", ""), "'max_iter': 1500,", "")</f>
        <v>{'activation': 'relu', 'hidden_layer_sizes': (200, 100, 50), 'learning_rate_init': 0.01,  'solver': 'adam'}</v>
      </c>
      <c r="E124">
        <f>_xlfn.RANK.EQ(B124,B$2:$B$479,0)</f>
        <v>119</v>
      </c>
      <c r="H124" s="40" t="s">
        <v>330</v>
      </c>
      <c r="I124" s="31">
        <v>0.76302353960006297</v>
      </c>
    </row>
    <row r="125" spans="1:9" x14ac:dyDescent="0.2">
      <c r="A125" s="50" t="s">
        <v>335</v>
      </c>
      <c r="B125" s="63">
        <v>0.76279987373737301</v>
      </c>
      <c r="C125" s="50" t="s">
        <v>62</v>
      </c>
      <c r="D125" s="50" t="str">
        <f>SUBSTITUTE(SUBSTITUTE(SUBSTITUTE(A125, "'max_iter': 500,", ""), "'max_iter': 1000,", ""), "'max_iter': 1500,", "")</f>
        <v>{'activation': 'identity', 'hidden_layer_sizes': (150, 75), 'learning_rate_init': 0.005,  'solver': 'adam'}</v>
      </c>
      <c r="E125">
        <f>_xlfn.RANK.EQ(B125,B$2:$B$479,0)</f>
        <v>124</v>
      </c>
      <c r="H125" s="40" t="s">
        <v>103</v>
      </c>
      <c r="I125" s="31">
        <v>0.76302353960006297</v>
      </c>
    </row>
    <row r="126" spans="1:9" x14ac:dyDescent="0.2">
      <c r="A126" s="50" t="s">
        <v>105</v>
      </c>
      <c r="B126" s="63">
        <v>0.76279987373737301</v>
      </c>
      <c r="C126" s="50" t="s">
        <v>62</v>
      </c>
      <c r="D126" s="50" t="str">
        <f>SUBSTITUTE(SUBSTITUTE(SUBSTITUTE(A126, "'max_iter': 500,", ""), "'max_iter': 1000,", ""), "'max_iter': 1500,", "")</f>
        <v>{'activation': 'identity', 'hidden_layer_sizes': (150, 75), 'learning_rate_init': 0.005,  'solver': 'adam'}</v>
      </c>
      <c r="E126">
        <f>_xlfn.RANK.EQ(B126,B$2:$B$479,0)</f>
        <v>124</v>
      </c>
      <c r="H126" s="40" t="s">
        <v>332</v>
      </c>
      <c r="I126" s="31">
        <v>0.76302353960006297</v>
      </c>
    </row>
    <row r="127" spans="1:9" x14ac:dyDescent="0.2">
      <c r="A127" s="50" t="s">
        <v>333</v>
      </c>
      <c r="B127" s="63">
        <v>0.76279987373737301</v>
      </c>
      <c r="C127" s="50" t="s">
        <v>62</v>
      </c>
      <c r="D127" s="50" t="str">
        <f>SUBSTITUTE(SUBSTITUTE(SUBSTITUTE(A127, "'max_iter': 500,", ""), "'max_iter': 1000,", ""), "'max_iter': 1500,", "")</f>
        <v>{'activation': 'identity', 'hidden_layer_sizes': (150, 75), 'learning_rate_init': 0.005,  'solver': 'adam'}</v>
      </c>
      <c r="E127">
        <f>_xlfn.RANK.EQ(B127,B$2:$B$479,0)</f>
        <v>124</v>
      </c>
      <c r="H127" s="40" t="s">
        <v>337</v>
      </c>
      <c r="I127" s="31">
        <v>0.76279987373737301</v>
      </c>
    </row>
    <row r="128" spans="1:9" x14ac:dyDescent="0.2">
      <c r="A128" s="50" t="s">
        <v>336</v>
      </c>
      <c r="B128" s="63">
        <v>0.76279987373737301</v>
      </c>
      <c r="C128" s="50" t="s">
        <v>62</v>
      </c>
      <c r="D128" s="50" t="str">
        <f>SUBSTITUTE(SUBSTITUTE(SUBSTITUTE(A128, "'max_iter': 500,", ""), "'max_iter': 1000,", ""), "'max_iter': 1500,", "")</f>
        <v>{'activation': 'identity', 'hidden_layer_sizes': 150, 'learning_rate_init': 0.001,  'solver': 'adam'}</v>
      </c>
      <c r="E128">
        <f>_xlfn.RANK.EQ(B128,B$2:$B$479,0)</f>
        <v>124</v>
      </c>
      <c r="H128" s="40" t="s">
        <v>338</v>
      </c>
      <c r="I128" s="31">
        <v>0.76279987373737301</v>
      </c>
    </row>
    <row r="129" spans="1:9" x14ac:dyDescent="0.2">
      <c r="A129" s="50" t="s">
        <v>107</v>
      </c>
      <c r="B129" s="63">
        <v>0.76279987373737301</v>
      </c>
      <c r="C129" s="50" t="s">
        <v>62</v>
      </c>
      <c r="D129" s="50" t="str">
        <f>SUBSTITUTE(SUBSTITUTE(SUBSTITUTE(A129, "'max_iter': 500,", ""), "'max_iter': 1000,", ""), "'max_iter': 1500,", "")</f>
        <v>{'activation': 'identity', 'hidden_layer_sizes': 150, 'learning_rate_init': 0.001,  'solver': 'adam'}</v>
      </c>
      <c r="E129">
        <f>_xlfn.RANK.EQ(B129,B$2:$B$479,0)</f>
        <v>124</v>
      </c>
      <c r="H129" s="40" t="s">
        <v>106</v>
      </c>
      <c r="I129" s="31">
        <v>0.76279987373737301</v>
      </c>
    </row>
    <row r="130" spans="1:9" x14ac:dyDescent="0.2">
      <c r="A130" s="50" t="s">
        <v>340</v>
      </c>
      <c r="B130" s="63">
        <v>0.76279987373737301</v>
      </c>
      <c r="C130" s="50" t="s">
        <v>62</v>
      </c>
      <c r="D130" s="50" t="str">
        <f>SUBSTITUTE(SUBSTITUTE(SUBSTITUTE(A130, "'max_iter': 500,", ""), "'max_iter': 1000,", ""), "'max_iter': 1500,", "")</f>
        <v>{'activation': 'identity', 'hidden_layer_sizes': 150, 'learning_rate_init': 0.001,  'solver': 'adam'}</v>
      </c>
      <c r="E130">
        <f>_xlfn.RANK.EQ(B130,B$2:$B$479,0)</f>
        <v>124</v>
      </c>
      <c r="H130" s="40" t="s">
        <v>334</v>
      </c>
      <c r="I130" s="31">
        <v>0.76279987373737301</v>
      </c>
    </row>
    <row r="131" spans="1:9" x14ac:dyDescent="0.2">
      <c r="A131" s="50" t="s">
        <v>339</v>
      </c>
      <c r="B131" s="63">
        <v>0.76279987373737301</v>
      </c>
      <c r="C131" s="50" t="s">
        <v>62</v>
      </c>
      <c r="D131" s="50" t="str">
        <f>SUBSTITUTE(SUBSTITUTE(SUBSTITUTE(A131, "'max_iter': 500,", ""), "'max_iter': 1000,", ""), "'max_iter': 1500,", "")</f>
        <v>{'activation': 'logistic', 'hidden_layer_sizes': (200, 100, 50), 'learning_rate_init': 0.01,  'solver': 'sgd'}</v>
      </c>
      <c r="E131">
        <f>_xlfn.RANK.EQ(B131,B$2:$B$479,0)</f>
        <v>124</v>
      </c>
      <c r="H131" s="40" t="s">
        <v>339</v>
      </c>
      <c r="I131" s="31">
        <v>0.76279987373737301</v>
      </c>
    </row>
    <row r="132" spans="1:9" x14ac:dyDescent="0.2">
      <c r="A132" s="50" t="s">
        <v>108</v>
      </c>
      <c r="B132" s="63">
        <v>0.76279987373737301</v>
      </c>
      <c r="C132" s="50" t="s">
        <v>62</v>
      </c>
      <c r="D132" s="50" t="str">
        <f>SUBSTITUTE(SUBSTITUTE(SUBSTITUTE(A132, "'max_iter': 500,", ""), "'max_iter': 1000,", ""), "'max_iter': 1500,", "")</f>
        <v>{'activation': 'logistic', 'hidden_layer_sizes': (200, 100, 50), 'learning_rate_init': 0.01,  'solver': 'sgd'}</v>
      </c>
      <c r="E132">
        <f>_xlfn.RANK.EQ(B132,B$2:$B$479,0)</f>
        <v>124</v>
      </c>
      <c r="H132" s="40" t="s">
        <v>107</v>
      </c>
      <c r="I132" s="31">
        <v>0.76279987373737301</v>
      </c>
    </row>
    <row r="133" spans="1:9" x14ac:dyDescent="0.2">
      <c r="A133" s="50" t="s">
        <v>334</v>
      </c>
      <c r="B133" s="63">
        <v>0.76279987373737301</v>
      </c>
      <c r="C133" s="50" t="s">
        <v>62</v>
      </c>
      <c r="D133" s="50" t="str">
        <f>SUBSTITUTE(SUBSTITUTE(SUBSTITUTE(A133, "'max_iter': 500,", ""), "'max_iter': 1000,", ""), "'max_iter': 1500,", "")</f>
        <v>{'activation': 'logistic', 'hidden_layer_sizes': (200, 100, 50), 'learning_rate_init': 0.01,  'solver': 'sgd'}</v>
      </c>
      <c r="E133">
        <f>_xlfn.RANK.EQ(B133,B$2:$B$479,0)</f>
        <v>124</v>
      </c>
      <c r="H133" s="40" t="s">
        <v>335</v>
      </c>
      <c r="I133" s="31">
        <v>0.76279987373737301</v>
      </c>
    </row>
    <row r="134" spans="1:9" x14ac:dyDescent="0.2">
      <c r="A134" s="50" t="s">
        <v>338</v>
      </c>
      <c r="B134" s="63">
        <v>0.76279987373737301</v>
      </c>
      <c r="C134" s="50" t="s">
        <v>62</v>
      </c>
      <c r="D134" s="50" t="str">
        <f>SUBSTITUTE(SUBSTITUTE(SUBSTITUTE(A134, "'max_iter': 500,", ""), "'max_iter': 1000,", ""), "'max_iter': 1500,", "")</f>
        <v>{'activation': 'relu', 'hidden_layer_sizes': (100, 50), 'learning_rate_init': 0.01,  'solver': 'sgd'}</v>
      </c>
      <c r="E134">
        <f>_xlfn.RANK.EQ(B134,B$2:$B$479,0)</f>
        <v>124</v>
      </c>
      <c r="H134" s="40" t="s">
        <v>108</v>
      </c>
      <c r="I134" s="31">
        <v>0.76279987373737301</v>
      </c>
    </row>
    <row r="135" spans="1:9" x14ac:dyDescent="0.2">
      <c r="A135" s="50" t="s">
        <v>106</v>
      </c>
      <c r="B135" s="63">
        <v>0.76279987373737301</v>
      </c>
      <c r="C135" s="50" t="s">
        <v>62</v>
      </c>
      <c r="D135" s="50" t="str">
        <f>SUBSTITUTE(SUBSTITUTE(SUBSTITUTE(A135, "'max_iter': 500,", ""), "'max_iter': 1000,", ""), "'max_iter': 1500,", "")</f>
        <v>{'activation': 'relu', 'hidden_layer_sizes': (100, 50), 'learning_rate_init': 0.01,  'solver': 'sgd'}</v>
      </c>
      <c r="E135">
        <f>_xlfn.RANK.EQ(B135,B$2:$B$479,0)</f>
        <v>124</v>
      </c>
      <c r="H135" s="40" t="s">
        <v>105</v>
      </c>
      <c r="I135" s="31">
        <v>0.76279987373737301</v>
      </c>
    </row>
    <row r="136" spans="1:9" x14ac:dyDescent="0.2">
      <c r="A136" s="50" t="s">
        <v>337</v>
      </c>
      <c r="B136" s="63">
        <v>0.76279987373737301</v>
      </c>
      <c r="C136" s="50" t="s">
        <v>62</v>
      </c>
      <c r="D136" s="50" t="str">
        <f>SUBSTITUTE(SUBSTITUTE(SUBSTITUTE(A136, "'max_iter': 500,", ""), "'max_iter': 1000,", ""), "'max_iter': 1500,", "")</f>
        <v>{'activation': 'relu', 'hidden_layer_sizes': (100, 50), 'learning_rate_init': 0.01,  'solver': 'sgd'}</v>
      </c>
      <c r="E136">
        <f>_xlfn.RANK.EQ(B136,B$2:$B$479,0)</f>
        <v>124</v>
      </c>
      <c r="H136" s="40" t="s">
        <v>336</v>
      </c>
      <c r="I136" s="31">
        <v>0.76279987373737301</v>
      </c>
    </row>
    <row r="137" spans="1:9" x14ac:dyDescent="0.2">
      <c r="A137" s="50" t="s">
        <v>345</v>
      </c>
      <c r="B137" s="63">
        <v>0.76249999999999996</v>
      </c>
      <c r="C137" s="50" t="s">
        <v>62</v>
      </c>
      <c r="D137" s="50" t="str">
        <f>SUBSTITUTE(SUBSTITUTE(SUBSTITUTE(A137, "'max_iter': 500,", ""), "'max_iter': 1000,", ""), "'max_iter': 1500,", "")</f>
        <v>{'activation': 'identity', 'hidden_layer_sizes': (100, 50), 'learning_rate_init': 0.005,  'solver': 'adam'}</v>
      </c>
      <c r="E137">
        <f>_xlfn.RANK.EQ(B137,B$2:$B$479,0)</f>
        <v>136</v>
      </c>
      <c r="H137" s="40" t="s">
        <v>333</v>
      </c>
      <c r="I137" s="31">
        <v>0.76279987373737301</v>
      </c>
    </row>
    <row r="138" spans="1:9" x14ac:dyDescent="0.2">
      <c r="A138" s="50" t="s">
        <v>109</v>
      </c>
      <c r="B138" s="63">
        <v>0.76249999999999996</v>
      </c>
      <c r="C138" s="50" t="s">
        <v>62</v>
      </c>
      <c r="D138" s="50" t="str">
        <f>SUBSTITUTE(SUBSTITUTE(SUBSTITUTE(A138, "'max_iter': 500,", ""), "'max_iter': 1000,", ""), "'max_iter': 1500,", "")</f>
        <v>{'activation': 'identity', 'hidden_layer_sizes': (100, 50), 'learning_rate_init': 0.005,  'solver': 'adam'}</v>
      </c>
      <c r="E138">
        <f>_xlfn.RANK.EQ(B138,B$2:$B$479,0)</f>
        <v>136</v>
      </c>
      <c r="H138" s="40" t="s">
        <v>340</v>
      </c>
      <c r="I138" s="31">
        <v>0.76279987373737301</v>
      </c>
    </row>
    <row r="139" spans="1:9" x14ac:dyDescent="0.2">
      <c r="A139" s="50" t="s">
        <v>344</v>
      </c>
      <c r="B139" s="63">
        <v>0.76249999999999996</v>
      </c>
      <c r="C139" s="50" t="s">
        <v>62</v>
      </c>
      <c r="D139" s="50" t="str">
        <f>SUBSTITUTE(SUBSTITUTE(SUBSTITUTE(A139, "'max_iter': 500,", ""), "'max_iter': 1000,", ""), "'max_iter': 1500,", "")</f>
        <v>{'activation': 'identity', 'hidden_layer_sizes': (100, 50), 'learning_rate_init': 0.005,  'solver': 'adam'}</v>
      </c>
      <c r="E139">
        <f>_xlfn.RANK.EQ(B139,B$2:$B$479,0)</f>
        <v>136</v>
      </c>
      <c r="H139" s="40" t="s">
        <v>341</v>
      </c>
      <c r="I139" s="31">
        <v>0.76249999999999996</v>
      </c>
    </row>
    <row r="140" spans="1:9" x14ac:dyDescent="0.2">
      <c r="A140" s="50" t="s">
        <v>342</v>
      </c>
      <c r="B140" s="63">
        <v>0.76249999999999996</v>
      </c>
      <c r="C140" s="50" t="s">
        <v>62</v>
      </c>
      <c r="D140" s="50" t="str">
        <f>SUBSTITUTE(SUBSTITUTE(SUBSTITUTE(A140, "'max_iter': 500,", ""), "'max_iter': 1000,", ""), "'max_iter': 1500,", "")</f>
        <v>{'activation': 'identity', 'hidden_layer_sizes': (200, 100), 'learning_rate_init': 0.01,  'solver': 'adam'}</v>
      </c>
      <c r="E140">
        <f>_xlfn.RANK.EQ(B140,B$2:$B$479,0)</f>
        <v>136</v>
      </c>
      <c r="H140" s="40" t="s">
        <v>346</v>
      </c>
      <c r="I140" s="31">
        <v>0.76249999999999996</v>
      </c>
    </row>
    <row r="141" spans="1:9" x14ac:dyDescent="0.2">
      <c r="A141" s="50" t="s">
        <v>110</v>
      </c>
      <c r="B141" s="63">
        <v>0.76249999999999996</v>
      </c>
      <c r="C141" s="50" t="s">
        <v>62</v>
      </c>
      <c r="D141" s="50" t="str">
        <f>SUBSTITUTE(SUBSTITUTE(SUBSTITUTE(A141, "'max_iter': 500,", ""), "'max_iter': 1000,", ""), "'max_iter': 1500,", "")</f>
        <v>{'activation': 'identity', 'hidden_layer_sizes': (200, 100), 'learning_rate_init': 0.01,  'solver': 'adam'}</v>
      </c>
      <c r="E141">
        <f>_xlfn.RANK.EQ(B141,B$2:$B$479,0)</f>
        <v>136</v>
      </c>
      <c r="H141" s="40" t="s">
        <v>111</v>
      </c>
      <c r="I141" s="31">
        <v>0.76249999999999996</v>
      </c>
    </row>
    <row r="142" spans="1:9" x14ac:dyDescent="0.2">
      <c r="A142" s="50" t="s">
        <v>343</v>
      </c>
      <c r="B142" s="63">
        <v>0.76249999999999996</v>
      </c>
      <c r="C142" s="50" t="s">
        <v>62</v>
      </c>
      <c r="D142" s="50" t="str">
        <f>SUBSTITUTE(SUBSTITUTE(SUBSTITUTE(A142, "'max_iter': 500,", ""), "'max_iter': 1000,", ""), "'max_iter': 1500,", "")</f>
        <v>{'activation': 'identity', 'hidden_layer_sizes': (200, 100), 'learning_rate_init': 0.01,  'solver': 'adam'}</v>
      </c>
      <c r="E142">
        <f>_xlfn.RANK.EQ(B142,B$2:$B$479,0)</f>
        <v>136</v>
      </c>
      <c r="H142" s="40" t="s">
        <v>109</v>
      </c>
      <c r="I142" s="31">
        <v>0.76249999999999996</v>
      </c>
    </row>
    <row r="143" spans="1:9" x14ac:dyDescent="0.2">
      <c r="A143" s="50" t="s">
        <v>341</v>
      </c>
      <c r="B143" s="63">
        <v>0.76249999999999996</v>
      </c>
      <c r="C143" s="50" t="s">
        <v>62</v>
      </c>
      <c r="D143" s="50" t="str">
        <f>SUBSTITUTE(SUBSTITUTE(SUBSTITUTE(A143, "'max_iter': 500,", ""), "'max_iter': 1000,", ""), "'max_iter': 1500,", "")</f>
        <v>{'activation': 'tanh', 'hidden_layer_sizes': (200, 100, 50), 'learning_rate_init': 0.005,  'solver': 'adam'}</v>
      </c>
      <c r="E143">
        <f>_xlfn.RANK.EQ(B143,B$2:$B$479,0)</f>
        <v>136</v>
      </c>
      <c r="H143" s="40" t="s">
        <v>345</v>
      </c>
      <c r="I143" s="31">
        <v>0.76249999999999996</v>
      </c>
    </row>
    <row r="144" spans="1:9" x14ac:dyDescent="0.2">
      <c r="A144" s="50" t="s">
        <v>111</v>
      </c>
      <c r="B144" s="63">
        <v>0.76249999999999996</v>
      </c>
      <c r="C144" s="50" t="s">
        <v>62</v>
      </c>
      <c r="D144" s="50" t="str">
        <f>SUBSTITUTE(SUBSTITUTE(SUBSTITUTE(A144, "'max_iter': 500,", ""), "'max_iter': 1000,", ""), "'max_iter': 1500,", "")</f>
        <v>{'activation': 'tanh', 'hidden_layer_sizes': (200, 100, 50), 'learning_rate_init': 0.005,  'solver': 'adam'}</v>
      </c>
      <c r="E144">
        <f>_xlfn.RANK.EQ(B144,B$2:$B$479,0)</f>
        <v>136</v>
      </c>
      <c r="H144" s="40" t="s">
        <v>342</v>
      </c>
      <c r="I144" s="31">
        <v>0.76249999999999996</v>
      </c>
    </row>
    <row r="145" spans="1:9" x14ac:dyDescent="0.2">
      <c r="A145" s="50" t="s">
        <v>346</v>
      </c>
      <c r="B145" s="63">
        <v>0.76249999999999996</v>
      </c>
      <c r="C145" s="50" t="s">
        <v>62</v>
      </c>
      <c r="D145" s="50" t="str">
        <f>SUBSTITUTE(SUBSTITUTE(SUBSTITUTE(A145, "'max_iter': 500,", ""), "'max_iter': 1000,", ""), "'max_iter': 1500,", "")</f>
        <v>{'activation': 'tanh', 'hidden_layer_sizes': (200, 100, 50), 'learning_rate_init': 0.005,  'solver': 'adam'}</v>
      </c>
      <c r="E145">
        <f>_xlfn.RANK.EQ(B145,B$2:$B$479,0)</f>
        <v>136</v>
      </c>
      <c r="H145" s="40" t="s">
        <v>344</v>
      </c>
      <c r="I145" s="31">
        <v>0.76249999999999996</v>
      </c>
    </row>
    <row r="146" spans="1:9" x14ac:dyDescent="0.2">
      <c r="A146" s="50" t="s">
        <v>349</v>
      </c>
      <c r="B146" s="63">
        <v>0.76212301587301501</v>
      </c>
      <c r="C146" s="50" t="s">
        <v>62</v>
      </c>
      <c r="D146" s="50" t="str">
        <f>SUBSTITUTE(SUBSTITUTE(SUBSTITUTE(A146, "'max_iter': 500,", ""), "'max_iter': 1000,", ""), "'max_iter': 1500,", "")</f>
        <v>{'activation': 'identity', 'hidden_layer_sizes': 150, 'learning_rate_init': 0.001,  'solver': 'sgd'}</v>
      </c>
      <c r="E146">
        <f>_xlfn.RANK.EQ(B146,B$2:$B$479,0)</f>
        <v>145</v>
      </c>
      <c r="H146" s="40" t="s">
        <v>343</v>
      </c>
      <c r="I146" s="31">
        <v>0.76249999999999996</v>
      </c>
    </row>
    <row r="147" spans="1:9" x14ac:dyDescent="0.2">
      <c r="A147" s="50" t="s">
        <v>113</v>
      </c>
      <c r="B147" s="63">
        <v>0.76212301587301501</v>
      </c>
      <c r="C147" s="50" t="s">
        <v>62</v>
      </c>
      <c r="D147" s="50" t="str">
        <f>SUBSTITUTE(SUBSTITUTE(SUBSTITUTE(A147, "'max_iter': 500,", ""), "'max_iter': 1000,", ""), "'max_iter': 1500,", "")</f>
        <v>{'activation': 'identity', 'hidden_layer_sizes': 150, 'learning_rate_init': 0.001,  'solver': 'sgd'}</v>
      </c>
      <c r="E147">
        <f>_xlfn.RANK.EQ(B147,B$2:$B$479,0)</f>
        <v>145</v>
      </c>
      <c r="H147" s="40" t="s">
        <v>110</v>
      </c>
      <c r="I147" s="31">
        <v>0.76249999999999996</v>
      </c>
    </row>
    <row r="148" spans="1:9" x14ac:dyDescent="0.2">
      <c r="A148" s="50" t="s">
        <v>347</v>
      </c>
      <c r="B148" s="63">
        <v>0.76212301587301501</v>
      </c>
      <c r="C148" s="50" t="s">
        <v>62</v>
      </c>
      <c r="D148" s="50" t="str">
        <f>SUBSTITUTE(SUBSTITUTE(SUBSTITUTE(A148, "'max_iter': 500,", ""), "'max_iter': 1000,", ""), "'max_iter': 1500,", "")</f>
        <v>{'activation': 'identity', 'hidden_layer_sizes': 150, 'learning_rate_init': 0.001,  'solver': 'sgd'}</v>
      </c>
      <c r="E148">
        <f>_xlfn.RANK.EQ(B148,B$2:$B$479,0)</f>
        <v>145</v>
      </c>
      <c r="H148" s="40" t="s">
        <v>112</v>
      </c>
      <c r="I148" s="31">
        <v>0.76212301587301501</v>
      </c>
    </row>
    <row r="149" spans="1:9" x14ac:dyDescent="0.2">
      <c r="A149" s="50" t="s">
        <v>348</v>
      </c>
      <c r="B149" s="63">
        <v>0.76212301587301501</v>
      </c>
      <c r="C149" s="50" t="s">
        <v>62</v>
      </c>
      <c r="D149" s="50" t="str">
        <f>SUBSTITUTE(SUBSTITUTE(SUBSTITUTE(A149, "'max_iter': 500,", ""), "'max_iter': 1000,", ""), "'max_iter': 1500,", "")</f>
        <v>{'activation': 'relu', 'hidden_layer_sizes': 50, 'learning_rate_init': 0.005,  'solver': 'adam'}</v>
      </c>
      <c r="E149">
        <f>_xlfn.RANK.EQ(B149,B$2:$B$479,0)</f>
        <v>145</v>
      </c>
      <c r="H149" s="40" t="s">
        <v>348</v>
      </c>
      <c r="I149" s="31">
        <v>0.76212301587301501</v>
      </c>
    </row>
    <row r="150" spans="1:9" x14ac:dyDescent="0.2">
      <c r="A150" s="50" t="s">
        <v>112</v>
      </c>
      <c r="B150" s="63">
        <v>0.76212301587301501</v>
      </c>
      <c r="C150" s="50" t="s">
        <v>62</v>
      </c>
      <c r="D150" s="50" t="str">
        <f>SUBSTITUTE(SUBSTITUTE(SUBSTITUTE(A150, "'max_iter': 500,", ""), "'max_iter': 1000,", ""), "'max_iter': 1500,", "")</f>
        <v>{'activation': 'relu', 'hidden_layer_sizes': 50, 'learning_rate_init': 0.005,  'solver': 'adam'}</v>
      </c>
      <c r="E150">
        <f>_xlfn.RANK.EQ(B150,B$2:$B$479,0)</f>
        <v>145</v>
      </c>
      <c r="H150" s="40" t="s">
        <v>350</v>
      </c>
      <c r="I150" s="31">
        <v>0.76212301587301501</v>
      </c>
    </row>
    <row r="151" spans="1:9" x14ac:dyDescent="0.2">
      <c r="A151" s="50" t="s">
        <v>350</v>
      </c>
      <c r="B151" s="63">
        <v>0.76212301587301501</v>
      </c>
      <c r="C151" s="50" t="s">
        <v>62</v>
      </c>
      <c r="D151" s="50" t="str">
        <f>SUBSTITUTE(SUBSTITUTE(SUBSTITUTE(A151, "'max_iter': 500,", ""), "'max_iter': 1000,", ""), "'max_iter': 1500,", "")</f>
        <v>{'activation': 'relu', 'hidden_layer_sizes': 50, 'learning_rate_init': 0.005,  'solver': 'adam'}</v>
      </c>
      <c r="E151">
        <f>_xlfn.RANK.EQ(B151,B$2:$B$479,0)</f>
        <v>145</v>
      </c>
      <c r="H151" s="40" t="s">
        <v>347</v>
      </c>
      <c r="I151" s="31">
        <v>0.76212301587301501</v>
      </c>
    </row>
    <row r="152" spans="1:9" x14ac:dyDescent="0.2">
      <c r="A152" s="50" t="s">
        <v>352</v>
      </c>
      <c r="B152" s="63">
        <v>0.76166786112438201</v>
      </c>
      <c r="C152" s="50" t="s">
        <v>62</v>
      </c>
      <c r="D152" s="50" t="str">
        <f>SUBSTITUTE(SUBSTITUTE(SUBSTITUTE(A152, "'max_iter': 500,", ""), "'max_iter': 1000,", ""), "'max_iter': 1500,", "")</f>
        <v>{'activation': 'relu', 'hidden_layer_sizes': (200, 75, 25), 'learning_rate_init': 0.005,  'solver': 'adam'}</v>
      </c>
      <c r="E152">
        <f>_xlfn.RANK.EQ(B152,B$2:$B$479,0)</f>
        <v>151</v>
      </c>
      <c r="H152" s="40" t="s">
        <v>349</v>
      </c>
      <c r="I152" s="31">
        <v>0.76212301587301501</v>
      </c>
    </row>
    <row r="153" spans="1:9" x14ac:dyDescent="0.2">
      <c r="A153" s="50" t="s">
        <v>114</v>
      </c>
      <c r="B153" s="63">
        <v>0.76166786112438201</v>
      </c>
      <c r="C153" s="50" t="s">
        <v>62</v>
      </c>
      <c r="D153" s="50" t="str">
        <f>SUBSTITUTE(SUBSTITUTE(SUBSTITUTE(A153, "'max_iter': 500,", ""), "'max_iter': 1000,", ""), "'max_iter': 1500,", "")</f>
        <v>{'activation': 'relu', 'hidden_layer_sizes': (200, 75, 25), 'learning_rate_init': 0.005,  'solver': 'adam'}</v>
      </c>
      <c r="E153">
        <f>_xlfn.RANK.EQ(B153,B$2:$B$479,0)</f>
        <v>151</v>
      </c>
      <c r="H153" s="40" t="s">
        <v>113</v>
      </c>
      <c r="I153" s="31">
        <v>0.76212301587301501</v>
      </c>
    </row>
    <row r="154" spans="1:9" x14ac:dyDescent="0.2">
      <c r="A154" s="50" t="s">
        <v>351</v>
      </c>
      <c r="B154" s="63">
        <v>0.76166786112438201</v>
      </c>
      <c r="C154" s="50" t="s">
        <v>62</v>
      </c>
      <c r="D154" s="50" t="str">
        <f>SUBSTITUTE(SUBSTITUTE(SUBSTITUTE(A154, "'max_iter': 500,", ""), "'max_iter': 1000,", ""), "'max_iter': 1500,", "")</f>
        <v>{'activation': 'relu', 'hidden_layer_sizes': (200, 75, 25), 'learning_rate_init': 0.005,  'solver': 'adam'}</v>
      </c>
      <c r="E154">
        <f>_xlfn.RANK.EQ(B154,B$2:$B$479,0)</f>
        <v>151</v>
      </c>
      <c r="H154" s="40" t="s">
        <v>352</v>
      </c>
      <c r="I154" s="31">
        <v>0.76166786112438201</v>
      </c>
    </row>
    <row r="155" spans="1:9" x14ac:dyDescent="0.2">
      <c r="A155" s="50" t="s">
        <v>354</v>
      </c>
      <c r="B155" s="63">
        <v>0.75698663605322003</v>
      </c>
      <c r="C155" s="50" t="s">
        <v>62</v>
      </c>
      <c r="D155" s="50" t="str">
        <f>SUBSTITUTE(SUBSTITUTE(SUBSTITUTE(A155, "'max_iter': 500,", ""), "'max_iter': 1000,", ""), "'max_iter': 1500,", "")</f>
        <v>{'activation': 'tanh', 'hidden_layer_sizes': (100, 50), 'learning_rate_init': 0.005,  'solver': 'adam'}</v>
      </c>
      <c r="E155">
        <f>_xlfn.RANK.EQ(B155,B$2:$B$479,0)</f>
        <v>154</v>
      </c>
      <c r="H155" s="40" t="s">
        <v>351</v>
      </c>
      <c r="I155" s="31">
        <v>0.76166786112438201</v>
      </c>
    </row>
    <row r="156" spans="1:9" x14ac:dyDescent="0.2">
      <c r="A156" s="50" t="s">
        <v>115</v>
      </c>
      <c r="B156" s="63">
        <v>0.75698663605322003</v>
      </c>
      <c r="C156" s="50" t="s">
        <v>62</v>
      </c>
      <c r="D156" s="50" t="str">
        <f>SUBSTITUTE(SUBSTITUTE(SUBSTITUTE(A156, "'max_iter': 500,", ""), "'max_iter': 1000,", ""), "'max_iter': 1500,", "")</f>
        <v>{'activation': 'tanh', 'hidden_layer_sizes': (100, 50), 'learning_rate_init': 0.005,  'solver': 'adam'}</v>
      </c>
      <c r="E156">
        <f>_xlfn.RANK.EQ(B156,B$2:$B$479,0)</f>
        <v>154</v>
      </c>
      <c r="H156" s="40" t="s">
        <v>114</v>
      </c>
      <c r="I156" s="31">
        <v>0.76166786112438201</v>
      </c>
    </row>
    <row r="157" spans="1:9" x14ac:dyDescent="0.2">
      <c r="A157" s="50" t="s">
        <v>353</v>
      </c>
      <c r="B157" s="63">
        <v>0.75698663605322003</v>
      </c>
      <c r="C157" s="50" t="s">
        <v>62</v>
      </c>
      <c r="D157" s="50" t="str">
        <f>SUBSTITUTE(SUBSTITUTE(SUBSTITUTE(A157, "'max_iter': 500,", ""), "'max_iter': 1000,", ""), "'max_iter': 1500,", "")</f>
        <v>{'activation': 'tanh', 'hidden_layer_sizes': (100, 50), 'learning_rate_init': 0.005,  'solver': 'adam'}</v>
      </c>
      <c r="E157">
        <f>_xlfn.RANK.EQ(B157,B$2:$B$479,0)</f>
        <v>154</v>
      </c>
      <c r="H157" s="40" t="s">
        <v>115</v>
      </c>
      <c r="I157" s="31">
        <v>0.75698663605322003</v>
      </c>
    </row>
    <row r="158" spans="1:9" x14ac:dyDescent="0.2">
      <c r="A158" s="50" t="s">
        <v>359</v>
      </c>
      <c r="B158" s="63">
        <v>0.75687300931933399</v>
      </c>
      <c r="C158" s="50" t="s">
        <v>62</v>
      </c>
      <c r="D158" s="50" t="str">
        <f>SUBSTITUTE(SUBSTITUTE(SUBSTITUTE(A158, "'max_iter': 500,", ""), "'max_iter': 1000,", ""), "'max_iter': 1500,", "")</f>
        <v>{'activation': 'identity', 'hidden_layer_sizes': (200, 100, 50), 'learning_rate_init': 0.001,  'solver': 'adam'}</v>
      </c>
      <c r="E158">
        <f>_xlfn.RANK.EQ(B158,B$2:$B$479,0)</f>
        <v>157</v>
      </c>
      <c r="H158" s="40" t="s">
        <v>353</v>
      </c>
      <c r="I158" s="31">
        <v>0.75698663605322003</v>
      </c>
    </row>
    <row r="159" spans="1:9" x14ac:dyDescent="0.2">
      <c r="A159" s="50" t="s">
        <v>116</v>
      </c>
      <c r="B159" s="63">
        <v>0.75687300931933399</v>
      </c>
      <c r="C159" s="50" t="s">
        <v>62</v>
      </c>
      <c r="D159" s="50" t="str">
        <f>SUBSTITUTE(SUBSTITUTE(SUBSTITUTE(A159, "'max_iter': 500,", ""), "'max_iter': 1000,", ""), "'max_iter': 1500,", "")</f>
        <v>{'activation': 'identity', 'hidden_layer_sizes': (200, 100, 50), 'learning_rate_init': 0.001,  'solver': 'adam'}</v>
      </c>
      <c r="E159">
        <f>_xlfn.RANK.EQ(B159,B$2:$B$479,0)</f>
        <v>157</v>
      </c>
      <c r="H159" s="40" t="s">
        <v>354</v>
      </c>
      <c r="I159" s="31">
        <v>0.75698663605322003</v>
      </c>
    </row>
    <row r="160" spans="1:9" x14ac:dyDescent="0.2">
      <c r="A160" s="50" t="s">
        <v>356</v>
      </c>
      <c r="B160" s="63">
        <v>0.75687300931933399</v>
      </c>
      <c r="C160" s="50" t="s">
        <v>62</v>
      </c>
      <c r="D160" s="50" t="str">
        <f>SUBSTITUTE(SUBSTITUTE(SUBSTITUTE(A160, "'max_iter': 500,", ""), "'max_iter': 1000,", ""), "'max_iter': 1500,", "")</f>
        <v>{'activation': 'identity', 'hidden_layer_sizes': (200, 100, 50), 'learning_rate_init': 0.001,  'solver': 'adam'}</v>
      </c>
      <c r="E160">
        <f>_xlfn.RANK.EQ(B160,B$2:$B$479,0)</f>
        <v>157</v>
      </c>
      <c r="H160" s="40" t="s">
        <v>117</v>
      </c>
      <c r="I160" s="31">
        <v>0.75687300931933399</v>
      </c>
    </row>
    <row r="161" spans="1:9" x14ac:dyDescent="0.2">
      <c r="A161" s="50" t="s">
        <v>355</v>
      </c>
      <c r="B161" s="63">
        <v>0.75687300931933399</v>
      </c>
      <c r="C161" s="50" t="s">
        <v>62</v>
      </c>
      <c r="D161" s="50" t="str">
        <f>SUBSTITUTE(SUBSTITUTE(SUBSTITUTE(A161, "'max_iter': 500,", ""), "'max_iter': 1000,", ""), "'max_iter': 1500,", "")</f>
        <v>{'activation': 'identity', 'hidden_layer_sizes': 50, 'learning_rate_init': 0.01,  'solver': 'sgd'}</v>
      </c>
      <c r="E161">
        <f>_xlfn.RANK.EQ(B161,B$2:$B$479,0)</f>
        <v>157</v>
      </c>
      <c r="H161" s="40" t="s">
        <v>357</v>
      </c>
      <c r="I161" s="31">
        <v>0.75687300931933399</v>
      </c>
    </row>
    <row r="162" spans="1:9" x14ac:dyDescent="0.2">
      <c r="A162" s="50" t="s">
        <v>118</v>
      </c>
      <c r="B162" s="63">
        <v>0.75687300931933399</v>
      </c>
      <c r="C162" s="50" t="s">
        <v>62</v>
      </c>
      <c r="D162" s="50" t="str">
        <f>SUBSTITUTE(SUBSTITUTE(SUBSTITUTE(A162, "'max_iter': 500,", ""), "'max_iter': 1000,", ""), "'max_iter': 1500,", "")</f>
        <v>{'activation': 'identity', 'hidden_layer_sizes': 50, 'learning_rate_init': 0.01,  'solver': 'sgd'}</v>
      </c>
      <c r="E162">
        <f>_xlfn.RANK.EQ(B162,B$2:$B$479,0)</f>
        <v>157</v>
      </c>
      <c r="H162" s="40" t="s">
        <v>358</v>
      </c>
      <c r="I162" s="31">
        <v>0.75687300931933399</v>
      </c>
    </row>
    <row r="163" spans="1:9" x14ac:dyDescent="0.2">
      <c r="A163" s="50" t="s">
        <v>360</v>
      </c>
      <c r="B163" s="63">
        <v>0.75687300931933399</v>
      </c>
      <c r="C163" s="50" t="s">
        <v>62</v>
      </c>
      <c r="D163" s="50" t="str">
        <f>SUBSTITUTE(SUBSTITUTE(SUBSTITUTE(A163, "'max_iter': 500,", ""), "'max_iter': 1000,", ""), "'max_iter': 1500,", "")</f>
        <v>{'activation': 'identity', 'hidden_layer_sizes': 50, 'learning_rate_init': 0.01,  'solver': 'sgd'}</v>
      </c>
      <c r="E163">
        <f>_xlfn.RANK.EQ(B163,B$2:$B$479,0)</f>
        <v>157</v>
      </c>
      <c r="H163" s="40" t="s">
        <v>360</v>
      </c>
      <c r="I163" s="31">
        <v>0.75687300931933399</v>
      </c>
    </row>
    <row r="164" spans="1:9" x14ac:dyDescent="0.2">
      <c r="A164" s="50" t="s">
        <v>357</v>
      </c>
      <c r="B164" s="63">
        <v>0.75687300931933399</v>
      </c>
      <c r="C164" s="50" t="s">
        <v>62</v>
      </c>
      <c r="D164" s="50" t="str">
        <f>SUBSTITUTE(SUBSTITUTE(SUBSTITUTE(A164, "'max_iter': 500,", ""), "'max_iter': 1000,", ""), "'max_iter': 1500,", "")</f>
        <v>{'activation': 'tanh', 'hidden_layer_sizes': 100, 'learning_rate_init': 0.005,  'solver': 'sgd'}</v>
      </c>
      <c r="E164">
        <f>_xlfn.RANK.EQ(B164,B$2:$B$479,0)</f>
        <v>157</v>
      </c>
      <c r="H164" s="40" t="s">
        <v>356</v>
      </c>
      <c r="I164" s="31">
        <v>0.75687300931933399</v>
      </c>
    </row>
    <row r="165" spans="1:9" x14ac:dyDescent="0.2">
      <c r="A165" s="50" t="s">
        <v>117</v>
      </c>
      <c r="B165" s="63">
        <v>0.75687300931933399</v>
      </c>
      <c r="C165" s="50" t="s">
        <v>62</v>
      </c>
      <c r="D165" s="50" t="str">
        <f>SUBSTITUTE(SUBSTITUTE(SUBSTITUTE(A165, "'max_iter': 500,", ""), "'max_iter': 1000,", ""), "'max_iter': 1500,", "")</f>
        <v>{'activation': 'tanh', 'hidden_layer_sizes': 100, 'learning_rate_init': 0.005,  'solver': 'sgd'}</v>
      </c>
      <c r="E165">
        <f>_xlfn.RANK.EQ(B165,B$2:$B$479,0)</f>
        <v>157</v>
      </c>
      <c r="H165" s="40" t="s">
        <v>355</v>
      </c>
      <c r="I165" s="31">
        <v>0.75687300931933399</v>
      </c>
    </row>
    <row r="166" spans="1:9" x14ac:dyDescent="0.2">
      <c r="A166" s="50" t="s">
        <v>358</v>
      </c>
      <c r="B166" s="63">
        <v>0.75687300931933399</v>
      </c>
      <c r="C166" s="50" t="s">
        <v>62</v>
      </c>
      <c r="D166" s="50" t="str">
        <f>SUBSTITUTE(SUBSTITUTE(SUBSTITUTE(A166, "'max_iter': 500,", ""), "'max_iter': 1000,", ""), "'max_iter': 1500,", "")</f>
        <v>{'activation': 'tanh', 'hidden_layer_sizes': 100, 'learning_rate_init': 0.005,  'solver': 'sgd'}</v>
      </c>
      <c r="E166">
        <f>_xlfn.RANK.EQ(B166,B$2:$B$479,0)</f>
        <v>157</v>
      </c>
      <c r="H166" s="40" t="s">
        <v>116</v>
      </c>
      <c r="I166" s="31">
        <v>0.75687300931933399</v>
      </c>
    </row>
    <row r="167" spans="1:9" x14ac:dyDescent="0.2">
      <c r="A167" s="50" t="s">
        <v>370</v>
      </c>
      <c r="B167" s="63">
        <v>0.756682266009852</v>
      </c>
      <c r="C167" s="50" t="s">
        <v>62</v>
      </c>
      <c r="D167" s="50" t="str">
        <f>SUBSTITUTE(SUBSTITUTE(SUBSTITUTE(A167, "'max_iter': 500,", ""), "'max_iter': 1000,", ""), "'max_iter': 1500,", "")</f>
        <v>{'activation': 'logistic', 'hidden_layer_sizes': (100, 50), 'learning_rate_init': 0.001,  'solver': 'adam'}</v>
      </c>
      <c r="E167">
        <f>_xlfn.RANK.EQ(B167,B$2:$B$479,0)</f>
        <v>166</v>
      </c>
      <c r="H167" s="40" t="s">
        <v>118</v>
      </c>
      <c r="I167" s="31">
        <v>0.75687300931933399</v>
      </c>
    </row>
    <row r="168" spans="1:9" x14ac:dyDescent="0.2">
      <c r="A168" s="50" t="s">
        <v>122</v>
      </c>
      <c r="B168" s="63">
        <v>0.756682266009852</v>
      </c>
      <c r="C168" s="50" t="s">
        <v>62</v>
      </c>
      <c r="D168" s="50" t="str">
        <f>SUBSTITUTE(SUBSTITUTE(SUBSTITUTE(A168, "'max_iter': 500,", ""), "'max_iter': 1000,", ""), "'max_iter': 1500,", "")</f>
        <v>{'activation': 'logistic', 'hidden_layer_sizes': (100, 50), 'learning_rate_init': 0.001,  'solver': 'adam'}</v>
      </c>
      <c r="E168">
        <f>_xlfn.RANK.EQ(B168,B$2:$B$479,0)</f>
        <v>166</v>
      </c>
      <c r="H168" s="40" t="s">
        <v>359</v>
      </c>
      <c r="I168" s="31">
        <v>0.75687300931933399</v>
      </c>
    </row>
    <row r="169" spans="1:9" x14ac:dyDescent="0.2">
      <c r="A169" s="50" t="s">
        <v>367</v>
      </c>
      <c r="B169" s="63">
        <v>0.756682266009852</v>
      </c>
      <c r="C169" s="50" t="s">
        <v>62</v>
      </c>
      <c r="D169" s="50" t="str">
        <f>SUBSTITUTE(SUBSTITUTE(SUBSTITUTE(A169, "'max_iter': 500,", ""), "'max_iter': 1000,", ""), "'max_iter': 1500,", "")</f>
        <v>{'activation': 'logistic', 'hidden_layer_sizes': (100, 50), 'learning_rate_init': 0.001,  'solver': 'adam'}</v>
      </c>
      <c r="E169">
        <f>_xlfn.RANK.EQ(B169,B$2:$B$479,0)</f>
        <v>166</v>
      </c>
      <c r="H169" s="40" t="s">
        <v>361</v>
      </c>
      <c r="I169" s="31">
        <v>0.756682266009852</v>
      </c>
    </row>
    <row r="170" spans="1:9" x14ac:dyDescent="0.2">
      <c r="A170" s="50" t="s">
        <v>362</v>
      </c>
      <c r="B170" s="63">
        <v>0.756682266009852</v>
      </c>
      <c r="C170" s="50" t="s">
        <v>62</v>
      </c>
      <c r="D170" s="50" t="str">
        <f>SUBSTITUTE(SUBSTITUTE(SUBSTITUTE(A170, "'max_iter': 500,", ""), "'max_iter': 1000,", ""), "'max_iter': 1500,", "")</f>
        <v>{'activation': 'logistic', 'hidden_layer_sizes': 100, 'learning_rate_init': 0.005,  'solver': 'adam'}</v>
      </c>
      <c r="E170">
        <f>_xlfn.RANK.EQ(B170,B$2:$B$479,0)</f>
        <v>166</v>
      </c>
      <c r="H170" s="40" t="s">
        <v>369</v>
      </c>
      <c r="I170" s="31">
        <v>0.756682266009852</v>
      </c>
    </row>
    <row r="171" spans="1:9" x14ac:dyDescent="0.2">
      <c r="A171" s="50" t="s">
        <v>120</v>
      </c>
      <c r="B171" s="63">
        <v>0.756682266009852</v>
      </c>
      <c r="C171" s="50" t="s">
        <v>62</v>
      </c>
      <c r="D171" s="50" t="str">
        <f>SUBSTITUTE(SUBSTITUTE(SUBSTITUTE(A171, "'max_iter': 500,", ""), "'max_iter': 1000,", ""), "'max_iter': 1500,", "")</f>
        <v>{'activation': 'logistic', 'hidden_layer_sizes': 100, 'learning_rate_init': 0.005,  'solver': 'adam'}</v>
      </c>
      <c r="E171">
        <f>_xlfn.RANK.EQ(B171,B$2:$B$479,0)</f>
        <v>166</v>
      </c>
      <c r="H171" s="40" t="s">
        <v>364</v>
      </c>
      <c r="I171" s="31">
        <v>0.756682266009852</v>
      </c>
    </row>
    <row r="172" spans="1:9" x14ac:dyDescent="0.2">
      <c r="A172" s="50" t="s">
        <v>363</v>
      </c>
      <c r="B172" s="63">
        <v>0.756682266009852</v>
      </c>
      <c r="C172" s="50" t="s">
        <v>62</v>
      </c>
      <c r="D172" s="50" t="str">
        <f>SUBSTITUTE(SUBSTITUTE(SUBSTITUTE(A172, "'max_iter': 500,", ""), "'max_iter': 1000,", ""), "'max_iter': 1500,", "")</f>
        <v>{'activation': 'logistic', 'hidden_layer_sizes': 100, 'learning_rate_init': 0.005,  'solver': 'adam'}</v>
      </c>
      <c r="E172">
        <f>_xlfn.RANK.EQ(B172,B$2:$B$479,0)</f>
        <v>166</v>
      </c>
      <c r="H172" s="40" t="s">
        <v>366</v>
      </c>
      <c r="I172" s="31">
        <v>0.756682266009852</v>
      </c>
    </row>
    <row r="173" spans="1:9" x14ac:dyDescent="0.2">
      <c r="A173" s="50" t="s">
        <v>364</v>
      </c>
      <c r="B173" s="63">
        <v>0.756682266009852</v>
      </c>
      <c r="C173" s="50" t="s">
        <v>62</v>
      </c>
      <c r="D173" s="50" t="str">
        <f>SUBSTITUTE(SUBSTITUTE(SUBSTITUTE(A173, "'max_iter': 500,", ""), "'max_iter': 1000,", ""), "'max_iter': 1500,", "")</f>
        <v>{'activation': 'tanh', 'hidden_layer_sizes': (200, 75, 25), 'learning_rate_init': 0.005,  'solver': 'sgd'}</v>
      </c>
      <c r="E173">
        <f>_xlfn.RANK.EQ(B173,B$2:$B$479,0)</f>
        <v>166</v>
      </c>
      <c r="H173" s="40" t="s">
        <v>121</v>
      </c>
      <c r="I173" s="31">
        <v>0.756682266009852</v>
      </c>
    </row>
    <row r="174" spans="1:9" x14ac:dyDescent="0.2">
      <c r="A174" s="50" t="s">
        <v>119</v>
      </c>
      <c r="B174" s="63">
        <v>0.756682266009852</v>
      </c>
      <c r="C174" s="50" t="s">
        <v>62</v>
      </c>
      <c r="D174" s="50" t="str">
        <f>SUBSTITUTE(SUBSTITUTE(SUBSTITUTE(A174, "'max_iter': 500,", ""), "'max_iter': 1000,", ""), "'max_iter': 1500,", "")</f>
        <v>{'activation': 'tanh', 'hidden_layer_sizes': (200, 75, 25), 'learning_rate_init': 0.005,  'solver': 'sgd'}</v>
      </c>
      <c r="E174">
        <f>_xlfn.RANK.EQ(B174,B$2:$B$479,0)</f>
        <v>166</v>
      </c>
      <c r="H174" s="40" t="s">
        <v>365</v>
      </c>
      <c r="I174" s="31">
        <v>0.756682266009852</v>
      </c>
    </row>
    <row r="175" spans="1:9" x14ac:dyDescent="0.2">
      <c r="A175" s="50" t="s">
        <v>361</v>
      </c>
      <c r="B175" s="63">
        <v>0.756682266009852</v>
      </c>
      <c r="C175" s="50" t="s">
        <v>62</v>
      </c>
      <c r="D175" s="50" t="str">
        <f>SUBSTITUTE(SUBSTITUTE(SUBSTITUTE(A175, "'max_iter': 500,", ""), "'max_iter': 1000,", ""), "'max_iter': 1500,", "")</f>
        <v>{'activation': 'tanh', 'hidden_layer_sizes': (200, 75, 25), 'learning_rate_init': 0.005,  'solver': 'sgd'}</v>
      </c>
      <c r="E175">
        <f>_xlfn.RANK.EQ(B175,B$2:$B$479,0)</f>
        <v>166</v>
      </c>
      <c r="H175" s="40" t="s">
        <v>123</v>
      </c>
      <c r="I175" s="31">
        <v>0.756682266009852</v>
      </c>
    </row>
    <row r="176" spans="1:9" x14ac:dyDescent="0.2">
      <c r="A176" s="50" t="s">
        <v>368</v>
      </c>
      <c r="B176" s="63">
        <v>0.756682266009852</v>
      </c>
      <c r="C176" s="50" t="s">
        <v>62</v>
      </c>
      <c r="D176" s="50" t="str">
        <f>SUBSTITUTE(SUBSTITUTE(SUBSTITUTE(A176, "'max_iter': 500,", ""), "'max_iter': 1000,", ""), "'max_iter': 1500,", "")</f>
        <v>{'activation': 'tanh', 'hidden_layer_sizes': (200, 75, 25), 'learning_rate_init': 0.01,  'solver': 'sgd'}</v>
      </c>
      <c r="E176">
        <f>_xlfn.RANK.EQ(B176,B$2:$B$479,0)</f>
        <v>166</v>
      </c>
      <c r="H176" s="40" t="s">
        <v>368</v>
      </c>
      <c r="I176" s="31">
        <v>0.756682266009852</v>
      </c>
    </row>
    <row r="177" spans="1:9" x14ac:dyDescent="0.2">
      <c r="A177" s="50" t="s">
        <v>123</v>
      </c>
      <c r="B177" s="63">
        <v>0.756682266009852</v>
      </c>
      <c r="C177" s="50" t="s">
        <v>62</v>
      </c>
      <c r="D177" s="50" t="str">
        <f>SUBSTITUTE(SUBSTITUTE(SUBSTITUTE(A177, "'max_iter': 500,", ""), "'max_iter': 1000,", ""), "'max_iter': 1500,", "")</f>
        <v>{'activation': 'tanh', 'hidden_layer_sizes': (200, 75, 25), 'learning_rate_init': 0.01,  'solver': 'sgd'}</v>
      </c>
      <c r="E177">
        <f>_xlfn.RANK.EQ(B177,B$2:$B$479,0)</f>
        <v>166</v>
      </c>
      <c r="H177" s="40" t="s">
        <v>119</v>
      </c>
      <c r="I177" s="31">
        <v>0.756682266009852</v>
      </c>
    </row>
    <row r="178" spans="1:9" x14ac:dyDescent="0.2">
      <c r="A178" s="50" t="s">
        <v>369</v>
      </c>
      <c r="B178" s="63">
        <v>0.756682266009852</v>
      </c>
      <c r="C178" s="50" t="s">
        <v>62</v>
      </c>
      <c r="D178" s="50" t="str">
        <f>SUBSTITUTE(SUBSTITUTE(SUBSTITUTE(A178, "'max_iter': 500,", ""), "'max_iter': 1000,", ""), "'max_iter': 1500,", "")</f>
        <v>{'activation': 'tanh', 'hidden_layer_sizes': (200, 75, 25), 'learning_rate_init': 0.01,  'solver': 'sgd'}</v>
      </c>
      <c r="E178">
        <f>_xlfn.RANK.EQ(B178,B$2:$B$479,0)</f>
        <v>166</v>
      </c>
      <c r="H178" s="40" t="s">
        <v>120</v>
      </c>
      <c r="I178" s="31">
        <v>0.756682266009852</v>
      </c>
    </row>
    <row r="179" spans="1:9" x14ac:dyDescent="0.2">
      <c r="A179" s="50" t="s">
        <v>366</v>
      </c>
      <c r="B179" s="63">
        <v>0.756682266009852</v>
      </c>
      <c r="C179" s="50" t="s">
        <v>62</v>
      </c>
      <c r="D179" s="50" t="str">
        <f>SUBSTITUTE(SUBSTITUTE(SUBSTITUTE(A179, "'max_iter': 500,", ""), "'max_iter': 1000,", ""), "'max_iter': 1500,", "")</f>
        <v>{'activation': 'tanh', 'hidden_layer_sizes': 150, 'learning_rate_init': 0.001,  'solver': 'sgd'}</v>
      </c>
      <c r="E179">
        <f>_xlfn.RANK.EQ(B179,B$2:$B$479,0)</f>
        <v>166</v>
      </c>
      <c r="H179" s="40" t="s">
        <v>370</v>
      </c>
      <c r="I179" s="31">
        <v>0.756682266009852</v>
      </c>
    </row>
    <row r="180" spans="1:9" x14ac:dyDescent="0.2">
      <c r="A180" s="50" t="s">
        <v>121</v>
      </c>
      <c r="B180" s="63">
        <v>0.756682266009852</v>
      </c>
      <c r="C180" s="50" t="s">
        <v>62</v>
      </c>
      <c r="D180" s="50" t="str">
        <f>SUBSTITUTE(SUBSTITUTE(SUBSTITUTE(A180, "'max_iter': 500,", ""), "'max_iter': 1000,", ""), "'max_iter': 1500,", "")</f>
        <v>{'activation': 'tanh', 'hidden_layer_sizes': 150, 'learning_rate_init': 0.001,  'solver': 'sgd'}</v>
      </c>
      <c r="E180">
        <f>_xlfn.RANK.EQ(B180,B$2:$B$479,0)</f>
        <v>166</v>
      </c>
      <c r="H180" s="40" t="s">
        <v>122</v>
      </c>
      <c r="I180" s="31">
        <v>0.756682266009852</v>
      </c>
    </row>
    <row r="181" spans="1:9" x14ac:dyDescent="0.2">
      <c r="A181" s="50" t="s">
        <v>365</v>
      </c>
      <c r="B181" s="63">
        <v>0.756682266009852</v>
      </c>
      <c r="C181" s="50" t="s">
        <v>62</v>
      </c>
      <c r="D181" s="50" t="str">
        <f>SUBSTITUTE(SUBSTITUTE(SUBSTITUTE(A181, "'max_iter': 500,", ""), "'max_iter': 1000,", ""), "'max_iter': 1500,", "")</f>
        <v>{'activation': 'tanh', 'hidden_layer_sizes': 150, 'learning_rate_init': 0.001,  'solver': 'sgd'}</v>
      </c>
      <c r="E181">
        <f>_xlfn.RANK.EQ(B181,B$2:$B$479,0)</f>
        <v>166</v>
      </c>
      <c r="H181" s="40" t="s">
        <v>367</v>
      </c>
      <c r="I181" s="31">
        <v>0.756682266009852</v>
      </c>
    </row>
    <row r="182" spans="1:9" x14ac:dyDescent="0.2">
      <c r="A182" s="50" t="s">
        <v>375</v>
      </c>
      <c r="B182" s="63">
        <v>0.756413713405238</v>
      </c>
      <c r="C182" s="50" t="s">
        <v>62</v>
      </c>
      <c r="D182" s="50" t="str">
        <f>SUBSTITUTE(SUBSTITUTE(SUBSTITUTE(A182, "'max_iter': 500,", ""), "'max_iter': 1000,", ""), "'max_iter': 1500,", "")</f>
        <v>{'activation': 'identity', 'hidden_layer_sizes': (100, 50), 'learning_rate_init': 0.001,  'solver': 'sgd'}</v>
      </c>
      <c r="E182">
        <f>_xlfn.RANK.EQ(B182,B$2:$B$479,0)</f>
        <v>181</v>
      </c>
      <c r="H182" s="40" t="s">
        <v>362</v>
      </c>
      <c r="I182" s="31">
        <v>0.756682266009852</v>
      </c>
    </row>
    <row r="183" spans="1:9" x14ac:dyDescent="0.2">
      <c r="A183" s="50" t="s">
        <v>126</v>
      </c>
      <c r="B183" s="63">
        <v>0.756413713405238</v>
      </c>
      <c r="C183" s="50" t="s">
        <v>62</v>
      </c>
      <c r="D183" s="50" t="str">
        <f>SUBSTITUTE(SUBSTITUTE(SUBSTITUTE(A183, "'max_iter': 500,", ""), "'max_iter': 1000,", ""), "'max_iter': 1500,", "")</f>
        <v>{'activation': 'identity', 'hidden_layer_sizes': (100, 50), 'learning_rate_init': 0.001,  'solver': 'sgd'}</v>
      </c>
      <c r="E183">
        <f>_xlfn.RANK.EQ(B183,B$2:$B$479,0)</f>
        <v>181</v>
      </c>
      <c r="H183" s="40" t="s">
        <v>363</v>
      </c>
      <c r="I183" s="31">
        <v>0.756682266009852</v>
      </c>
    </row>
    <row r="184" spans="1:9" x14ac:dyDescent="0.2">
      <c r="A184" s="50" t="s">
        <v>374</v>
      </c>
      <c r="B184" s="63">
        <v>0.756413713405238</v>
      </c>
      <c r="C184" s="50" t="s">
        <v>62</v>
      </c>
      <c r="D184" s="50" t="str">
        <f>SUBSTITUTE(SUBSTITUTE(SUBSTITUTE(A184, "'max_iter': 500,", ""), "'max_iter': 1000,", ""), "'max_iter': 1500,", "")</f>
        <v>{'activation': 'identity', 'hidden_layer_sizes': (100, 50), 'learning_rate_init': 0.001,  'solver': 'sgd'}</v>
      </c>
      <c r="E184">
        <f>_xlfn.RANK.EQ(B184,B$2:$B$479,0)</f>
        <v>181</v>
      </c>
      <c r="H184" s="40" t="s">
        <v>371</v>
      </c>
      <c r="I184" s="31">
        <v>0.756413713405238</v>
      </c>
    </row>
    <row r="185" spans="1:9" x14ac:dyDescent="0.2">
      <c r="A185" s="50" t="s">
        <v>372</v>
      </c>
      <c r="B185" s="63">
        <v>0.756413713405238</v>
      </c>
      <c r="C185" s="50" t="s">
        <v>62</v>
      </c>
      <c r="D185" s="50" t="str">
        <f>SUBSTITUTE(SUBSTITUTE(SUBSTITUTE(A185, "'max_iter': 500,", ""), "'max_iter': 1000,", ""), "'max_iter': 1500,", "")</f>
        <v>{'activation': 'identity', 'hidden_layer_sizes': 100, 'learning_rate_init': 0.001,  'solver': 'sgd'}</v>
      </c>
      <c r="E185">
        <f>_xlfn.RANK.EQ(B185,B$2:$B$479,0)</f>
        <v>181</v>
      </c>
      <c r="H185" s="40" t="s">
        <v>376</v>
      </c>
      <c r="I185" s="31">
        <v>0.756413713405238</v>
      </c>
    </row>
    <row r="186" spans="1:9" x14ac:dyDescent="0.2">
      <c r="A186" s="50" t="s">
        <v>125</v>
      </c>
      <c r="B186" s="63">
        <v>0.756413713405238</v>
      </c>
      <c r="C186" s="50" t="s">
        <v>62</v>
      </c>
      <c r="D186" s="50" t="str">
        <f>SUBSTITUTE(SUBSTITUTE(SUBSTITUTE(A186, "'max_iter': 500,", ""), "'max_iter': 1000,", ""), "'max_iter': 1500,", "")</f>
        <v>{'activation': 'identity', 'hidden_layer_sizes': 100, 'learning_rate_init': 0.001,  'solver': 'sgd'}</v>
      </c>
      <c r="E186">
        <f>_xlfn.RANK.EQ(B186,B$2:$B$479,0)</f>
        <v>181</v>
      </c>
      <c r="H186" s="40" t="s">
        <v>126</v>
      </c>
      <c r="I186" s="31">
        <v>0.756413713405238</v>
      </c>
    </row>
    <row r="187" spans="1:9" x14ac:dyDescent="0.2">
      <c r="A187" s="50" t="s">
        <v>376</v>
      </c>
      <c r="B187" s="63">
        <v>0.756413713405238</v>
      </c>
      <c r="C187" s="50" t="s">
        <v>62</v>
      </c>
      <c r="D187" s="50" t="str">
        <f>SUBSTITUTE(SUBSTITUTE(SUBSTITUTE(A187, "'max_iter': 500,", ""), "'max_iter': 1000,", ""), "'max_iter': 1500,", "")</f>
        <v>{'activation': 'identity', 'hidden_layer_sizes': 100, 'learning_rate_init': 0.001,  'solver': 'sgd'}</v>
      </c>
      <c r="E187">
        <f>_xlfn.RANK.EQ(B187,B$2:$B$479,0)</f>
        <v>181</v>
      </c>
      <c r="H187" s="40" t="s">
        <v>375</v>
      </c>
      <c r="I187" s="31">
        <v>0.756413713405238</v>
      </c>
    </row>
    <row r="188" spans="1:9" x14ac:dyDescent="0.2">
      <c r="A188" s="50" t="s">
        <v>373</v>
      </c>
      <c r="B188" s="63">
        <v>0.756413713405238</v>
      </c>
      <c r="C188" s="50" t="s">
        <v>62</v>
      </c>
      <c r="D188" s="50" t="str">
        <f>SUBSTITUTE(SUBSTITUTE(SUBSTITUTE(A188, "'max_iter': 500,", ""), "'max_iter': 1000,", ""), "'max_iter': 1500,", "")</f>
        <v>{'activation': 'identity', 'hidden_layer_sizes': 50, 'learning_rate_init': 0.001,  'solver': 'adam'}</v>
      </c>
      <c r="E188">
        <f>_xlfn.RANK.EQ(B188,B$2:$B$479,0)</f>
        <v>181</v>
      </c>
      <c r="H188" s="40" t="s">
        <v>372</v>
      </c>
      <c r="I188" s="31">
        <v>0.756413713405238</v>
      </c>
    </row>
    <row r="189" spans="1:9" x14ac:dyDescent="0.2">
      <c r="A189" s="50" t="s">
        <v>124</v>
      </c>
      <c r="B189" s="63">
        <v>0.756413713405238</v>
      </c>
      <c r="C189" s="50" t="s">
        <v>62</v>
      </c>
      <c r="D189" s="50" t="str">
        <f>SUBSTITUTE(SUBSTITUTE(SUBSTITUTE(A189, "'max_iter': 500,", ""), "'max_iter': 1000,", ""), "'max_iter': 1500,", "")</f>
        <v>{'activation': 'identity', 'hidden_layer_sizes': 50, 'learning_rate_init': 0.001,  'solver': 'adam'}</v>
      </c>
      <c r="E189">
        <f>_xlfn.RANK.EQ(B189,B$2:$B$479,0)</f>
        <v>181</v>
      </c>
      <c r="H189" s="40" t="s">
        <v>125</v>
      </c>
      <c r="I189" s="31">
        <v>0.756413713405238</v>
      </c>
    </row>
    <row r="190" spans="1:9" x14ac:dyDescent="0.2">
      <c r="A190" s="50" t="s">
        <v>371</v>
      </c>
      <c r="B190" s="63">
        <v>0.756413713405238</v>
      </c>
      <c r="C190" s="50" t="s">
        <v>62</v>
      </c>
      <c r="D190" s="50" t="str">
        <f>SUBSTITUTE(SUBSTITUTE(SUBSTITUTE(A190, "'max_iter': 500,", ""), "'max_iter': 1000,", ""), "'max_iter': 1500,", "")</f>
        <v>{'activation': 'identity', 'hidden_layer_sizes': 50, 'learning_rate_init': 0.001,  'solver': 'adam'}</v>
      </c>
      <c r="E190">
        <f>_xlfn.RANK.EQ(B190,B$2:$B$479,0)</f>
        <v>181</v>
      </c>
      <c r="H190" s="40" t="s">
        <v>373</v>
      </c>
      <c r="I190" s="31">
        <v>0.756413713405238</v>
      </c>
    </row>
    <row r="191" spans="1:9" x14ac:dyDescent="0.2">
      <c r="A191" s="50" t="s">
        <v>387</v>
      </c>
      <c r="B191" s="63">
        <v>0.75606650421966004</v>
      </c>
      <c r="C191" s="50" t="s">
        <v>62</v>
      </c>
      <c r="D191" s="50" t="str">
        <f>SUBSTITUTE(SUBSTITUTE(SUBSTITUTE(A191, "'max_iter': 500,", ""), "'max_iter': 1000,", ""), "'max_iter': 1500,", "")</f>
        <v>{'activation': 'identity', 'hidden_layer_sizes': (150, 75), 'learning_rate_init': 0.005,  'solver': 'sgd'}</v>
      </c>
      <c r="E191">
        <f>_xlfn.RANK.EQ(B191,B$2:$B$479,0)</f>
        <v>190</v>
      </c>
      <c r="H191" s="40" t="s">
        <v>374</v>
      </c>
      <c r="I191" s="31">
        <v>0.756413713405238</v>
      </c>
    </row>
    <row r="192" spans="1:9" x14ac:dyDescent="0.2">
      <c r="A192" s="50" t="s">
        <v>129</v>
      </c>
      <c r="B192" s="63">
        <v>0.75606650421966004</v>
      </c>
      <c r="C192" s="50" t="s">
        <v>62</v>
      </c>
      <c r="D192" s="50" t="str">
        <f>SUBSTITUTE(SUBSTITUTE(SUBSTITUTE(A192, "'max_iter': 500,", ""), "'max_iter': 1000,", ""), "'max_iter': 1500,", "")</f>
        <v>{'activation': 'identity', 'hidden_layer_sizes': (150, 75), 'learning_rate_init': 0.005,  'solver': 'sgd'}</v>
      </c>
      <c r="E192">
        <f>_xlfn.RANK.EQ(B192,B$2:$B$479,0)</f>
        <v>190</v>
      </c>
      <c r="H192" s="40" t="s">
        <v>124</v>
      </c>
      <c r="I192" s="31">
        <v>0.756413713405238</v>
      </c>
    </row>
    <row r="193" spans="1:9" x14ac:dyDescent="0.2">
      <c r="A193" s="50" t="s">
        <v>385</v>
      </c>
      <c r="B193" s="63">
        <v>0.75606650421966004</v>
      </c>
      <c r="C193" s="50" t="s">
        <v>62</v>
      </c>
      <c r="D193" s="50" t="str">
        <f>SUBSTITUTE(SUBSTITUTE(SUBSTITUTE(A193, "'max_iter': 500,", ""), "'max_iter': 1000,", ""), "'max_iter': 1500,", "")</f>
        <v>{'activation': 'identity', 'hidden_layer_sizes': (150, 75), 'learning_rate_init': 0.005,  'solver': 'sgd'}</v>
      </c>
      <c r="E193">
        <f>_xlfn.RANK.EQ(B193,B$2:$B$479,0)</f>
        <v>190</v>
      </c>
      <c r="H193" s="40" t="s">
        <v>386</v>
      </c>
      <c r="I193" s="31">
        <v>0.75606650421966004</v>
      </c>
    </row>
    <row r="194" spans="1:9" x14ac:dyDescent="0.2">
      <c r="A194" s="50" t="s">
        <v>383</v>
      </c>
      <c r="B194" s="63">
        <v>0.75606650421966004</v>
      </c>
      <c r="C194" s="50" t="s">
        <v>62</v>
      </c>
      <c r="D194" s="50" t="str">
        <f>SUBSTITUTE(SUBSTITUTE(SUBSTITUTE(A194, "'max_iter': 500,", ""), "'max_iter': 1000,", ""), "'max_iter': 1500,", "")</f>
        <v>{'activation': 'identity', 'hidden_layer_sizes': (200, 100, 50), 'learning_rate_init': 0.001,  'solver': 'sgd'}</v>
      </c>
      <c r="E194">
        <f>_xlfn.RANK.EQ(B194,B$2:$B$479,0)</f>
        <v>190</v>
      </c>
      <c r="H194" s="40" t="s">
        <v>134</v>
      </c>
      <c r="I194" s="31">
        <v>0.75606650421966004</v>
      </c>
    </row>
    <row r="195" spans="1:9" x14ac:dyDescent="0.2">
      <c r="A195" s="50" t="s">
        <v>127</v>
      </c>
      <c r="B195" s="63">
        <v>0.75606650421966004</v>
      </c>
      <c r="C195" s="50" t="s">
        <v>62</v>
      </c>
      <c r="D195" s="50" t="str">
        <f>SUBSTITUTE(SUBSTITUTE(SUBSTITUTE(A195, "'max_iter': 500,", ""), "'max_iter': 1000,", ""), "'max_iter': 1500,", "")</f>
        <v>{'activation': 'identity', 'hidden_layer_sizes': (200, 100, 50), 'learning_rate_init': 0.001,  'solver': 'sgd'}</v>
      </c>
      <c r="E195">
        <f>_xlfn.RANK.EQ(B195,B$2:$B$479,0)</f>
        <v>190</v>
      </c>
      <c r="H195" s="40" t="s">
        <v>133</v>
      </c>
      <c r="I195" s="31">
        <v>0.75606650421966004</v>
      </c>
    </row>
    <row r="196" spans="1:9" x14ac:dyDescent="0.2">
      <c r="A196" s="50" t="s">
        <v>384</v>
      </c>
      <c r="B196" s="63">
        <v>0.75606650421966004</v>
      </c>
      <c r="C196" s="50" t="s">
        <v>62</v>
      </c>
      <c r="D196" s="50" t="str">
        <f>SUBSTITUTE(SUBSTITUTE(SUBSTITUTE(A196, "'max_iter': 500,", ""), "'max_iter': 1000,", ""), "'max_iter': 1500,", "")</f>
        <v>{'activation': 'identity', 'hidden_layer_sizes': (200, 100, 50), 'learning_rate_init': 0.001,  'solver': 'sgd'}</v>
      </c>
      <c r="E196">
        <f>_xlfn.RANK.EQ(B196,B$2:$B$479,0)</f>
        <v>190</v>
      </c>
      <c r="H196" s="40" t="s">
        <v>127</v>
      </c>
      <c r="I196" s="31">
        <v>0.75606650421966004</v>
      </c>
    </row>
    <row r="197" spans="1:9" x14ac:dyDescent="0.2">
      <c r="A197" s="50" t="s">
        <v>381</v>
      </c>
      <c r="B197" s="63">
        <v>0.75606650421966004</v>
      </c>
      <c r="C197" s="50" t="s">
        <v>62</v>
      </c>
      <c r="D197" s="50" t="str">
        <f>SUBSTITUTE(SUBSTITUTE(SUBSTITUTE(A197, "'max_iter': 500,", ""), "'max_iter': 1000,", ""), "'max_iter': 1500,", "")</f>
        <v>{'activation': 'identity', 'hidden_layer_sizes': 100, 'learning_rate_init': 0.005,  'solver': 'sgd'}</v>
      </c>
      <c r="E197">
        <f>_xlfn.RANK.EQ(B197,B$2:$B$479,0)</f>
        <v>190</v>
      </c>
      <c r="H197" s="40" t="s">
        <v>131</v>
      </c>
      <c r="I197" s="31">
        <v>0.75606650421966004</v>
      </c>
    </row>
    <row r="198" spans="1:9" x14ac:dyDescent="0.2">
      <c r="A198" s="50" t="s">
        <v>133</v>
      </c>
      <c r="B198" s="63">
        <v>0.75606650421966004</v>
      </c>
      <c r="C198" s="50" t="s">
        <v>62</v>
      </c>
      <c r="D198" s="50" t="str">
        <f>SUBSTITUTE(SUBSTITUTE(SUBSTITUTE(A198, "'max_iter': 500,", ""), "'max_iter': 1000,", ""), "'max_iter': 1500,", "")</f>
        <v>{'activation': 'identity', 'hidden_layer_sizes': 100, 'learning_rate_init': 0.005,  'solver': 'sgd'}</v>
      </c>
      <c r="E198">
        <f>_xlfn.RANK.EQ(B198,B$2:$B$479,0)</f>
        <v>190</v>
      </c>
      <c r="H198" s="40" t="s">
        <v>385</v>
      </c>
      <c r="I198" s="31">
        <v>0.75606650421966004</v>
      </c>
    </row>
    <row r="199" spans="1:9" x14ac:dyDescent="0.2">
      <c r="A199" s="50" t="s">
        <v>380</v>
      </c>
      <c r="B199" s="63">
        <v>0.75606650421966004</v>
      </c>
      <c r="C199" s="50" t="s">
        <v>62</v>
      </c>
      <c r="D199" s="50" t="str">
        <f>SUBSTITUTE(SUBSTITUTE(SUBSTITUTE(A199, "'max_iter': 500,", ""), "'max_iter': 1000,", ""), "'max_iter': 1500,", "")</f>
        <v>{'activation': 'identity', 'hidden_layer_sizes': 100, 'learning_rate_init': 0.005,  'solver': 'sgd'}</v>
      </c>
      <c r="E199">
        <f>_xlfn.RANK.EQ(B199,B$2:$B$479,0)</f>
        <v>190</v>
      </c>
      <c r="H199" s="40" t="s">
        <v>388</v>
      </c>
      <c r="I199" s="31">
        <v>0.75606650421966004</v>
      </c>
    </row>
    <row r="200" spans="1:9" x14ac:dyDescent="0.2">
      <c r="A200" s="50" t="s">
        <v>377</v>
      </c>
      <c r="B200" s="63">
        <v>0.75606650421966004</v>
      </c>
      <c r="C200" s="50" t="s">
        <v>62</v>
      </c>
      <c r="D200" s="50" t="str">
        <f>SUBSTITUTE(SUBSTITUTE(SUBSTITUTE(A200, "'max_iter': 500,", ""), "'max_iter': 1000,", ""), "'max_iter': 1500,", "")</f>
        <v>{'activation': 'logistic', 'hidden_layer_sizes': (200, 100), 'learning_rate_init': 0.005,  'solver': 'sgd'}</v>
      </c>
      <c r="E200">
        <f>_xlfn.RANK.EQ(B200,B$2:$B$479,0)</f>
        <v>190</v>
      </c>
      <c r="H200" s="40" t="s">
        <v>384</v>
      </c>
      <c r="I200" s="31">
        <v>0.75606650421966004</v>
      </c>
    </row>
    <row r="201" spans="1:9" x14ac:dyDescent="0.2">
      <c r="A201" s="50" t="s">
        <v>130</v>
      </c>
      <c r="B201" s="63">
        <v>0.75606650421966004</v>
      </c>
      <c r="C201" s="50" t="s">
        <v>62</v>
      </c>
      <c r="D201" s="50" t="str">
        <f>SUBSTITUTE(SUBSTITUTE(SUBSTITUTE(A201, "'max_iter': 500,", ""), "'max_iter': 1000,", ""), "'max_iter': 1500,", "")</f>
        <v>{'activation': 'logistic', 'hidden_layer_sizes': (200, 100), 'learning_rate_init': 0.005,  'solver': 'sgd'}</v>
      </c>
      <c r="E201">
        <f>_xlfn.RANK.EQ(B201,B$2:$B$479,0)</f>
        <v>190</v>
      </c>
      <c r="H201" s="40" t="s">
        <v>383</v>
      </c>
      <c r="I201" s="31">
        <v>0.75606650421966004</v>
      </c>
    </row>
    <row r="202" spans="1:9" x14ac:dyDescent="0.2">
      <c r="A202" s="50" t="s">
        <v>379</v>
      </c>
      <c r="B202" s="63">
        <v>0.75606650421966004</v>
      </c>
      <c r="C202" s="50" t="s">
        <v>62</v>
      </c>
      <c r="D202" s="50" t="str">
        <f>SUBSTITUTE(SUBSTITUTE(SUBSTITUTE(A202, "'max_iter': 500,", ""), "'max_iter': 1000,", ""), "'max_iter': 1500,", "")</f>
        <v>{'activation': 'logistic', 'hidden_layer_sizes': (200, 100), 'learning_rate_init': 0.01,  'solver': 'sgd'}</v>
      </c>
      <c r="E202">
        <f>_xlfn.RANK.EQ(B202,B$2:$B$479,0)</f>
        <v>190</v>
      </c>
      <c r="H202" s="40" t="s">
        <v>129</v>
      </c>
      <c r="I202" s="31">
        <v>0.75606650421966004</v>
      </c>
    </row>
    <row r="203" spans="1:9" x14ac:dyDescent="0.2">
      <c r="A203" s="50" t="s">
        <v>128</v>
      </c>
      <c r="B203" s="63">
        <v>0.75606650421966004</v>
      </c>
      <c r="C203" s="50" t="s">
        <v>62</v>
      </c>
      <c r="D203" s="50" t="str">
        <f>SUBSTITUTE(SUBSTITUTE(SUBSTITUTE(A203, "'max_iter': 500,", ""), "'max_iter': 1000,", ""), "'max_iter': 1500,", "")</f>
        <v>{'activation': 'logistic', 'hidden_layer_sizes': (200, 100), 'learning_rate_init': 0.01,  'solver': 'sgd'}</v>
      </c>
      <c r="E203">
        <f>_xlfn.RANK.EQ(B203,B$2:$B$479,0)</f>
        <v>190</v>
      </c>
      <c r="H203" s="40" t="s">
        <v>389</v>
      </c>
      <c r="I203" s="31">
        <v>0.75606650421966004</v>
      </c>
    </row>
    <row r="204" spans="1:9" x14ac:dyDescent="0.2">
      <c r="A204" s="50" t="s">
        <v>378</v>
      </c>
      <c r="B204" s="63">
        <v>0.75606650421966004</v>
      </c>
      <c r="C204" s="50" t="s">
        <v>62</v>
      </c>
      <c r="D204" s="50" t="str">
        <f>SUBSTITUTE(SUBSTITUTE(SUBSTITUTE(A204, "'max_iter': 500,", ""), "'max_iter': 1000,", ""), "'max_iter': 1500,", "")</f>
        <v>{'activation': 'logistic', 'hidden_layer_sizes': (200, 100), 'learning_rate_init': 0.01,  'solver': 'sgd'}</v>
      </c>
      <c r="E204">
        <f>_xlfn.RANK.EQ(B204,B$2:$B$479,0)</f>
        <v>190</v>
      </c>
      <c r="H204" s="40" t="s">
        <v>377</v>
      </c>
      <c r="I204" s="31">
        <v>0.75606650421966004</v>
      </c>
    </row>
    <row r="205" spans="1:9" x14ac:dyDescent="0.2">
      <c r="A205" s="50" t="s">
        <v>134</v>
      </c>
      <c r="B205" s="63">
        <v>0.75606650421966004</v>
      </c>
      <c r="C205" s="50" t="s">
        <v>62</v>
      </c>
      <c r="D205" s="50" t="str">
        <f>SUBSTITUTE(SUBSTITUTE(SUBSTITUTE(A205, "'max_iter': 500,", ""), "'max_iter': 1000,", ""), "'max_iter': 1500,", "")</f>
        <v>{'activation': 'logistic', 'hidden_layer_sizes': 150, 'learning_rate_init': 0.001,  'solver': 'sgd'}</v>
      </c>
      <c r="E205">
        <f>_xlfn.RANK.EQ(B205,B$2:$B$479,0)</f>
        <v>190</v>
      </c>
      <c r="H205" s="40" t="s">
        <v>382</v>
      </c>
      <c r="I205" s="31">
        <v>0.75606650421966004</v>
      </c>
    </row>
    <row r="206" spans="1:9" x14ac:dyDescent="0.2">
      <c r="A206" s="50" t="s">
        <v>389</v>
      </c>
      <c r="B206" s="63">
        <v>0.75606650421966004</v>
      </c>
      <c r="C206" s="50" t="s">
        <v>62</v>
      </c>
      <c r="D206" s="50" t="str">
        <f>SUBSTITUTE(SUBSTITUTE(SUBSTITUTE(A206, "'max_iter': 500,", ""), "'max_iter': 1000,", ""), "'max_iter': 1500,", "")</f>
        <v>{'activation': 'logistic', 'hidden_layer_sizes': 150, 'learning_rate_init': 0.005,  'solver': 'sgd'}</v>
      </c>
      <c r="E206">
        <f>_xlfn.RANK.EQ(B206,B$2:$B$479,0)</f>
        <v>190</v>
      </c>
      <c r="H206" s="40" t="s">
        <v>130</v>
      </c>
      <c r="I206" s="31">
        <v>0.75606650421966004</v>
      </c>
    </row>
    <row r="207" spans="1:9" x14ac:dyDescent="0.2">
      <c r="A207" s="50" t="s">
        <v>131</v>
      </c>
      <c r="B207" s="63">
        <v>0.75606650421966004</v>
      </c>
      <c r="C207" s="50" t="s">
        <v>62</v>
      </c>
      <c r="D207" s="50" t="str">
        <f>SUBSTITUTE(SUBSTITUTE(SUBSTITUTE(A207, "'max_iter': 500,", ""), "'max_iter': 1000,", ""), "'max_iter': 1500,", "")</f>
        <v>{'activation': 'logistic', 'hidden_layer_sizes': 150, 'learning_rate_init': 0.005,  'solver': 'sgd'}</v>
      </c>
      <c r="E207">
        <f>_xlfn.RANK.EQ(B207,B$2:$B$479,0)</f>
        <v>190</v>
      </c>
      <c r="H207" s="40" t="s">
        <v>132</v>
      </c>
      <c r="I207" s="31">
        <v>0.75606650421966004</v>
      </c>
    </row>
    <row r="208" spans="1:9" x14ac:dyDescent="0.2">
      <c r="A208" s="50" t="s">
        <v>382</v>
      </c>
      <c r="B208" s="63">
        <v>0.75606650421966004</v>
      </c>
      <c r="C208" s="50" t="s">
        <v>62</v>
      </c>
      <c r="D208" s="50" t="str">
        <f>SUBSTITUTE(SUBSTITUTE(SUBSTITUTE(A208, "'max_iter': 500,", ""), "'max_iter': 1000,", ""), "'max_iter': 1500,", "")</f>
        <v>{'activation': 'logistic', 'hidden_layer_sizes': 150, 'learning_rate_init': 0.005,  'solver': 'sgd'}</v>
      </c>
      <c r="E208">
        <f>_xlfn.RANK.EQ(B208,B$2:$B$479,0)</f>
        <v>190</v>
      </c>
      <c r="H208" s="40" t="s">
        <v>379</v>
      </c>
      <c r="I208" s="31">
        <v>0.75606650421966004</v>
      </c>
    </row>
    <row r="209" spans="1:9" x14ac:dyDescent="0.2">
      <c r="A209" s="50" t="s">
        <v>386</v>
      </c>
      <c r="B209" s="63">
        <v>0.75606650421966004</v>
      </c>
      <c r="C209" s="50" t="s">
        <v>62</v>
      </c>
      <c r="D209" s="50" t="str">
        <f>SUBSTITUTE(SUBSTITUTE(SUBSTITUTE(A209, "'max_iter': 500,", ""), "'max_iter': 1000,", ""), "'max_iter': 1500,", "")</f>
        <v>{'activation': 'logistic', 'hidden_layer_sizes': 150, 'learning_rate_init': 0.01,  'solver': 'sgd'}</v>
      </c>
      <c r="E209">
        <f>_xlfn.RANK.EQ(B209,B$2:$B$479,0)</f>
        <v>190</v>
      </c>
      <c r="H209" s="40" t="s">
        <v>381</v>
      </c>
      <c r="I209" s="31">
        <v>0.75606650421966004</v>
      </c>
    </row>
    <row r="210" spans="1:9" x14ac:dyDescent="0.2">
      <c r="A210" s="50" t="s">
        <v>132</v>
      </c>
      <c r="B210" s="63">
        <v>0.75606650421966004</v>
      </c>
      <c r="C210" s="50" t="s">
        <v>62</v>
      </c>
      <c r="D210" s="50" t="str">
        <f>SUBSTITUTE(SUBSTITUTE(SUBSTITUTE(A210, "'max_iter': 500,", ""), "'max_iter': 1000,", ""), "'max_iter': 1500,", "")</f>
        <v>{'activation': 'logistic', 'hidden_layer_sizes': 150, 'learning_rate_init': 0.01,  'solver': 'sgd'}</v>
      </c>
      <c r="E210">
        <f>_xlfn.RANK.EQ(B210,B$2:$B$479,0)</f>
        <v>190</v>
      </c>
      <c r="H210" s="40" t="s">
        <v>128</v>
      </c>
      <c r="I210" s="31">
        <v>0.75606650421966004</v>
      </c>
    </row>
    <row r="211" spans="1:9" x14ac:dyDescent="0.2">
      <c r="A211" s="50" t="s">
        <v>388</v>
      </c>
      <c r="B211" s="63">
        <v>0.75606650421966004</v>
      </c>
      <c r="C211" s="50" t="s">
        <v>62</v>
      </c>
      <c r="D211" s="50" t="str">
        <f>SUBSTITUTE(SUBSTITUTE(SUBSTITUTE(A211, "'max_iter': 500,", ""), "'max_iter': 1000,", ""), "'max_iter': 1500,", "")</f>
        <v>{'activation': 'logistic', 'hidden_layer_sizes': 150, 'learning_rate_init': 0.01,  'solver': 'sgd'}</v>
      </c>
      <c r="E211">
        <f>_xlfn.RANK.EQ(B211,B$2:$B$479,0)</f>
        <v>190</v>
      </c>
      <c r="H211" s="40" t="s">
        <v>380</v>
      </c>
      <c r="I211" s="31">
        <v>0.75606650421966004</v>
      </c>
    </row>
    <row r="212" spans="1:9" x14ac:dyDescent="0.2">
      <c r="A212" s="50" t="s">
        <v>392</v>
      </c>
      <c r="B212" s="63">
        <v>0.75563963194085604</v>
      </c>
      <c r="C212" s="50" t="s">
        <v>62</v>
      </c>
      <c r="D212" s="50" t="str">
        <f>SUBSTITUTE(SUBSTITUTE(SUBSTITUTE(A212, "'max_iter': 500,", ""), "'max_iter': 1000,", ""), "'max_iter': 1500,", "")</f>
        <v>{'activation': 'logistic', 'hidden_layer_sizes': 150, 'learning_rate_init': 0.01,  'solver': 'adam'}</v>
      </c>
      <c r="E212">
        <f>_xlfn.RANK.EQ(B212,B$2:$B$479,0)</f>
        <v>211</v>
      </c>
      <c r="H212" s="40" t="s">
        <v>378</v>
      </c>
      <c r="I212" s="31">
        <v>0.75606650421966004</v>
      </c>
    </row>
    <row r="213" spans="1:9" x14ac:dyDescent="0.2">
      <c r="A213" s="50" t="s">
        <v>135</v>
      </c>
      <c r="B213" s="63">
        <v>0.75563963194085604</v>
      </c>
      <c r="C213" s="50" t="s">
        <v>62</v>
      </c>
      <c r="D213" s="50" t="str">
        <f>SUBSTITUTE(SUBSTITUTE(SUBSTITUTE(A213, "'max_iter': 500,", ""), "'max_iter': 1000,", ""), "'max_iter': 1500,", "")</f>
        <v>{'activation': 'logistic', 'hidden_layer_sizes': 150, 'learning_rate_init': 0.01,  'solver': 'adam'}</v>
      </c>
      <c r="E213">
        <f>_xlfn.RANK.EQ(B213,B$2:$B$479,0)</f>
        <v>211</v>
      </c>
      <c r="H213" s="40" t="s">
        <v>387</v>
      </c>
      <c r="I213" s="31">
        <v>0.75606650421966004</v>
      </c>
    </row>
    <row r="214" spans="1:9" x14ac:dyDescent="0.2">
      <c r="A214" s="50" t="s">
        <v>393</v>
      </c>
      <c r="B214" s="63">
        <v>0.75563963194085604</v>
      </c>
      <c r="C214" s="50" t="s">
        <v>62</v>
      </c>
      <c r="D214" s="50" t="str">
        <f>SUBSTITUTE(SUBSTITUTE(SUBSTITUTE(A214, "'max_iter': 500,", ""), "'max_iter': 1000,", ""), "'max_iter': 1500,", "")</f>
        <v>{'activation': 'logistic', 'hidden_layer_sizes': 150, 'learning_rate_init': 0.01,  'solver': 'adam'}</v>
      </c>
      <c r="E214">
        <f>_xlfn.RANK.EQ(B214,B$2:$B$479,0)</f>
        <v>211</v>
      </c>
      <c r="H214" s="40" t="s">
        <v>136</v>
      </c>
      <c r="I214" s="31">
        <v>0.75563963194085604</v>
      </c>
    </row>
    <row r="215" spans="1:9" x14ac:dyDescent="0.2">
      <c r="A215" s="50" t="s">
        <v>390</v>
      </c>
      <c r="B215" s="63">
        <v>0.75563963194085604</v>
      </c>
      <c r="C215" s="50" t="s">
        <v>62</v>
      </c>
      <c r="D215" s="50" t="str">
        <f>SUBSTITUTE(SUBSTITUTE(SUBSTITUTE(A215, "'max_iter': 500,", ""), "'max_iter': 1000,", ""), "'max_iter': 1500,", "")</f>
        <v>{'activation': 'tanh', 'hidden_layer_sizes': 50, 'learning_rate_init': 0.005,  'solver': 'adam'}</v>
      </c>
      <c r="E215">
        <f>_xlfn.RANK.EQ(B215,B$2:$B$479,0)</f>
        <v>211</v>
      </c>
      <c r="H215" s="40" t="s">
        <v>390</v>
      </c>
      <c r="I215" s="31">
        <v>0.75563963194085604</v>
      </c>
    </row>
    <row r="216" spans="1:9" x14ac:dyDescent="0.2">
      <c r="A216" s="50" t="s">
        <v>136</v>
      </c>
      <c r="B216" s="63">
        <v>0.75563963194085604</v>
      </c>
      <c r="C216" s="50" t="s">
        <v>62</v>
      </c>
      <c r="D216" s="50" t="str">
        <f>SUBSTITUTE(SUBSTITUTE(SUBSTITUTE(A216, "'max_iter': 500,", ""), "'max_iter': 1000,", ""), "'max_iter': 1500,", "")</f>
        <v>{'activation': 'tanh', 'hidden_layer_sizes': 50, 'learning_rate_init': 0.005,  'solver': 'adam'}</v>
      </c>
      <c r="E216">
        <f>_xlfn.RANK.EQ(B216,B$2:$B$479,0)</f>
        <v>211</v>
      </c>
      <c r="H216" s="40" t="s">
        <v>391</v>
      </c>
      <c r="I216" s="31">
        <v>0.75563963194085604</v>
      </c>
    </row>
    <row r="217" spans="1:9" x14ac:dyDescent="0.2">
      <c r="A217" s="50" t="s">
        <v>391</v>
      </c>
      <c r="B217" s="63">
        <v>0.75563963194085604</v>
      </c>
      <c r="C217" s="50" t="s">
        <v>62</v>
      </c>
      <c r="D217" s="50" t="str">
        <f>SUBSTITUTE(SUBSTITUTE(SUBSTITUTE(A217, "'max_iter': 500,", ""), "'max_iter': 1000,", ""), "'max_iter': 1500,", "")</f>
        <v>{'activation': 'tanh', 'hidden_layer_sizes': 50, 'learning_rate_init': 0.005,  'solver': 'adam'}</v>
      </c>
      <c r="E217">
        <f>_xlfn.RANK.EQ(B217,B$2:$B$479,0)</f>
        <v>211</v>
      </c>
      <c r="H217" s="40" t="s">
        <v>392</v>
      </c>
      <c r="I217" s="31">
        <v>0.75563963194085604</v>
      </c>
    </row>
    <row r="218" spans="1:9" x14ac:dyDescent="0.2">
      <c r="A218" s="50" t="s">
        <v>394</v>
      </c>
      <c r="B218" s="63">
        <v>0.75513192533205697</v>
      </c>
      <c r="C218" s="50" t="s">
        <v>62</v>
      </c>
      <c r="D218" s="50" t="str">
        <f>SUBSTITUTE(SUBSTITUTE(SUBSTITUTE(A218, "'max_iter': 500,", ""), "'max_iter': 1000,", ""), "'max_iter': 1500,", "")</f>
        <v>{'activation': 'tanh', 'hidden_layer_sizes': 50, 'learning_rate_init': 0.001,  'solver': 'adam'}</v>
      </c>
      <c r="E218">
        <f>_xlfn.RANK.EQ(B218,B$2:$B$479,0)</f>
        <v>217</v>
      </c>
      <c r="H218" s="40" t="s">
        <v>393</v>
      </c>
      <c r="I218" s="31">
        <v>0.75563963194085604</v>
      </c>
    </row>
    <row r="219" spans="1:9" x14ac:dyDescent="0.2">
      <c r="A219" s="50" t="s">
        <v>137</v>
      </c>
      <c r="B219" s="63">
        <v>0.75513192533205697</v>
      </c>
      <c r="C219" s="50" t="s">
        <v>62</v>
      </c>
      <c r="D219" s="50" t="str">
        <f>SUBSTITUTE(SUBSTITUTE(SUBSTITUTE(A219, "'max_iter': 500,", ""), "'max_iter': 1000,", ""), "'max_iter': 1500,", "")</f>
        <v>{'activation': 'tanh', 'hidden_layer_sizes': 50, 'learning_rate_init': 0.001,  'solver': 'adam'}</v>
      </c>
      <c r="E219">
        <f>_xlfn.RANK.EQ(B219,B$2:$B$479,0)</f>
        <v>217</v>
      </c>
      <c r="H219" s="40" t="s">
        <v>135</v>
      </c>
      <c r="I219" s="31">
        <v>0.75563963194085604</v>
      </c>
    </row>
    <row r="220" spans="1:9" x14ac:dyDescent="0.2">
      <c r="A220" s="50" t="s">
        <v>395</v>
      </c>
      <c r="B220" s="63">
        <v>0.75513192533205697</v>
      </c>
      <c r="C220" s="50" t="s">
        <v>62</v>
      </c>
      <c r="D220" s="50" t="str">
        <f>SUBSTITUTE(SUBSTITUTE(SUBSTITUTE(A220, "'max_iter': 500,", ""), "'max_iter': 1000,", ""), "'max_iter': 1500,", "")</f>
        <v>{'activation': 'tanh', 'hidden_layer_sizes': 50, 'learning_rate_init': 0.001,  'solver': 'adam'}</v>
      </c>
      <c r="E220">
        <f>_xlfn.RANK.EQ(B220,B$2:$B$479,0)</f>
        <v>217</v>
      </c>
      <c r="H220" s="40" t="s">
        <v>394</v>
      </c>
      <c r="I220" s="31">
        <v>0.75513192533205697</v>
      </c>
    </row>
    <row r="221" spans="1:9" x14ac:dyDescent="0.2">
      <c r="A221" s="50" t="s">
        <v>397</v>
      </c>
      <c r="B221" s="63">
        <v>0.75078431372549004</v>
      </c>
      <c r="C221" s="50" t="s">
        <v>62</v>
      </c>
      <c r="D221" s="50" t="str">
        <f>SUBSTITUTE(SUBSTITUTE(SUBSTITUTE(A221, "'max_iter': 500,", ""), "'max_iter': 1000,", ""), "'max_iter': 1500,", "")</f>
        <v>{'activation': 'relu', 'hidden_layer_sizes': (100, 50), 'learning_rate_init': 0.01,  'solver': 'adam'}</v>
      </c>
      <c r="E221">
        <f>_xlfn.RANK.EQ(B221,B$2:$B$479,0)</f>
        <v>220</v>
      </c>
      <c r="H221" s="40" t="s">
        <v>137</v>
      </c>
      <c r="I221" s="31">
        <v>0.75513192533205697</v>
      </c>
    </row>
    <row r="222" spans="1:9" x14ac:dyDescent="0.2">
      <c r="A222" s="50" t="s">
        <v>138</v>
      </c>
      <c r="B222" s="63">
        <v>0.75078431372549004</v>
      </c>
      <c r="C222" s="50" t="s">
        <v>62</v>
      </c>
      <c r="D222" s="50" t="str">
        <f>SUBSTITUTE(SUBSTITUTE(SUBSTITUTE(A222, "'max_iter': 500,", ""), "'max_iter': 1000,", ""), "'max_iter': 1500,", "")</f>
        <v>{'activation': 'relu', 'hidden_layer_sizes': (100, 50), 'learning_rate_init': 0.01,  'solver': 'adam'}</v>
      </c>
      <c r="E222">
        <f>_xlfn.RANK.EQ(B222,B$2:$B$479,0)</f>
        <v>220</v>
      </c>
      <c r="H222" s="40" t="s">
        <v>395</v>
      </c>
      <c r="I222" s="31">
        <v>0.75513192533205697</v>
      </c>
    </row>
    <row r="223" spans="1:9" x14ac:dyDescent="0.2">
      <c r="A223" s="50" t="s">
        <v>396</v>
      </c>
      <c r="B223" s="63">
        <v>0.75078431372549004</v>
      </c>
      <c r="C223" s="50" t="s">
        <v>62</v>
      </c>
      <c r="D223" s="50" t="str">
        <f>SUBSTITUTE(SUBSTITUTE(SUBSTITUTE(A223, "'max_iter': 500,", ""), "'max_iter': 1000,", ""), "'max_iter': 1500,", "")</f>
        <v>{'activation': 'relu', 'hidden_layer_sizes': (100, 50), 'learning_rate_init': 0.01,  'solver': 'adam'}</v>
      </c>
      <c r="E223">
        <f>_xlfn.RANK.EQ(B223,B$2:$B$479,0)</f>
        <v>220</v>
      </c>
      <c r="H223" s="40" t="s">
        <v>397</v>
      </c>
      <c r="I223" s="31">
        <v>0.75078431372549004</v>
      </c>
    </row>
    <row r="224" spans="1:9" x14ac:dyDescent="0.2">
      <c r="A224" s="50" t="s">
        <v>399</v>
      </c>
      <c r="B224" s="63">
        <v>0.75070710245128802</v>
      </c>
      <c r="C224" s="50" t="s">
        <v>62</v>
      </c>
      <c r="D224" s="50" t="str">
        <f>SUBSTITUTE(SUBSTITUTE(SUBSTITUTE(A224, "'max_iter': 500,", ""), "'max_iter': 1000,", ""), "'max_iter': 1500,", "")</f>
        <v>{'activation': 'relu', 'hidden_layer_sizes': (200, 100), 'learning_rate_init': 0.01,  'solver': 'sgd'}</v>
      </c>
      <c r="E224">
        <f>_xlfn.RANK.EQ(B224,B$2:$B$479,0)</f>
        <v>223</v>
      </c>
      <c r="H224" s="40" t="s">
        <v>396</v>
      </c>
      <c r="I224" s="31">
        <v>0.75078431372549004</v>
      </c>
    </row>
    <row r="225" spans="1:9" x14ac:dyDescent="0.2">
      <c r="A225" s="50" t="s">
        <v>141</v>
      </c>
      <c r="B225" s="63">
        <v>0.75070710245128802</v>
      </c>
      <c r="C225" s="50" t="s">
        <v>62</v>
      </c>
      <c r="D225" s="50" t="str">
        <f>SUBSTITUTE(SUBSTITUTE(SUBSTITUTE(A225, "'max_iter': 500,", ""), "'max_iter': 1000,", ""), "'max_iter': 1500,", "")</f>
        <v>{'activation': 'relu', 'hidden_layer_sizes': (200, 100), 'learning_rate_init': 0.01,  'solver': 'sgd'}</v>
      </c>
      <c r="E225">
        <f>_xlfn.RANK.EQ(B225,B$2:$B$479,0)</f>
        <v>223</v>
      </c>
      <c r="H225" s="40" t="s">
        <v>138</v>
      </c>
      <c r="I225" s="31">
        <v>0.75078431372549004</v>
      </c>
    </row>
    <row r="226" spans="1:9" x14ac:dyDescent="0.2">
      <c r="A226" s="50" t="s">
        <v>402</v>
      </c>
      <c r="B226" s="63">
        <v>0.75070710245128802</v>
      </c>
      <c r="C226" s="50" t="s">
        <v>62</v>
      </c>
      <c r="D226" s="50" t="str">
        <f>SUBSTITUTE(SUBSTITUTE(SUBSTITUTE(A226, "'max_iter': 500,", ""), "'max_iter': 1000,", ""), "'max_iter': 1500,", "")</f>
        <v>{'activation': 'relu', 'hidden_layer_sizes': (200, 100), 'learning_rate_init': 0.01,  'solver': 'sgd'}</v>
      </c>
      <c r="E226">
        <f>_xlfn.RANK.EQ(B226,B$2:$B$479,0)</f>
        <v>223</v>
      </c>
      <c r="H226" s="40" t="s">
        <v>403</v>
      </c>
      <c r="I226" s="31">
        <v>0.75070710245128802</v>
      </c>
    </row>
    <row r="227" spans="1:9" x14ac:dyDescent="0.2">
      <c r="A227" s="50" t="s">
        <v>398</v>
      </c>
      <c r="B227" s="63">
        <v>0.75070710245128802</v>
      </c>
      <c r="C227" s="50" t="s">
        <v>62</v>
      </c>
      <c r="D227" s="50" t="str">
        <f>SUBSTITUTE(SUBSTITUTE(SUBSTITUTE(A227, "'max_iter': 500,", ""), "'max_iter': 1000,", ""), "'max_iter': 1500,", "")</f>
        <v>{'activation': 'relu', 'hidden_layer_sizes': (200, 75, 25), 'learning_rate_init': 0.001,  'solver': 'sgd'}</v>
      </c>
      <c r="E227">
        <f>_xlfn.RANK.EQ(B227,B$2:$B$479,0)</f>
        <v>223</v>
      </c>
      <c r="H227" s="40" t="s">
        <v>400</v>
      </c>
      <c r="I227" s="31">
        <v>0.75070710245128802</v>
      </c>
    </row>
    <row r="228" spans="1:9" x14ac:dyDescent="0.2">
      <c r="A228" s="50" t="s">
        <v>139</v>
      </c>
      <c r="B228" s="63">
        <v>0.75070710245128802</v>
      </c>
      <c r="C228" s="50" t="s">
        <v>62</v>
      </c>
      <c r="D228" s="50" t="str">
        <f>SUBSTITUTE(SUBSTITUTE(SUBSTITUTE(A228, "'max_iter': 500,", ""), "'max_iter': 1000,", ""), "'max_iter': 1500,", "")</f>
        <v>{'activation': 'relu', 'hidden_layer_sizes': (200, 75, 25), 'learning_rate_init': 0.001,  'solver': 'sgd'}</v>
      </c>
      <c r="E228">
        <f>_xlfn.RANK.EQ(B228,B$2:$B$479,0)</f>
        <v>223</v>
      </c>
      <c r="H228" s="40" t="s">
        <v>141</v>
      </c>
      <c r="I228" s="31">
        <v>0.75070710245128802</v>
      </c>
    </row>
    <row r="229" spans="1:9" x14ac:dyDescent="0.2">
      <c r="A229" s="50" t="s">
        <v>400</v>
      </c>
      <c r="B229" s="63">
        <v>0.75070710245128802</v>
      </c>
      <c r="C229" s="50" t="s">
        <v>62</v>
      </c>
      <c r="D229" s="50" t="str">
        <f>SUBSTITUTE(SUBSTITUTE(SUBSTITUTE(A229, "'max_iter': 500,", ""), "'max_iter': 1000,", ""), "'max_iter': 1500,", "")</f>
        <v>{'activation': 'relu', 'hidden_layer_sizes': (200, 75, 25), 'learning_rate_init': 0.001,  'solver': 'sgd'}</v>
      </c>
      <c r="E229">
        <f>_xlfn.RANK.EQ(B229,B$2:$B$479,0)</f>
        <v>223</v>
      </c>
      <c r="H229" s="40" t="s">
        <v>401</v>
      </c>
      <c r="I229" s="31">
        <v>0.75070710245128802</v>
      </c>
    </row>
    <row r="230" spans="1:9" x14ac:dyDescent="0.2">
      <c r="A230" s="50" t="s">
        <v>401</v>
      </c>
      <c r="B230" s="63">
        <v>0.75070710245128802</v>
      </c>
      <c r="C230" s="50" t="s">
        <v>62</v>
      </c>
      <c r="D230" s="50" t="str">
        <f>SUBSTITUTE(SUBSTITUTE(SUBSTITUTE(A230, "'max_iter': 500,", ""), "'max_iter': 1000,", ""), "'max_iter': 1500,", "")</f>
        <v>{'activation': 'relu', 'hidden_layer_sizes': (200, 75, 25), 'learning_rate_init': 0.005,  'solver': 'sgd'}</v>
      </c>
      <c r="E230">
        <f>_xlfn.RANK.EQ(B230,B$2:$B$479,0)</f>
        <v>223</v>
      </c>
      <c r="H230" s="40" t="s">
        <v>398</v>
      </c>
      <c r="I230" s="31">
        <v>0.75070710245128802</v>
      </c>
    </row>
    <row r="231" spans="1:9" x14ac:dyDescent="0.2">
      <c r="A231" s="50" t="s">
        <v>140</v>
      </c>
      <c r="B231" s="63">
        <v>0.75070710245128802</v>
      </c>
      <c r="C231" s="50" t="s">
        <v>62</v>
      </c>
      <c r="D231" s="50" t="str">
        <f>SUBSTITUTE(SUBSTITUTE(SUBSTITUTE(A231, "'max_iter': 500,", ""), "'max_iter': 1000,", ""), "'max_iter': 1500,", "")</f>
        <v>{'activation': 'relu', 'hidden_layer_sizes': (200, 75, 25), 'learning_rate_init': 0.005,  'solver': 'sgd'}</v>
      </c>
      <c r="E231">
        <f>_xlfn.RANK.EQ(B231,B$2:$B$479,0)</f>
        <v>223</v>
      </c>
      <c r="H231" s="40" t="s">
        <v>399</v>
      </c>
      <c r="I231" s="31">
        <v>0.75070710245128802</v>
      </c>
    </row>
    <row r="232" spans="1:9" x14ac:dyDescent="0.2">
      <c r="A232" s="50" t="s">
        <v>403</v>
      </c>
      <c r="B232" s="63">
        <v>0.75070710245128802</v>
      </c>
      <c r="C232" s="50" t="s">
        <v>62</v>
      </c>
      <c r="D232" s="50" t="str">
        <f>SUBSTITUTE(SUBSTITUTE(SUBSTITUTE(A232, "'max_iter': 500,", ""), "'max_iter': 1000,", ""), "'max_iter': 1500,", "")</f>
        <v>{'activation': 'relu', 'hidden_layer_sizes': (200, 75, 25), 'learning_rate_init': 0.005,  'solver': 'sgd'}</v>
      </c>
      <c r="E232">
        <f>_xlfn.RANK.EQ(B232,B$2:$B$479,0)</f>
        <v>223</v>
      </c>
      <c r="H232" s="40" t="s">
        <v>402</v>
      </c>
      <c r="I232" s="31">
        <v>0.75070710245128802</v>
      </c>
    </row>
    <row r="233" spans="1:9" x14ac:dyDescent="0.2">
      <c r="A233" s="50" t="s">
        <v>407</v>
      </c>
      <c r="B233" s="63">
        <v>0.75055109431585498</v>
      </c>
      <c r="C233" s="50" t="s">
        <v>62</v>
      </c>
      <c r="D233" s="50" t="str">
        <f>SUBSTITUTE(SUBSTITUTE(SUBSTITUTE(A233, "'max_iter': 500,", ""), "'max_iter': 1000,", ""), "'max_iter': 1500,", "")</f>
        <v>{'activation': 'logistic', 'hidden_layer_sizes': (200, 100), 'learning_rate_init': 0.001,  'solver': 'adam'}</v>
      </c>
      <c r="E233">
        <f>_xlfn.RANK.EQ(B233,B$2:$B$479,0)</f>
        <v>232</v>
      </c>
      <c r="H233" s="40" t="s">
        <v>140</v>
      </c>
      <c r="I233" s="31">
        <v>0.75070710245128802</v>
      </c>
    </row>
    <row r="234" spans="1:9" x14ac:dyDescent="0.2">
      <c r="A234" s="50" t="s">
        <v>143</v>
      </c>
      <c r="B234" s="63">
        <v>0.75055109431585498</v>
      </c>
      <c r="C234" s="50" t="s">
        <v>62</v>
      </c>
      <c r="D234" s="50" t="str">
        <f>SUBSTITUTE(SUBSTITUTE(SUBSTITUTE(A234, "'max_iter': 500,", ""), "'max_iter': 1000,", ""), "'max_iter': 1500,", "")</f>
        <v>{'activation': 'logistic', 'hidden_layer_sizes': (200, 100), 'learning_rate_init': 0.001,  'solver': 'adam'}</v>
      </c>
      <c r="E234">
        <f>_xlfn.RANK.EQ(B234,B$2:$B$479,0)</f>
        <v>232</v>
      </c>
      <c r="H234" s="40" t="s">
        <v>139</v>
      </c>
      <c r="I234" s="31">
        <v>0.75070710245128802</v>
      </c>
    </row>
    <row r="235" spans="1:9" x14ac:dyDescent="0.2">
      <c r="A235" s="50" t="s">
        <v>405</v>
      </c>
      <c r="B235" s="63">
        <v>0.75055109431585498</v>
      </c>
      <c r="C235" s="50" t="s">
        <v>62</v>
      </c>
      <c r="D235" s="50" t="str">
        <f>SUBSTITUTE(SUBSTITUTE(SUBSTITUTE(A235, "'max_iter': 500,", ""), "'max_iter': 1000,", ""), "'max_iter': 1500,", "")</f>
        <v>{'activation': 'logistic', 'hidden_layer_sizes': (200, 100), 'learning_rate_init': 0.001,  'solver': 'adam'}</v>
      </c>
      <c r="E235">
        <f>_xlfn.RANK.EQ(B235,B$2:$B$479,0)</f>
        <v>232</v>
      </c>
      <c r="H235" s="40" t="s">
        <v>409</v>
      </c>
      <c r="I235" s="31">
        <v>0.75055109431585498</v>
      </c>
    </row>
    <row r="236" spans="1:9" x14ac:dyDescent="0.2">
      <c r="A236" s="50" t="s">
        <v>406</v>
      </c>
      <c r="B236" s="63">
        <v>0.75055109431585498</v>
      </c>
      <c r="C236" s="50" t="s">
        <v>62</v>
      </c>
      <c r="D236" s="50" t="str">
        <f>SUBSTITUTE(SUBSTITUTE(SUBSTITUTE(A236, "'max_iter': 500,", ""), "'max_iter': 1000,", ""), "'max_iter': 1500,", "")</f>
        <v>{'activation': 'logistic', 'hidden_layer_sizes': (200, 75, 25), 'learning_rate_init': 0.01,  'solver': 'sgd'}</v>
      </c>
      <c r="E236">
        <f>_xlfn.RANK.EQ(B236,B$2:$B$479,0)</f>
        <v>232</v>
      </c>
      <c r="H236" s="40" t="s">
        <v>142</v>
      </c>
      <c r="I236" s="31">
        <v>0.75055109431585498</v>
      </c>
    </row>
    <row r="237" spans="1:9" x14ac:dyDescent="0.2">
      <c r="A237" s="50" t="s">
        <v>142</v>
      </c>
      <c r="B237" s="63">
        <v>0.75055109431585498</v>
      </c>
      <c r="C237" s="50" t="s">
        <v>62</v>
      </c>
      <c r="D237" s="50" t="str">
        <f>SUBSTITUTE(SUBSTITUTE(SUBSTITUTE(A237, "'max_iter': 500,", ""), "'max_iter': 1000,", ""), "'max_iter': 1500,", "")</f>
        <v>{'activation': 'logistic', 'hidden_layer_sizes': (200, 75, 25), 'learning_rate_init': 0.01,  'solver': 'sgd'}</v>
      </c>
      <c r="E237">
        <f>_xlfn.RANK.EQ(B237,B$2:$B$479,0)</f>
        <v>232</v>
      </c>
      <c r="H237" s="40" t="s">
        <v>407</v>
      </c>
      <c r="I237" s="31">
        <v>0.75055109431585498</v>
      </c>
    </row>
    <row r="238" spans="1:9" x14ac:dyDescent="0.2">
      <c r="A238" s="50" t="s">
        <v>404</v>
      </c>
      <c r="B238" s="63">
        <v>0.75055109431585498</v>
      </c>
      <c r="C238" s="50" t="s">
        <v>62</v>
      </c>
      <c r="D238" s="50" t="str">
        <f>SUBSTITUTE(SUBSTITUTE(SUBSTITUTE(A238, "'max_iter': 500,", ""), "'max_iter': 1000,", ""), "'max_iter': 1500,", "")</f>
        <v>{'activation': 'logistic', 'hidden_layer_sizes': (200, 75, 25), 'learning_rate_init': 0.01,  'solver': 'sgd'}</v>
      </c>
      <c r="E238">
        <f>_xlfn.RANK.EQ(B238,B$2:$B$479,0)</f>
        <v>232</v>
      </c>
      <c r="H238" s="40" t="s">
        <v>143</v>
      </c>
      <c r="I238" s="31">
        <v>0.75055109431585498</v>
      </c>
    </row>
    <row r="239" spans="1:9" x14ac:dyDescent="0.2">
      <c r="A239" s="50" t="s">
        <v>409</v>
      </c>
      <c r="B239" s="63">
        <v>0.75055109431585498</v>
      </c>
      <c r="C239" s="50" t="s">
        <v>62</v>
      </c>
      <c r="D239" s="50" t="str">
        <f>SUBSTITUTE(SUBSTITUTE(SUBSTITUTE(A239, "'max_iter': 500,", ""), "'max_iter': 1000,", ""), "'max_iter': 1500,", "")</f>
        <v>{'activation': 'logistic', 'hidden_layer_sizes': 100, 'learning_rate_init': 0.001,  'solver': 'adam'}</v>
      </c>
      <c r="E239">
        <f>_xlfn.RANK.EQ(B239,B$2:$B$479,0)</f>
        <v>232</v>
      </c>
      <c r="H239" s="40" t="s">
        <v>404</v>
      </c>
      <c r="I239" s="31">
        <v>0.75055109431585498</v>
      </c>
    </row>
    <row r="240" spans="1:9" x14ac:dyDescent="0.2">
      <c r="A240" s="50" t="s">
        <v>144</v>
      </c>
      <c r="B240" s="63">
        <v>0.75055109431585498</v>
      </c>
      <c r="C240" s="50" t="s">
        <v>62</v>
      </c>
      <c r="D240" s="50" t="str">
        <f>SUBSTITUTE(SUBSTITUTE(SUBSTITUTE(A240, "'max_iter': 500,", ""), "'max_iter': 1000,", ""), "'max_iter': 1500,", "")</f>
        <v>{'activation': 'logistic', 'hidden_layer_sizes': 100, 'learning_rate_init': 0.001,  'solver': 'adam'}</v>
      </c>
      <c r="E240">
        <f>_xlfn.RANK.EQ(B240,B$2:$B$479,0)</f>
        <v>232</v>
      </c>
      <c r="H240" s="40" t="s">
        <v>144</v>
      </c>
      <c r="I240" s="31">
        <v>0.75055109431585498</v>
      </c>
    </row>
    <row r="241" spans="1:9" x14ac:dyDescent="0.2">
      <c r="A241" s="50" t="s">
        <v>408</v>
      </c>
      <c r="B241" s="63">
        <v>0.75055109431585498</v>
      </c>
      <c r="C241" s="50" t="s">
        <v>62</v>
      </c>
      <c r="D241" s="50" t="str">
        <f>SUBSTITUTE(SUBSTITUTE(SUBSTITUTE(A241, "'max_iter': 500,", ""), "'max_iter': 1000,", ""), "'max_iter': 1500,", "")</f>
        <v>{'activation': 'logistic', 'hidden_layer_sizes': 100, 'learning_rate_init': 0.001,  'solver': 'adam'}</v>
      </c>
      <c r="E241">
        <f>_xlfn.RANK.EQ(B241,B$2:$B$479,0)</f>
        <v>232</v>
      </c>
      <c r="H241" s="40" t="s">
        <v>405</v>
      </c>
      <c r="I241" s="31">
        <v>0.75055109431585498</v>
      </c>
    </row>
    <row r="242" spans="1:9" x14ac:dyDescent="0.2">
      <c r="A242" s="50" t="s">
        <v>423</v>
      </c>
      <c r="B242" s="63">
        <v>0.75031565656565602</v>
      </c>
      <c r="C242" s="50" t="s">
        <v>62</v>
      </c>
      <c r="D242" s="50" t="str">
        <f>SUBSTITUTE(SUBSTITUTE(SUBSTITUTE(A242, "'max_iter': 500,", ""), "'max_iter': 1000,", ""), "'max_iter': 1500,", "")</f>
        <v>{'activation': 'identity', 'hidden_layer_sizes': (200, 100, 50), 'learning_rate_init': 0.01,  'solver': 'sgd'}</v>
      </c>
      <c r="E242">
        <f>_xlfn.RANK.EQ(B242,B$2:$B$479,0)</f>
        <v>241</v>
      </c>
      <c r="H242" s="40" t="s">
        <v>406</v>
      </c>
      <c r="I242" s="31">
        <v>0.75055109431585498</v>
      </c>
    </row>
    <row r="243" spans="1:9" x14ac:dyDescent="0.2">
      <c r="A243" s="50" t="s">
        <v>149</v>
      </c>
      <c r="B243" s="63">
        <v>0.75031565656565602</v>
      </c>
      <c r="C243" s="50" t="s">
        <v>62</v>
      </c>
      <c r="D243" s="50" t="str">
        <f>SUBSTITUTE(SUBSTITUTE(SUBSTITUTE(A243, "'max_iter': 500,", ""), "'max_iter': 1000,", ""), "'max_iter': 1500,", "")</f>
        <v>{'activation': 'identity', 'hidden_layer_sizes': (200, 100, 50), 'learning_rate_init': 0.01,  'solver': 'sgd'}</v>
      </c>
      <c r="E243">
        <f>_xlfn.RANK.EQ(B243,B$2:$B$479,0)</f>
        <v>241</v>
      </c>
      <c r="H243" s="40" t="s">
        <v>408</v>
      </c>
      <c r="I243" s="31">
        <v>0.75055109431585498</v>
      </c>
    </row>
    <row r="244" spans="1:9" x14ac:dyDescent="0.2">
      <c r="A244" s="50" t="s">
        <v>422</v>
      </c>
      <c r="B244" s="63">
        <v>0.75031565656565602</v>
      </c>
      <c r="C244" s="50" t="s">
        <v>62</v>
      </c>
      <c r="D244" s="50" t="str">
        <f>SUBSTITUTE(SUBSTITUTE(SUBSTITUTE(A244, "'max_iter': 500,", ""), "'max_iter': 1000,", ""), "'max_iter': 1500,", "")</f>
        <v>{'activation': 'identity', 'hidden_layer_sizes': (200, 100, 50), 'learning_rate_init': 0.01,  'solver': 'sgd'}</v>
      </c>
      <c r="E244">
        <f>_xlfn.RANK.EQ(B244,B$2:$B$479,0)</f>
        <v>241</v>
      </c>
      <c r="H244" s="40" t="s">
        <v>151</v>
      </c>
      <c r="I244" s="31">
        <v>0.75031565656565602</v>
      </c>
    </row>
    <row r="245" spans="1:9" x14ac:dyDescent="0.2">
      <c r="A245" s="50" t="s">
        <v>421</v>
      </c>
      <c r="B245" s="63">
        <v>0.75031565656565602</v>
      </c>
      <c r="C245" s="50" t="s">
        <v>62</v>
      </c>
      <c r="D245" s="50" t="str">
        <f>SUBSTITUTE(SUBSTITUTE(SUBSTITUTE(A245, "'max_iter': 500,", ""), "'max_iter': 1000,", ""), "'max_iter': 1500,", "")</f>
        <v>{'activation': 'identity', 'hidden_layer_sizes': (200, 75, 25), 'learning_rate_init': 0.01,  'solver': 'adam'}</v>
      </c>
      <c r="E245">
        <f>_xlfn.RANK.EQ(B245,B$2:$B$479,0)</f>
        <v>241</v>
      </c>
      <c r="H245" s="40" t="s">
        <v>426</v>
      </c>
      <c r="I245" s="31">
        <v>0.75031565656565602</v>
      </c>
    </row>
    <row r="246" spans="1:9" x14ac:dyDescent="0.2">
      <c r="A246" s="50" t="s">
        <v>150</v>
      </c>
      <c r="B246" s="63">
        <v>0.75031565656565602</v>
      </c>
      <c r="C246" s="50" t="s">
        <v>62</v>
      </c>
      <c r="D246" s="50" t="str">
        <f>SUBSTITUTE(SUBSTITUTE(SUBSTITUTE(A246, "'max_iter': 500,", ""), "'max_iter': 1000,", ""), "'max_iter': 1500,", "")</f>
        <v>{'activation': 'identity', 'hidden_layer_sizes': (200, 75, 25), 'learning_rate_init': 0.01,  'solver': 'adam'}</v>
      </c>
      <c r="E246">
        <f>_xlfn.RANK.EQ(B246,B$2:$B$479,0)</f>
        <v>241</v>
      </c>
      <c r="H246" s="40" t="s">
        <v>425</v>
      </c>
      <c r="I246" s="31">
        <v>0.75031565656565602</v>
      </c>
    </row>
    <row r="247" spans="1:9" x14ac:dyDescent="0.2">
      <c r="A247" s="50" t="s">
        <v>420</v>
      </c>
      <c r="B247" s="63">
        <v>0.75031565656565602</v>
      </c>
      <c r="C247" s="50" t="s">
        <v>62</v>
      </c>
      <c r="D247" s="50" t="str">
        <f>SUBSTITUTE(SUBSTITUTE(SUBSTITUTE(A247, "'max_iter': 500,", ""), "'max_iter': 1000,", ""), "'max_iter': 1500,", "")</f>
        <v>{'activation': 'identity', 'hidden_layer_sizes': (200, 75, 25), 'learning_rate_init': 0.01,  'solver': 'adam'}</v>
      </c>
      <c r="E247">
        <f>_xlfn.RANK.EQ(B247,B$2:$B$479,0)</f>
        <v>241</v>
      </c>
      <c r="H247" s="40" t="s">
        <v>418</v>
      </c>
      <c r="I247" s="31">
        <v>0.75031565656565602</v>
      </c>
    </row>
    <row r="248" spans="1:9" x14ac:dyDescent="0.2">
      <c r="A248" s="50" t="s">
        <v>413</v>
      </c>
      <c r="B248" s="63">
        <v>0.75031565656565602</v>
      </c>
      <c r="C248" s="50" t="s">
        <v>62</v>
      </c>
      <c r="D248" s="50" t="str">
        <f>SUBSTITUTE(SUBSTITUTE(SUBSTITUTE(A248, "'max_iter': 500,", ""), "'max_iter': 1000,", ""), "'max_iter': 1500,", "")</f>
        <v>{'activation': 'identity', 'hidden_layer_sizes': 50, 'learning_rate_init': 0.01,  'solver': 'adam'}</v>
      </c>
      <c r="E248">
        <f>_xlfn.RANK.EQ(B248,B$2:$B$479,0)</f>
        <v>241</v>
      </c>
      <c r="H248" s="40" t="s">
        <v>432</v>
      </c>
      <c r="I248" s="31">
        <v>0.75031565656565602</v>
      </c>
    </row>
    <row r="249" spans="1:9" x14ac:dyDescent="0.2">
      <c r="A249" s="50" t="s">
        <v>152</v>
      </c>
      <c r="B249" s="63">
        <v>0.75031565656565602</v>
      </c>
      <c r="C249" s="50" t="s">
        <v>62</v>
      </c>
      <c r="D249" s="50" t="str">
        <f>SUBSTITUTE(SUBSTITUTE(SUBSTITUTE(A249, "'max_iter': 500,", ""), "'max_iter': 1000,", ""), "'max_iter': 1500,", "")</f>
        <v>{'activation': 'identity', 'hidden_layer_sizes': 50, 'learning_rate_init': 0.01,  'solver': 'adam'}</v>
      </c>
      <c r="E249">
        <f>_xlfn.RANK.EQ(B249,B$2:$B$479,0)</f>
        <v>241</v>
      </c>
      <c r="H249" s="40" t="s">
        <v>417</v>
      </c>
      <c r="I249" s="31">
        <v>0.75031565656565602</v>
      </c>
    </row>
    <row r="250" spans="1:9" x14ac:dyDescent="0.2">
      <c r="A250" s="50" t="s">
        <v>429</v>
      </c>
      <c r="B250" s="63">
        <v>0.75031565656565602</v>
      </c>
      <c r="C250" s="50" t="s">
        <v>62</v>
      </c>
      <c r="D250" s="50" t="str">
        <f>SUBSTITUTE(SUBSTITUTE(SUBSTITUTE(A250, "'max_iter': 500,", ""), "'max_iter': 1000,", ""), "'max_iter': 1500,", "")</f>
        <v>{'activation': 'identity', 'hidden_layer_sizes': 50, 'learning_rate_init': 0.01,  'solver': 'adam'}</v>
      </c>
      <c r="E250">
        <f>_xlfn.RANK.EQ(B250,B$2:$B$479,0)</f>
        <v>241</v>
      </c>
      <c r="H250" s="40" t="s">
        <v>414</v>
      </c>
      <c r="I250" s="31">
        <v>0.75031565656565602</v>
      </c>
    </row>
    <row r="251" spans="1:9" x14ac:dyDescent="0.2">
      <c r="A251" s="50" t="s">
        <v>431</v>
      </c>
      <c r="B251" s="63">
        <v>0.75031565656565602</v>
      </c>
      <c r="C251" s="50" t="s">
        <v>62</v>
      </c>
      <c r="D251" s="50" t="str">
        <f>SUBSTITUTE(SUBSTITUTE(SUBSTITUTE(A251, "'max_iter': 500,", ""), "'max_iter': 1000,", ""), "'max_iter': 1500,", "")</f>
        <v>{'activation': 'logistic', 'hidden_layer_sizes': (100, 50), 'learning_rate_init': 0.01,  'solver': 'sgd'}</v>
      </c>
      <c r="E251">
        <f>_xlfn.RANK.EQ(B251,B$2:$B$479,0)</f>
        <v>241</v>
      </c>
      <c r="H251" s="40" t="s">
        <v>416</v>
      </c>
      <c r="I251" s="31">
        <v>0.75031565656565602</v>
      </c>
    </row>
    <row r="252" spans="1:9" x14ac:dyDescent="0.2">
      <c r="A252" s="50" t="s">
        <v>154</v>
      </c>
      <c r="B252" s="63">
        <v>0.75031565656565602</v>
      </c>
      <c r="C252" s="50" t="s">
        <v>62</v>
      </c>
      <c r="D252" s="50" t="str">
        <f>SUBSTITUTE(SUBSTITUTE(SUBSTITUTE(A252, "'max_iter': 500,", ""), "'max_iter': 1000,", ""), "'max_iter': 1500,", "")</f>
        <v>{'activation': 'logistic', 'hidden_layer_sizes': (100, 50), 'learning_rate_init': 0.01,  'solver': 'sgd'}</v>
      </c>
      <c r="E252">
        <f>_xlfn.RANK.EQ(B252,B$2:$B$479,0)</f>
        <v>241</v>
      </c>
      <c r="H252" s="40" t="s">
        <v>147</v>
      </c>
      <c r="I252" s="31">
        <v>0.75031565656565602</v>
      </c>
    </row>
    <row r="253" spans="1:9" x14ac:dyDescent="0.2">
      <c r="A253" s="50" t="s">
        <v>412</v>
      </c>
      <c r="B253" s="63">
        <v>0.75031565656565602</v>
      </c>
      <c r="C253" s="50" t="s">
        <v>62</v>
      </c>
      <c r="D253" s="50" t="str">
        <f>SUBSTITUTE(SUBSTITUTE(SUBSTITUTE(A253, "'max_iter': 500,", ""), "'max_iter': 1000,", ""), "'max_iter': 1500,", "")</f>
        <v>{'activation': 'logistic', 'hidden_layer_sizes': (100, 50), 'learning_rate_init': 0.01,  'solver': 'sgd'}</v>
      </c>
      <c r="E253">
        <f>_xlfn.RANK.EQ(B253,B$2:$B$479,0)</f>
        <v>241</v>
      </c>
      <c r="H253" s="40" t="s">
        <v>155</v>
      </c>
      <c r="I253" s="31">
        <v>0.75031565656565602</v>
      </c>
    </row>
    <row r="254" spans="1:9" x14ac:dyDescent="0.2">
      <c r="A254" s="50" t="s">
        <v>411</v>
      </c>
      <c r="B254" s="63">
        <v>0.75031565656565602</v>
      </c>
      <c r="C254" s="50" t="s">
        <v>62</v>
      </c>
      <c r="D254" s="50" t="str">
        <f>SUBSTITUTE(SUBSTITUTE(SUBSTITUTE(A254, "'max_iter': 500,", ""), "'max_iter': 1000,", ""), "'max_iter': 1500,", "")</f>
        <v>{'activation': 'logistic', 'hidden_layer_sizes': 100, 'learning_rate_init': 0.005,  'solver': 'sgd'}</v>
      </c>
      <c r="E254">
        <f>_xlfn.RANK.EQ(B254,B$2:$B$479,0)</f>
        <v>241</v>
      </c>
      <c r="H254" s="40" t="s">
        <v>153</v>
      </c>
      <c r="I254" s="31">
        <v>0.75031565656565602</v>
      </c>
    </row>
    <row r="255" spans="1:9" x14ac:dyDescent="0.2">
      <c r="A255" s="50" t="s">
        <v>148</v>
      </c>
      <c r="B255" s="63">
        <v>0.75031565656565602</v>
      </c>
      <c r="C255" s="50" t="s">
        <v>62</v>
      </c>
      <c r="D255" s="50" t="str">
        <f>SUBSTITUTE(SUBSTITUTE(SUBSTITUTE(A255, "'max_iter': 500,", ""), "'max_iter': 1000,", ""), "'max_iter': 1500,", "")</f>
        <v>{'activation': 'logistic', 'hidden_layer_sizes': 100, 'learning_rate_init': 0.005,  'solver': 'sgd'}</v>
      </c>
      <c r="E255">
        <f>_xlfn.RANK.EQ(B255,B$2:$B$479,0)</f>
        <v>241</v>
      </c>
      <c r="H255" s="40" t="s">
        <v>419</v>
      </c>
      <c r="I255" s="31">
        <v>0.75031565656565602</v>
      </c>
    </row>
    <row r="256" spans="1:9" x14ac:dyDescent="0.2">
      <c r="A256" s="50" t="s">
        <v>410</v>
      </c>
      <c r="B256" s="63">
        <v>0.75031565656565602</v>
      </c>
      <c r="C256" s="50" t="s">
        <v>62</v>
      </c>
      <c r="D256" s="50" t="str">
        <f>SUBSTITUTE(SUBSTITUTE(SUBSTITUTE(A256, "'max_iter': 500,", ""), "'max_iter': 1000,", ""), "'max_iter': 1500,", "")</f>
        <v>{'activation': 'logistic', 'hidden_layer_sizes': 100, 'learning_rate_init': 0.005,  'solver': 'sgd'}</v>
      </c>
      <c r="E256">
        <f>_xlfn.RANK.EQ(B256,B$2:$B$479,0)</f>
        <v>241</v>
      </c>
      <c r="H256" s="40" t="s">
        <v>156</v>
      </c>
      <c r="I256" s="31">
        <v>0.75031565656565602</v>
      </c>
    </row>
    <row r="257" spans="1:9" x14ac:dyDescent="0.2">
      <c r="A257" s="50" t="s">
        <v>428</v>
      </c>
      <c r="B257" s="63">
        <v>0.75031565656565602</v>
      </c>
      <c r="C257" s="50" t="s">
        <v>62</v>
      </c>
      <c r="D257" s="50" t="str">
        <f>SUBSTITUTE(SUBSTITUTE(SUBSTITUTE(A257, "'max_iter': 500,", ""), "'max_iter': 1000,", ""), "'max_iter': 1500,", "")</f>
        <v>{'activation': 'logistic', 'hidden_layer_sizes': 100, 'learning_rate_init': 0.01,  'solver': 'adam'}</v>
      </c>
      <c r="E257">
        <f>_xlfn.RANK.EQ(B257,B$2:$B$479,0)</f>
        <v>241</v>
      </c>
      <c r="H257" s="40" t="s">
        <v>430</v>
      </c>
      <c r="I257" s="31">
        <v>0.75031565656565602</v>
      </c>
    </row>
    <row r="258" spans="1:9" x14ac:dyDescent="0.2">
      <c r="A258" s="50" t="s">
        <v>433</v>
      </c>
      <c r="B258" s="63">
        <v>0.75031565656565602</v>
      </c>
      <c r="C258" s="50" t="s">
        <v>62</v>
      </c>
      <c r="D258" s="50" t="str">
        <f>SUBSTITUTE(SUBSTITUTE(SUBSTITUTE(A258, "'max_iter': 500,", ""), "'max_iter': 1000,", ""), "'max_iter': 1500,", "")</f>
        <v>{'activation': 'logistic', 'hidden_layer_sizes': 100, 'learning_rate_init': 0.01,  'solver': 'sgd'}</v>
      </c>
      <c r="E258">
        <f>_xlfn.RANK.EQ(B258,B$2:$B$479,0)</f>
        <v>241</v>
      </c>
      <c r="H258" s="40" t="s">
        <v>415</v>
      </c>
      <c r="I258" s="31">
        <v>0.75031565656565602</v>
      </c>
    </row>
    <row r="259" spans="1:9" x14ac:dyDescent="0.2">
      <c r="A259" s="50" t="s">
        <v>146</v>
      </c>
      <c r="B259" s="63">
        <v>0.75031565656565602</v>
      </c>
      <c r="C259" s="50" t="s">
        <v>62</v>
      </c>
      <c r="D259" s="50" t="str">
        <f>SUBSTITUTE(SUBSTITUTE(SUBSTITUTE(A259, "'max_iter': 500,", ""), "'max_iter': 1000,", ""), "'max_iter': 1500,", "")</f>
        <v>{'activation': 'logistic', 'hidden_layer_sizes': 100, 'learning_rate_init': 0.01,  'solver': 'adam'}</v>
      </c>
      <c r="E259">
        <f>_xlfn.RANK.EQ(B259,B$2:$B$479,0)</f>
        <v>241</v>
      </c>
      <c r="H259" s="40" t="s">
        <v>149</v>
      </c>
      <c r="I259" s="31">
        <v>0.75031565656565602</v>
      </c>
    </row>
    <row r="260" spans="1:9" x14ac:dyDescent="0.2">
      <c r="A260" s="50" t="s">
        <v>145</v>
      </c>
      <c r="B260" s="63">
        <v>0.75031565656565602</v>
      </c>
      <c r="C260" s="50" t="s">
        <v>62</v>
      </c>
      <c r="D260" s="50" t="str">
        <f>SUBSTITUTE(SUBSTITUTE(SUBSTITUTE(A260, "'max_iter': 500,", ""), "'max_iter': 1000,", ""), "'max_iter': 1500,", "")</f>
        <v>{'activation': 'logistic', 'hidden_layer_sizes': 100, 'learning_rate_init': 0.01,  'solver': 'sgd'}</v>
      </c>
      <c r="E260">
        <f>_xlfn.RANK.EQ(B260,B$2:$B$479,0)</f>
        <v>241</v>
      </c>
      <c r="H260" s="40" t="s">
        <v>146</v>
      </c>
      <c r="I260" s="31">
        <v>0.75031565656565602</v>
      </c>
    </row>
    <row r="261" spans="1:9" x14ac:dyDescent="0.2">
      <c r="A261" s="50" t="s">
        <v>427</v>
      </c>
      <c r="B261" s="63">
        <v>0.75031565656565602</v>
      </c>
      <c r="C261" s="50" t="s">
        <v>62</v>
      </c>
      <c r="D261" s="50" t="str">
        <f>SUBSTITUTE(SUBSTITUTE(SUBSTITUTE(A261, "'max_iter': 500,", ""), "'max_iter': 1000,", ""), "'max_iter': 1500,", "")</f>
        <v>{'activation': 'logistic', 'hidden_layer_sizes': 100, 'learning_rate_init': 0.01,  'solver': 'adam'}</v>
      </c>
      <c r="E261">
        <f>_xlfn.RANK.EQ(B261,B$2:$B$479,0)</f>
        <v>241</v>
      </c>
      <c r="H261" s="40" t="s">
        <v>424</v>
      </c>
      <c r="I261" s="31">
        <v>0.75031565656565602</v>
      </c>
    </row>
    <row r="262" spans="1:9" x14ac:dyDescent="0.2">
      <c r="A262" s="50" t="s">
        <v>424</v>
      </c>
      <c r="B262" s="63">
        <v>0.75031565656565602</v>
      </c>
      <c r="C262" s="50" t="s">
        <v>62</v>
      </c>
      <c r="D262" s="50" t="str">
        <f>SUBSTITUTE(SUBSTITUTE(SUBSTITUTE(A262, "'max_iter': 500,", ""), "'max_iter': 1000,", ""), "'max_iter': 1500,", "")</f>
        <v>{'activation': 'logistic', 'hidden_layer_sizes': 100, 'learning_rate_init': 0.01,  'solver': 'sgd'}</v>
      </c>
      <c r="E262">
        <f>_xlfn.RANK.EQ(B262,B$2:$B$479,0)</f>
        <v>241</v>
      </c>
      <c r="H262" s="40" t="s">
        <v>150</v>
      </c>
      <c r="I262" s="31">
        <v>0.75031565656565602</v>
      </c>
    </row>
    <row r="263" spans="1:9" x14ac:dyDescent="0.2">
      <c r="A263" s="50" t="s">
        <v>432</v>
      </c>
      <c r="B263" s="63">
        <v>0.75031565656565602</v>
      </c>
      <c r="C263" s="50" t="s">
        <v>62</v>
      </c>
      <c r="D263" s="50" t="str">
        <f>SUBSTITUTE(SUBSTITUTE(SUBSTITUTE(A263, "'max_iter': 500,", ""), "'max_iter': 1000,", ""), "'max_iter': 1500,", "")</f>
        <v>{'activation': 'relu', 'hidden_layer_sizes': (200, 75, 25), 'learning_rate_init': 0.001,  'solver': 'adam'}</v>
      </c>
      <c r="E263">
        <f>_xlfn.RANK.EQ(B263,B$2:$B$479,0)</f>
        <v>241</v>
      </c>
      <c r="H263" s="40" t="s">
        <v>427</v>
      </c>
      <c r="I263" s="31">
        <v>0.75031565656565602</v>
      </c>
    </row>
    <row r="264" spans="1:9" x14ac:dyDescent="0.2">
      <c r="A264" s="50" t="s">
        <v>155</v>
      </c>
      <c r="B264" s="63">
        <v>0.75031565656565602</v>
      </c>
      <c r="C264" s="50" t="s">
        <v>62</v>
      </c>
      <c r="D264" s="50" t="str">
        <f>SUBSTITUTE(SUBSTITUTE(SUBSTITUTE(A264, "'max_iter': 500,", ""), "'max_iter': 1000,", ""), "'max_iter': 1500,", "")</f>
        <v>{'activation': 'relu', 'hidden_layer_sizes': (200, 75, 25), 'learning_rate_init': 0.001,  'solver': 'adam'}</v>
      </c>
      <c r="E264">
        <f>_xlfn.RANK.EQ(B264,B$2:$B$479,0)</f>
        <v>241</v>
      </c>
      <c r="H264" s="40" t="s">
        <v>420</v>
      </c>
      <c r="I264" s="31">
        <v>0.75031565656565602</v>
      </c>
    </row>
    <row r="265" spans="1:9" x14ac:dyDescent="0.2">
      <c r="A265" s="50" t="s">
        <v>430</v>
      </c>
      <c r="B265" s="63">
        <v>0.75031565656565602</v>
      </c>
      <c r="C265" s="50" t="s">
        <v>62</v>
      </c>
      <c r="D265" s="50" t="str">
        <f>SUBSTITUTE(SUBSTITUTE(SUBSTITUTE(A265, "'max_iter': 500,", ""), "'max_iter': 1000,", ""), "'max_iter': 1500,", "")</f>
        <v>{'activation': 'relu', 'hidden_layer_sizes': (200, 75, 25), 'learning_rate_init': 0.001,  'solver': 'adam'}</v>
      </c>
      <c r="E265">
        <f>_xlfn.RANK.EQ(B265,B$2:$B$479,0)</f>
        <v>241</v>
      </c>
      <c r="H265" s="40" t="s">
        <v>154</v>
      </c>
      <c r="I265" s="31">
        <v>0.75031565656565602</v>
      </c>
    </row>
    <row r="266" spans="1:9" x14ac:dyDescent="0.2">
      <c r="A266" s="50" t="s">
        <v>417</v>
      </c>
      <c r="B266" s="63">
        <v>0.75031565656565602</v>
      </c>
      <c r="C266" s="50" t="s">
        <v>62</v>
      </c>
      <c r="D266" s="50" t="str">
        <f>SUBSTITUTE(SUBSTITUTE(SUBSTITUTE(A266, "'max_iter': 500,", ""), "'max_iter': 1000,", ""), "'max_iter': 1500,", "")</f>
        <v>{'activation': 'tanh', 'hidden_layer_sizes': (200, 75, 25), 'learning_rate_init': 0.001,  'solver': 'sgd'}</v>
      </c>
      <c r="E266">
        <f>_xlfn.RANK.EQ(B266,B$2:$B$479,0)</f>
        <v>241</v>
      </c>
      <c r="H266" s="40" t="s">
        <v>422</v>
      </c>
      <c r="I266" s="31">
        <v>0.75031565656565602</v>
      </c>
    </row>
    <row r="267" spans="1:9" x14ac:dyDescent="0.2">
      <c r="A267" s="50" t="s">
        <v>156</v>
      </c>
      <c r="B267" s="63">
        <v>0.75031565656565602</v>
      </c>
      <c r="C267" s="50" t="s">
        <v>62</v>
      </c>
      <c r="D267" s="50" t="str">
        <f>SUBSTITUTE(SUBSTITUTE(SUBSTITUTE(A267, "'max_iter': 500,", ""), "'max_iter': 1000,", ""), "'max_iter': 1500,", "")</f>
        <v>{'activation': 'tanh', 'hidden_layer_sizes': (200, 75, 25), 'learning_rate_init': 0.001,  'solver': 'sgd'}</v>
      </c>
      <c r="E267">
        <f>_xlfn.RANK.EQ(B267,B$2:$B$479,0)</f>
        <v>241</v>
      </c>
      <c r="H267" s="40" t="s">
        <v>433</v>
      </c>
      <c r="I267" s="31">
        <v>0.75031565656565602</v>
      </c>
    </row>
    <row r="268" spans="1:9" x14ac:dyDescent="0.2">
      <c r="A268" s="50" t="s">
        <v>416</v>
      </c>
      <c r="B268" s="63">
        <v>0.75031565656565602</v>
      </c>
      <c r="C268" s="50" t="s">
        <v>62</v>
      </c>
      <c r="D268" s="50" t="str">
        <f>SUBSTITUTE(SUBSTITUTE(SUBSTITUTE(A268, "'max_iter': 500,", ""), "'max_iter': 1000,", ""), "'max_iter': 1500,", "")</f>
        <v>{'activation': 'tanh', 'hidden_layer_sizes': (200, 75, 25), 'learning_rate_init': 0.001,  'solver': 'sgd'}</v>
      </c>
      <c r="E268">
        <f>_xlfn.RANK.EQ(B268,B$2:$B$479,0)</f>
        <v>241</v>
      </c>
      <c r="H268" s="40" t="s">
        <v>411</v>
      </c>
      <c r="I268" s="31">
        <v>0.75031565656565602</v>
      </c>
    </row>
    <row r="269" spans="1:9" x14ac:dyDescent="0.2">
      <c r="A269" s="50" t="s">
        <v>419</v>
      </c>
      <c r="B269" s="63">
        <v>0.75031565656565602</v>
      </c>
      <c r="C269" s="50" t="s">
        <v>62</v>
      </c>
      <c r="D269" s="50" t="str">
        <f>SUBSTITUTE(SUBSTITUTE(SUBSTITUTE(A269, "'max_iter': 500,", ""), "'max_iter': 1000,", ""), "'max_iter': 1500,", "")</f>
        <v>{'activation': 'tanh', 'hidden_layer_sizes': (200, 75, 25), 'learning_rate_init': 0.005,  'solver': 'adam'}</v>
      </c>
      <c r="E269">
        <f>_xlfn.RANK.EQ(B269,B$2:$B$479,0)</f>
        <v>241</v>
      </c>
      <c r="H269" s="40" t="s">
        <v>145</v>
      </c>
      <c r="I269" s="31">
        <v>0.75031565656565602</v>
      </c>
    </row>
    <row r="270" spans="1:9" x14ac:dyDescent="0.2">
      <c r="A270" s="50" t="s">
        <v>153</v>
      </c>
      <c r="B270" s="63">
        <v>0.75031565656565602</v>
      </c>
      <c r="C270" s="50" t="s">
        <v>62</v>
      </c>
      <c r="D270" s="50" t="str">
        <f>SUBSTITUTE(SUBSTITUTE(SUBSTITUTE(A270, "'max_iter': 500,", ""), "'max_iter': 1000,", ""), "'max_iter': 1500,", "")</f>
        <v>{'activation': 'tanh', 'hidden_layer_sizes': (200, 75, 25), 'learning_rate_init': 0.005,  'solver': 'adam'}</v>
      </c>
      <c r="E270">
        <f>_xlfn.RANK.EQ(B270,B$2:$B$479,0)</f>
        <v>241</v>
      </c>
      <c r="H270" s="40" t="s">
        <v>429</v>
      </c>
      <c r="I270" s="31">
        <v>0.75031565656565602</v>
      </c>
    </row>
    <row r="271" spans="1:9" x14ac:dyDescent="0.2">
      <c r="A271" s="50" t="s">
        <v>418</v>
      </c>
      <c r="B271" s="63">
        <v>0.75031565656565602</v>
      </c>
      <c r="C271" s="50" t="s">
        <v>62</v>
      </c>
      <c r="D271" s="50" t="str">
        <f>SUBSTITUTE(SUBSTITUTE(SUBSTITUTE(A271, "'max_iter': 500,", ""), "'max_iter': 1000,", ""), "'max_iter': 1500,", "")</f>
        <v>{'activation': 'tanh', 'hidden_layer_sizes': (200, 75, 25), 'learning_rate_init': 0.005,  'solver': 'adam'}</v>
      </c>
      <c r="E271">
        <f>_xlfn.RANK.EQ(B271,B$2:$B$479,0)</f>
        <v>241</v>
      </c>
      <c r="H271" s="40" t="s">
        <v>423</v>
      </c>
      <c r="I271" s="31">
        <v>0.75031565656565602</v>
      </c>
    </row>
    <row r="272" spans="1:9" x14ac:dyDescent="0.2">
      <c r="A272" s="50" t="s">
        <v>415</v>
      </c>
      <c r="B272" s="63">
        <v>0.75031565656565602</v>
      </c>
      <c r="C272" s="50" t="s">
        <v>62</v>
      </c>
      <c r="D272" s="50" t="str">
        <f>SUBSTITUTE(SUBSTITUTE(SUBSTITUTE(A272, "'max_iter': 500,", ""), "'max_iter': 1000,", ""), "'max_iter': 1500,", "")</f>
        <v>{'activation': 'tanh', 'hidden_layer_sizes': 150, 'learning_rate_init': 0.005,  'solver': 'sgd'}</v>
      </c>
      <c r="E272">
        <f>_xlfn.RANK.EQ(B272,B$2:$B$479,0)</f>
        <v>241</v>
      </c>
      <c r="H272" s="40" t="s">
        <v>148</v>
      </c>
      <c r="I272" s="31">
        <v>0.75031565656565602</v>
      </c>
    </row>
    <row r="273" spans="1:9" x14ac:dyDescent="0.2">
      <c r="A273" s="50" t="s">
        <v>151</v>
      </c>
      <c r="B273" s="63">
        <v>0.75031565656565602</v>
      </c>
      <c r="C273" s="50" t="s">
        <v>62</v>
      </c>
      <c r="D273" s="50" t="str">
        <f>SUBSTITUTE(SUBSTITUTE(SUBSTITUTE(A273, "'max_iter': 500,", ""), "'max_iter': 1000,", ""), "'max_iter': 1500,", "")</f>
        <v>{'activation': 'tanh', 'hidden_layer_sizes': 150, 'learning_rate_init': 0.005,  'solver': 'sgd'}</v>
      </c>
      <c r="E273">
        <f>_xlfn.RANK.EQ(B273,B$2:$B$479,0)</f>
        <v>241</v>
      </c>
      <c r="H273" s="40" t="s">
        <v>431</v>
      </c>
      <c r="I273" s="31">
        <v>0.75031565656565602</v>
      </c>
    </row>
    <row r="274" spans="1:9" x14ac:dyDescent="0.2">
      <c r="A274" s="50" t="s">
        <v>414</v>
      </c>
      <c r="B274" s="63">
        <v>0.75031565656565602</v>
      </c>
      <c r="C274" s="50" t="s">
        <v>62</v>
      </c>
      <c r="D274" s="50" t="str">
        <f>SUBSTITUTE(SUBSTITUTE(SUBSTITUTE(A274, "'max_iter': 500,", ""), "'max_iter': 1000,", ""), "'max_iter': 1500,", "")</f>
        <v>{'activation': 'tanh', 'hidden_layer_sizes': 150, 'learning_rate_init': 0.005,  'solver': 'sgd'}</v>
      </c>
      <c r="E274">
        <f>_xlfn.RANK.EQ(B274,B$2:$B$479,0)</f>
        <v>241</v>
      </c>
      <c r="H274" s="40" t="s">
        <v>421</v>
      </c>
      <c r="I274" s="31">
        <v>0.75031565656565602</v>
      </c>
    </row>
    <row r="275" spans="1:9" x14ac:dyDescent="0.2">
      <c r="A275" s="50" t="s">
        <v>425</v>
      </c>
      <c r="B275" s="63">
        <v>0.75031565656565602</v>
      </c>
      <c r="C275" s="50" t="s">
        <v>62</v>
      </c>
      <c r="D275" s="50" t="str">
        <f>SUBSTITUTE(SUBSTITUTE(SUBSTITUTE(A275, "'max_iter': 500,", ""), "'max_iter': 1000,", ""), "'max_iter': 1500,", "")</f>
        <v>{'activation': 'tanh', 'hidden_layer_sizes': 150, 'learning_rate_init': 0.01,  'solver': 'sgd'}</v>
      </c>
      <c r="E275">
        <f>_xlfn.RANK.EQ(B275,B$2:$B$479,0)</f>
        <v>241</v>
      </c>
      <c r="H275" s="40" t="s">
        <v>412</v>
      </c>
      <c r="I275" s="31">
        <v>0.75031565656565602</v>
      </c>
    </row>
    <row r="276" spans="1:9" x14ac:dyDescent="0.2">
      <c r="A276" s="50" t="s">
        <v>147</v>
      </c>
      <c r="B276" s="63">
        <v>0.75031565656565602</v>
      </c>
      <c r="C276" s="50" t="s">
        <v>62</v>
      </c>
      <c r="D276" s="50" t="str">
        <f>SUBSTITUTE(SUBSTITUTE(SUBSTITUTE(A276, "'max_iter': 500,", ""), "'max_iter': 1000,", ""), "'max_iter': 1500,", "")</f>
        <v>{'activation': 'tanh', 'hidden_layer_sizes': 150, 'learning_rate_init': 0.01,  'solver': 'sgd'}</v>
      </c>
      <c r="E276">
        <f>_xlfn.RANK.EQ(B276,B$2:$B$479,0)</f>
        <v>241</v>
      </c>
      <c r="H276" s="40" t="s">
        <v>410</v>
      </c>
      <c r="I276" s="31">
        <v>0.75031565656565602</v>
      </c>
    </row>
    <row r="277" spans="1:9" x14ac:dyDescent="0.2">
      <c r="A277" s="50" t="s">
        <v>426</v>
      </c>
      <c r="B277" s="63">
        <v>0.75031565656565602</v>
      </c>
      <c r="C277" s="50" t="s">
        <v>62</v>
      </c>
      <c r="D277" s="50" t="str">
        <f>SUBSTITUTE(SUBSTITUTE(SUBSTITUTE(A277, "'max_iter': 500,", ""), "'max_iter': 1000,", ""), "'max_iter': 1500,", "")</f>
        <v>{'activation': 'tanh', 'hidden_layer_sizes': 150, 'learning_rate_init': 0.01,  'solver': 'sgd'}</v>
      </c>
      <c r="E277">
        <f>_xlfn.RANK.EQ(B277,B$2:$B$479,0)</f>
        <v>241</v>
      </c>
      <c r="H277" s="40" t="s">
        <v>428</v>
      </c>
      <c r="I277" s="31">
        <v>0.75031565656565602</v>
      </c>
    </row>
    <row r="278" spans="1:9" x14ac:dyDescent="0.2">
      <c r="A278" s="50" t="s">
        <v>437</v>
      </c>
      <c r="B278" s="63">
        <v>0.75</v>
      </c>
      <c r="C278" s="50" t="s">
        <v>62</v>
      </c>
      <c r="D278" s="50" t="str">
        <f>SUBSTITUTE(SUBSTITUTE(SUBSTITUTE(A278, "'max_iter': 500,", ""), "'max_iter': 1000,", ""), "'max_iter': 1500,", "")</f>
        <v>{'activation': 'identity', 'hidden_layer_sizes': (100, 50), 'learning_rate_init': 0.01,  'solver': 'adam'}</v>
      </c>
      <c r="E278">
        <f>_xlfn.RANK.EQ(B278,B$2:$B$479,0)</f>
        <v>277</v>
      </c>
      <c r="H278" s="40" t="s">
        <v>152</v>
      </c>
      <c r="I278" s="31">
        <v>0.75031565656565602</v>
      </c>
    </row>
    <row r="279" spans="1:9" x14ac:dyDescent="0.2">
      <c r="A279" s="50" t="s">
        <v>160</v>
      </c>
      <c r="B279" s="63">
        <v>0.75</v>
      </c>
      <c r="C279" s="50" t="s">
        <v>62</v>
      </c>
      <c r="D279" s="50" t="str">
        <f>SUBSTITUTE(SUBSTITUTE(SUBSTITUTE(A279, "'max_iter': 500,", ""), "'max_iter': 1000,", ""), "'max_iter': 1500,", "")</f>
        <v>{'activation': 'identity', 'hidden_layer_sizes': (100, 50), 'learning_rate_init': 0.01,  'solver': 'adam'}</v>
      </c>
      <c r="E279">
        <f>_xlfn.RANK.EQ(B279,B$2:$B$479,0)</f>
        <v>277</v>
      </c>
      <c r="H279" s="40" t="s">
        <v>413</v>
      </c>
      <c r="I279" s="31">
        <v>0.75031565656565602</v>
      </c>
    </row>
    <row r="280" spans="1:9" x14ac:dyDescent="0.2">
      <c r="A280" s="50" t="s">
        <v>439</v>
      </c>
      <c r="B280" s="63">
        <v>0.75</v>
      </c>
      <c r="C280" s="50" t="s">
        <v>62</v>
      </c>
      <c r="D280" s="50" t="str">
        <f>SUBSTITUTE(SUBSTITUTE(SUBSTITUTE(A280, "'max_iter': 500,", ""), "'max_iter': 1000,", ""), "'max_iter': 1500,", "")</f>
        <v>{'activation': 'identity', 'hidden_layer_sizes': (100, 50), 'learning_rate_init': 0.01,  'solver': 'adam'}</v>
      </c>
      <c r="E280">
        <f>_xlfn.RANK.EQ(B280,B$2:$B$479,0)</f>
        <v>277</v>
      </c>
      <c r="H280" s="40" t="s">
        <v>434</v>
      </c>
      <c r="I280" s="31">
        <v>0.75</v>
      </c>
    </row>
    <row r="281" spans="1:9" x14ac:dyDescent="0.2">
      <c r="A281" s="50" t="s">
        <v>438</v>
      </c>
      <c r="B281" s="63">
        <v>0.75</v>
      </c>
      <c r="C281" s="50" t="s">
        <v>62</v>
      </c>
      <c r="D281" s="50" t="str">
        <f>SUBSTITUTE(SUBSTITUTE(SUBSTITUTE(A281, "'max_iter': 500,", ""), "'max_iter': 1000,", ""), "'max_iter': 1500,", "")</f>
        <v>{'activation': 'identity', 'hidden_layer_sizes': (200, 75, 25), 'learning_rate_init': 0.001,  'solver': 'adam'}</v>
      </c>
      <c r="E281">
        <f>_xlfn.RANK.EQ(B281,B$2:$B$479,0)</f>
        <v>277</v>
      </c>
      <c r="H281" s="40" t="s">
        <v>436</v>
      </c>
      <c r="I281" s="31">
        <v>0.75</v>
      </c>
    </row>
    <row r="282" spans="1:9" x14ac:dyDescent="0.2">
      <c r="A282" s="50" t="s">
        <v>157</v>
      </c>
      <c r="B282" s="63">
        <v>0.75</v>
      </c>
      <c r="C282" s="50" t="s">
        <v>62</v>
      </c>
      <c r="D282" s="50" t="str">
        <f>SUBSTITUTE(SUBSTITUTE(SUBSTITUTE(A282, "'max_iter': 500,", ""), "'max_iter': 1000,", ""), "'max_iter': 1500,", "")</f>
        <v>{'activation': 'identity', 'hidden_layer_sizes': (200, 75, 25), 'learning_rate_init': 0.001,  'solver': 'adam'}</v>
      </c>
      <c r="E282">
        <f>_xlfn.RANK.EQ(B282,B$2:$B$479,0)</f>
        <v>277</v>
      </c>
      <c r="H282" s="40" t="s">
        <v>159</v>
      </c>
      <c r="I282" s="31">
        <v>0.75</v>
      </c>
    </row>
    <row r="283" spans="1:9" x14ac:dyDescent="0.2">
      <c r="A283" s="50" t="s">
        <v>435</v>
      </c>
      <c r="B283" s="63">
        <v>0.75</v>
      </c>
      <c r="C283" s="50" t="s">
        <v>62</v>
      </c>
      <c r="D283" s="50" t="str">
        <f>SUBSTITUTE(SUBSTITUTE(SUBSTITUTE(A283, "'max_iter': 500,", ""), "'max_iter': 1000,", ""), "'max_iter': 1500,", "")</f>
        <v>{'activation': 'identity', 'hidden_layer_sizes': (200, 75, 25), 'learning_rate_init': 0.001,  'solver': 'adam'}</v>
      </c>
      <c r="E283">
        <f>_xlfn.RANK.EQ(B283,B$2:$B$479,0)</f>
        <v>277</v>
      </c>
      <c r="H283" s="40" t="s">
        <v>438</v>
      </c>
      <c r="I283" s="31">
        <v>0.75</v>
      </c>
    </row>
    <row r="284" spans="1:9" x14ac:dyDescent="0.2">
      <c r="A284" s="50" t="s">
        <v>440</v>
      </c>
      <c r="B284" s="63">
        <v>0.75</v>
      </c>
      <c r="C284" s="50" t="s">
        <v>62</v>
      </c>
      <c r="D284" s="50" t="str">
        <f>SUBSTITUTE(SUBSTITUTE(SUBSTITUTE(A284, "'max_iter': 500,", ""), "'max_iter': 1000,", ""), "'max_iter': 1500,", "")</f>
        <v>{'activation': 'logistic', 'hidden_layer_sizes': (200, 75, 25), 'learning_rate_init': 0.005,  'solver': 'adam'}</v>
      </c>
      <c r="E284">
        <f>_xlfn.RANK.EQ(B284,B$2:$B$479,0)</f>
        <v>277</v>
      </c>
      <c r="H284" s="40" t="s">
        <v>441</v>
      </c>
      <c r="I284" s="31">
        <v>0.75</v>
      </c>
    </row>
    <row r="285" spans="1:9" x14ac:dyDescent="0.2">
      <c r="A285" s="50" t="s">
        <v>161</v>
      </c>
      <c r="B285" s="63">
        <v>0.75</v>
      </c>
      <c r="C285" s="50" t="s">
        <v>62</v>
      </c>
      <c r="D285" s="50" t="str">
        <f>SUBSTITUTE(SUBSTITUTE(SUBSTITUTE(A285, "'max_iter': 500,", ""), "'max_iter': 1000,", ""), "'max_iter': 1500,", "")</f>
        <v>{'activation': 'logistic', 'hidden_layer_sizes': (200, 75, 25), 'learning_rate_init': 0.005,  'solver': 'adam'}</v>
      </c>
      <c r="E285">
        <f>_xlfn.RANK.EQ(B285,B$2:$B$479,0)</f>
        <v>277</v>
      </c>
      <c r="H285" s="40" t="s">
        <v>435</v>
      </c>
      <c r="I285" s="31">
        <v>0.75</v>
      </c>
    </row>
    <row r="286" spans="1:9" x14ac:dyDescent="0.2">
      <c r="A286" s="50" t="s">
        <v>441</v>
      </c>
      <c r="B286" s="63">
        <v>0.75</v>
      </c>
      <c r="C286" s="50" t="s">
        <v>62</v>
      </c>
      <c r="D286" s="50" t="str">
        <f>SUBSTITUTE(SUBSTITUTE(SUBSTITUTE(A286, "'max_iter': 500,", ""), "'max_iter': 1000,", ""), "'max_iter': 1500,", "")</f>
        <v>{'activation': 'logistic', 'hidden_layer_sizes': (200, 75, 25), 'learning_rate_init': 0.005,  'solver': 'adam'}</v>
      </c>
      <c r="E286">
        <f>_xlfn.RANK.EQ(B286,B$2:$B$479,0)</f>
        <v>277</v>
      </c>
      <c r="H286" s="40" t="s">
        <v>437</v>
      </c>
      <c r="I286" s="31">
        <v>0.75</v>
      </c>
    </row>
    <row r="287" spans="1:9" x14ac:dyDescent="0.2">
      <c r="A287" s="50" t="s">
        <v>158</v>
      </c>
      <c r="B287" s="63">
        <v>0.75</v>
      </c>
      <c r="C287" s="50" t="s">
        <v>62</v>
      </c>
      <c r="D287" s="50" t="str">
        <f>SUBSTITUTE(SUBSTITUTE(SUBSTITUTE(A287, "'max_iter': 500,", ""), "'max_iter': 1000,", ""), "'max_iter': 1500,", "")</f>
        <v>{'activation': 'logistic', 'hidden_layer_sizes': 100, 'learning_rate_init': 0.001,  'solver': 'sgd'}</v>
      </c>
      <c r="E287">
        <f>_xlfn.RANK.EQ(B287,B$2:$B$479,0)</f>
        <v>277</v>
      </c>
      <c r="H287" s="40" t="s">
        <v>158</v>
      </c>
      <c r="I287" s="31">
        <v>0.75</v>
      </c>
    </row>
    <row r="288" spans="1:9" x14ac:dyDescent="0.2">
      <c r="A288" s="50" t="s">
        <v>434</v>
      </c>
      <c r="B288" s="63">
        <v>0.75</v>
      </c>
      <c r="C288" s="50" t="s">
        <v>62</v>
      </c>
      <c r="D288" s="50" t="str">
        <f>SUBSTITUTE(SUBSTITUTE(SUBSTITUTE(A288, "'max_iter': 500,", ""), "'max_iter': 1000,", ""), "'max_iter': 1500,", "")</f>
        <v>{'activation': 'tanh', 'hidden_layer_sizes': 150, 'learning_rate_init': 0.005,  'solver': 'adam'}</v>
      </c>
      <c r="E288">
        <f>_xlfn.RANK.EQ(B288,B$2:$B$479,0)</f>
        <v>277</v>
      </c>
      <c r="H288" s="40" t="s">
        <v>160</v>
      </c>
      <c r="I288" s="31">
        <v>0.75</v>
      </c>
    </row>
    <row r="289" spans="1:9" x14ac:dyDescent="0.2">
      <c r="A289" s="50" t="s">
        <v>159</v>
      </c>
      <c r="B289" s="63">
        <v>0.75</v>
      </c>
      <c r="C289" s="50" t="s">
        <v>62</v>
      </c>
      <c r="D289" s="50" t="str">
        <f>SUBSTITUTE(SUBSTITUTE(SUBSTITUTE(A289, "'max_iter': 500,", ""), "'max_iter': 1000,", ""), "'max_iter': 1500,", "")</f>
        <v>{'activation': 'tanh', 'hidden_layer_sizes': 150, 'learning_rate_init': 0.005,  'solver': 'adam'}</v>
      </c>
      <c r="E289">
        <f>_xlfn.RANK.EQ(B289,B$2:$B$479,0)</f>
        <v>277</v>
      </c>
      <c r="H289" s="40" t="s">
        <v>157</v>
      </c>
      <c r="I289" s="31">
        <v>0.75</v>
      </c>
    </row>
    <row r="290" spans="1:9" x14ac:dyDescent="0.2">
      <c r="A290" s="50" t="s">
        <v>436</v>
      </c>
      <c r="B290" s="63">
        <v>0.75</v>
      </c>
      <c r="C290" s="50" t="s">
        <v>62</v>
      </c>
      <c r="D290" s="50" t="str">
        <f>SUBSTITUTE(SUBSTITUTE(SUBSTITUTE(A290, "'max_iter': 500,", ""), "'max_iter': 1000,", ""), "'max_iter': 1500,", "")</f>
        <v>{'activation': 'tanh', 'hidden_layer_sizes': 150, 'learning_rate_init': 0.005,  'solver': 'adam'}</v>
      </c>
      <c r="E290">
        <f>_xlfn.RANK.EQ(B290,B$2:$B$479,0)</f>
        <v>277</v>
      </c>
      <c r="H290" s="40" t="s">
        <v>439</v>
      </c>
      <c r="I290" s="31">
        <v>0.75</v>
      </c>
    </row>
    <row r="291" spans="1:9" x14ac:dyDescent="0.2">
      <c r="A291" s="50" t="s">
        <v>451</v>
      </c>
      <c r="B291" s="63">
        <v>0.74960317460317405</v>
      </c>
      <c r="C291" s="50" t="s">
        <v>62</v>
      </c>
      <c r="D291" s="50" t="str">
        <f>SUBSTITUTE(SUBSTITUTE(SUBSTITUTE(A291, "'max_iter': 500,", ""), "'max_iter': 1000,", ""), "'max_iter': 1500,", "")</f>
        <v>{'activation': 'identity', 'hidden_layer_sizes': (200, 75, 25), 'learning_rate_init': 0.001,  'solver': 'sgd'}</v>
      </c>
      <c r="E291">
        <f>_xlfn.RANK.EQ(B291,B$2:$B$479,0)</f>
        <v>290</v>
      </c>
      <c r="H291" s="40" t="s">
        <v>161</v>
      </c>
      <c r="I291" s="31">
        <v>0.75</v>
      </c>
    </row>
    <row r="292" spans="1:9" x14ac:dyDescent="0.2">
      <c r="A292" s="50" t="s">
        <v>164</v>
      </c>
      <c r="B292" s="63">
        <v>0.74960317460317405</v>
      </c>
      <c r="C292" s="50" t="s">
        <v>62</v>
      </c>
      <c r="D292" s="50" t="str">
        <f>SUBSTITUTE(SUBSTITUTE(SUBSTITUTE(A292, "'max_iter': 500,", ""), "'max_iter': 1000,", ""), "'max_iter': 1500,", "")</f>
        <v>{'activation': 'identity', 'hidden_layer_sizes': (200, 75, 25), 'learning_rate_init': 0.001,  'solver': 'sgd'}</v>
      </c>
      <c r="E292">
        <f>_xlfn.RANK.EQ(B292,B$2:$B$479,0)</f>
        <v>290</v>
      </c>
      <c r="H292" s="40" t="s">
        <v>440</v>
      </c>
      <c r="I292" s="31">
        <v>0.75</v>
      </c>
    </row>
    <row r="293" spans="1:9" x14ac:dyDescent="0.2">
      <c r="A293" s="50" t="s">
        <v>444</v>
      </c>
      <c r="B293" s="63">
        <v>0.74960317460317405</v>
      </c>
      <c r="C293" s="50" t="s">
        <v>62</v>
      </c>
      <c r="D293" s="50" t="str">
        <f>SUBSTITUTE(SUBSTITUTE(SUBSTITUTE(A293, "'max_iter': 500,", ""), "'max_iter': 1000,", ""), "'max_iter': 1500,", "")</f>
        <v>{'activation': 'identity', 'hidden_layer_sizes': (200, 75, 25), 'learning_rate_init': 0.001,  'solver': 'sgd'}</v>
      </c>
      <c r="E293">
        <f>_xlfn.RANK.EQ(B293,B$2:$B$479,0)</f>
        <v>290</v>
      </c>
      <c r="H293" s="40" t="s">
        <v>162</v>
      </c>
      <c r="I293" s="31">
        <v>0.74960317460317405</v>
      </c>
    </row>
    <row r="294" spans="1:9" x14ac:dyDescent="0.2">
      <c r="A294" s="50" t="s">
        <v>445</v>
      </c>
      <c r="B294" s="63">
        <v>0.74960317460317405</v>
      </c>
      <c r="C294" s="50" t="s">
        <v>62</v>
      </c>
      <c r="D294" s="50" t="str">
        <f>SUBSTITUTE(SUBSTITUTE(SUBSTITUTE(A294, "'max_iter': 500,", ""), "'max_iter': 1000,", ""), "'max_iter': 1500,", "")</f>
        <v>{'activation': 'identity', 'hidden_layer_sizes': 50, 'learning_rate_init': 0.001,  'solver': 'sgd'}</v>
      </c>
      <c r="E294">
        <f>_xlfn.RANK.EQ(B294,B$2:$B$479,0)</f>
        <v>290</v>
      </c>
      <c r="H294" s="40" t="s">
        <v>446</v>
      </c>
      <c r="I294" s="31">
        <v>0.74960317460317405</v>
      </c>
    </row>
    <row r="295" spans="1:9" x14ac:dyDescent="0.2">
      <c r="A295" s="50" t="s">
        <v>165</v>
      </c>
      <c r="B295" s="63">
        <v>0.74960317460317405</v>
      </c>
      <c r="C295" s="50" t="s">
        <v>62</v>
      </c>
      <c r="D295" s="50" t="str">
        <f>SUBSTITUTE(SUBSTITUTE(SUBSTITUTE(A295, "'max_iter': 500,", ""), "'max_iter': 1000,", ""), "'max_iter': 1500,", "")</f>
        <v>{'activation': 'identity', 'hidden_layer_sizes': 50, 'learning_rate_init': 0.001,  'solver': 'sgd'}</v>
      </c>
      <c r="E295">
        <f>_xlfn.RANK.EQ(B295,B$2:$B$479,0)</f>
        <v>290</v>
      </c>
      <c r="H295" s="40" t="s">
        <v>448</v>
      </c>
      <c r="I295" s="31">
        <v>0.74960317460317405</v>
      </c>
    </row>
    <row r="296" spans="1:9" x14ac:dyDescent="0.2">
      <c r="A296" s="50" t="s">
        <v>447</v>
      </c>
      <c r="B296" s="63">
        <v>0.74960317460317405</v>
      </c>
      <c r="C296" s="50" t="s">
        <v>62</v>
      </c>
      <c r="D296" s="50" t="str">
        <f>SUBSTITUTE(SUBSTITUTE(SUBSTITUTE(A296, "'max_iter': 500,", ""), "'max_iter': 1000,", ""), "'max_iter': 1500,", "")</f>
        <v>{'activation': 'identity', 'hidden_layer_sizes': 50, 'learning_rate_init': 0.001,  'solver': 'sgd'}</v>
      </c>
      <c r="E296">
        <f>_xlfn.RANK.EQ(B296,B$2:$B$479,0)</f>
        <v>290</v>
      </c>
      <c r="H296" s="40" t="s">
        <v>163</v>
      </c>
      <c r="I296" s="31">
        <v>0.74960317460317405</v>
      </c>
    </row>
    <row r="297" spans="1:9" x14ac:dyDescent="0.2">
      <c r="A297" s="50" t="s">
        <v>443</v>
      </c>
      <c r="B297" s="63">
        <v>0.74960317460317405</v>
      </c>
      <c r="C297" s="50" t="s">
        <v>62</v>
      </c>
      <c r="D297" s="50" t="str">
        <f>SUBSTITUTE(SUBSTITUTE(SUBSTITUTE(A297, "'max_iter': 500,", ""), "'max_iter': 1000,", ""), "'max_iter': 1500,", "")</f>
        <v>{'activation': 'logistic', 'hidden_layer_sizes': (200, 75, 25), 'learning_rate_init': 0.01,  'solver': 'adam'}</v>
      </c>
      <c r="E297">
        <f>_xlfn.RANK.EQ(B297,B$2:$B$479,0)</f>
        <v>290</v>
      </c>
      <c r="H297" s="40" t="s">
        <v>450</v>
      </c>
      <c r="I297" s="31">
        <v>0.74960317460317405</v>
      </c>
    </row>
    <row r="298" spans="1:9" x14ac:dyDescent="0.2">
      <c r="A298" s="50" t="s">
        <v>166</v>
      </c>
      <c r="B298" s="63">
        <v>0.74960317460317405</v>
      </c>
      <c r="C298" s="50" t="s">
        <v>62</v>
      </c>
      <c r="D298" s="50" t="str">
        <f>SUBSTITUTE(SUBSTITUTE(SUBSTITUTE(A298, "'max_iter': 500,", ""), "'max_iter': 1000,", ""), "'max_iter': 1500,", "")</f>
        <v>{'activation': 'logistic', 'hidden_layer_sizes': (200, 75, 25), 'learning_rate_init': 0.01,  'solver': 'adam'}</v>
      </c>
      <c r="E298">
        <f>_xlfn.RANK.EQ(B298,B$2:$B$479,0)</f>
        <v>290</v>
      </c>
      <c r="H298" s="40" t="s">
        <v>449</v>
      </c>
      <c r="I298" s="31">
        <v>0.74960317460317405</v>
      </c>
    </row>
    <row r="299" spans="1:9" x14ac:dyDescent="0.2">
      <c r="A299" s="50" t="s">
        <v>442</v>
      </c>
      <c r="B299" s="63">
        <v>0.74960317460317405</v>
      </c>
      <c r="C299" s="50" t="s">
        <v>62</v>
      </c>
      <c r="D299" s="50" t="str">
        <f>SUBSTITUTE(SUBSTITUTE(SUBSTITUTE(A299, "'max_iter': 500,", ""), "'max_iter': 1000,", ""), "'max_iter': 1500,", "")</f>
        <v>{'activation': 'logistic', 'hidden_layer_sizes': (200, 75, 25), 'learning_rate_init': 0.01,  'solver': 'adam'}</v>
      </c>
      <c r="E299">
        <f>_xlfn.RANK.EQ(B299,B$2:$B$479,0)</f>
        <v>290</v>
      </c>
      <c r="H299" s="40" t="s">
        <v>164</v>
      </c>
      <c r="I299" s="31">
        <v>0.74960317460317405</v>
      </c>
    </row>
    <row r="300" spans="1:9" x14ac:dyDescent="0.2">
      <c r="A300" s="50" t="s">
        <v>449</v>
      </c>
      <c r="B300" s="63">
        <v>0.74960317460317405</v>
      </c>
      <c r="C300" s="50" t="s">
        <v>62</v>
      </c>
      <c r="D300" s="50" t="str">
        <f>SUBSTITUTE(SUBSTITUTE(SUBSTITUTE(A300, "'max_iter': 500,", ""), "'max_iter': 1000,", ""), "'max_iter': 1500,", "")</f>
        <v>{'activation': 'tanh', 'hidden_layer_sizes': (200, 75, 25), 'learning_rate_init': 0.001,  'solver': 'adam'}</v>
      </c>
      <c r="E300">
        <f>_xlfn.RANK.EQ(B300,B$2:$B$479,0)</f>
        <v>290</v>
      </c>
      <c r="H300" s="40" t="s">
        <v>445</v>
      </c>
      <c r="I300" s="31">
        <v>0.74960317460317405</v>
      </c>
    </row>
    <row r="301" spans="1:9" x14ac:dyDescent="0.2">
      <c r="A301" s="50" t="s">
        <v>163</v>
      </c>
      <c r="B301" s="63">
        <v>0.74960317460317405</v>
      </c>
      <c r="C301" s="50" t="s">
        <v>62</v>
      </c>
      <c r="D301" s="50" t="str">
        <f>SUBSTITUTE(SUBSTITUTE(SUBSTITUTE(A301, "'max_iter': 500,", ""), "'max_iter': 1000,", ""), "'max_iter': 1500,", "")</f>
        <v>{'activation': 'tanh', 'hidden_layer_sizes': (200, 75, 25), 'learning_rate_init': 0.001,  'solver': 'adam'}</v>
      </c>
      <c r="E301">
        <f>_xlfn.RANK.EQ(B301,B$2:$B$479,0)</f>
        <v>290</v>
      </c>
      <c r="H301" s="40" t="s">
        <v>444</v>
      </c>
      <c r="I301" s="31">
        <v>0.74960317460317405</v>
      </c>
    </row>
    <row r="302" spans="1:9" x14ac:dyDescent="0.2">
      <c r="A302" s="50" t="s">
        <v>448</v>
      </c>
      <c r="B302" s="63">
        <v>0.74960317460317405</v>
      </c>
      <c r="C302" s="50" t="s">
        <v>62</v>
      </c>
      <c r="D302" s="50" t="str">
        <f>SUBSTITUTE(SUBSTITUTE(SUBSTITUTE(A302, "'max_iter': 500,", ""), "'max_iter': 1000,", ""), "'max_iter': 1500,", "")</f>
        <v>{'activation': 'tanh', 'hidden_layer_sizes': (200, 75, 25), 'learning_rate_init': 0.001,  'solver': 'adam'}</v>
      </c>
      <c r="E302">
        <f>_xlfn.RANK.EQ(B302,B$2:$B$479,0)</f>
        <v>290</v>
      </c>
      <c r="H302" s="40" t="s">
        <v>443</v>
      </c>
      <c r="I302" s="31">
        <v>0.74960317460317405</v>
      </c>
    </row>
    <row r="303" spans="1:9" x14ac:dyDescent="0.2">
      <c r="A303" s="50" t="s">
        <v>446</v>
      </c>
      <c r="B303" s="63">
        <v>0.74960317460317405</v>
      </c>
      <c r="C303" s="50" t="s">
        <v>62</v>
      </c>
      <c r="D303" s="50" t="str">
        <f>SUBSTITUTE(SUBSTITUTE(SUBSTITUTE(A303, "'max_iter': 500,", ""), "'max_iter': 1000,", ""), "'max_iter': 1500,", "")</f>
        <v>{'activation': 'tanh', 'hidden_layer_sizes': 100, 'learning_rate_init': 0.005,  'solver': 'adam'}</v>
      </c>
      <c r="E303">
        <f>_xlfn.RANK.EQ(B303,B$2:$B$479,0)</f>
        <v>290</v>
      </c>
      <c r="H303" s="40" t="s">
        <v>165</v>
      </c>
      <c r="I303" s="31">
        <v>0.74960317460317405</v>
      </c>
    </row>
    <row r="304" spans="1:9" x14ac:dyDescent="0.2">
      <c r="A304" s="50" t="s">
        <v>162</v>
      </c>
      <c r="B304" s="63">
        <v>0.74960317460317405</v>
      </c>
      <c r="C304" s="50" t="s">
        <v>62</v>
      </c>
      <c r="D304" s="50" t="str">
        <f>SUBSTITUTE(SUBSTITUTE(SUBSTITUTE(A304, "'max_iter': 500,", ""), "'max_iter': 1000,", ""), "'max_iter': 1500,", "")</f>
        <v>{'activation': 'tanh', 'hidden_layer_sizes': 100, 'learning_rate_init': 0.005,  'solver': 'adam'}</v>
      </c>
      <c r="E304">
        <f>_xlfn.RANK.EQ(B304,B$2:$B$479,0)</f>
        <v>290</v>
      </c>
      <c r="H304" s="40" t="s">
        <v>166</v>
      </c>
      <c r="I304" s="31">
        <v>0.74960317460317405</v>
      </c>
    </row>
    <row r="305" spans="1:9" x14ac:dyDescent="0.2">
      <c r="A305" s="50" t="s">
        <v>450</v>
      </c>
      <c r="B305" s="63">
        <v>0.74960317460317405</v>
      </c>
      <c r="C305" s="50" t="s">
        <v>62</v>
      </c>
      <c r="D305" s="50" t="str">
        <f>SUBSTITUTE(SUBSTITUTE(SUBSTITUTE(A305, "'max_iter': 500,", ""), "'max_iter': 1000,", ""), "'max_iter': 1500,", "")</f>
        <v>{'activation': 'tanh', 'hidden_layer_sizes': 100, 'learning_rate_init': 0.005,  'solver': 'adam'}</v>
      </c>
      <c r="E305">
        <f>_xlfn.RANK.EQ(B305,B$2:$B$479,0)</f>
        <v>290</v>
      </c>
      <c r="H305" s="40" t="s">
        <v>447</v>
      </c>
      <c r="I305" s="31">
        <v>0.74960317460317405</v>
      </c>
    </row>
    <row r="306" spans="1:9" x14ac:dyDescent="0.2">
      <c r="A306" s="50" t="s">
        <v>454</v>
      </c>
      <c r="B306" s="63">
        <v>0.74912406434145495</v>
      </c>
      <c r="C306" s="50" t="s">
        <v>62</v>
      </c>
      <c r="D306" s="50" t="str">
        <f>SUBSTITUTE(SUBSTITUTE(SUBSTITUTE(A306, "'max_iter': 500,", ""), "'max_iter': 1000,", ""), "'max_iter': 1500,", "")</f>
        <v>{'activation': 'relu', 'hidden_layer_sizes': 50, 'learning_rate_init': 0.001,  'solver': 'sgd'}</v>
      </c>
      <c r="E306">
        <f>_xlfn.RANK.EQ(B306,B$2:$B$479,0)</f>
        <v>305</v>
      </c>
      <c r="H306" s="40" t="s">
        <v>442</v>
      </c>
      <c r="I306" s="31">
        <v>0.74960317460317405</v>
      </c>
    </row>
    <row r="307" spans="1:9" x14ac:dyDescent="0.2">
      <c r="A307" s="50" t="s">
        <v>167</v>
      </c>
      <c r="B307" s="63">
        <v>0.74912406434145495</v>
      </c>
      <c r="C307" s="50" t="s">
        <v>62</v>
      </c>
      <c r="D307" s="50" t="str">
        <f>SUBSTITUTE(SUBSTITUTE(SUBSTITUTE(A307, "'max_iter': 500,", ""), "'max_iter': 1000,", ""), "'max_iter': 1500,", "")</f>
        <v>{'activation': 'relu', 'hidden_layer_sizes': 50, 'learning_rate_init': 0.001,  'solver': 'sgd'}</v>
      </c>
      <c r="E307">
        <f>_xlfn.RANK.EQ(B307,B$2:$B$479,0)</f>
        <v>305</v>
      </c>
      <c r="H307" s="40" t="s">
        <v>451</v>
      </c>
      <c r="I307" s="31">
        <v>0.74960317460317405</v>
      </c>
    </row>
    <row r="308" spans="1:9" x14ac:dyDescent="0.2">
      <c r="A308" s="50" t="s">
        <v>455</v>
      </c>
      <c r="B308" s="63">
        <v>0.74912406434145495</v>
      </c>
      <c r="C308" s="50" t="s">
        <v>62</v>
      </c>
      <c r="D308" s="50" t="str">
        <f>SUBSTITUTE(SUBSTITUTE(SUBSTITUTE(A308, "'max_iter': 500,", ""), "'max_iter': 1000,", ""), "'max_iter': 1500,", "")</f>
        <v>{'activation': 'relu', 'hidden_layer_sizes': 50, 'learning_rate_init': 0.001,  'solver': 'sgd'}</v>
      </c>
      <c r="E308">
        <f>_xlfn.RANK.EQ(B308,B$2:$B$479,0)</f>
        <v>305</v>
      </c>
      <c r="H308" s="40" t="s">
        <v>454</v>
      </c>
      <c r="I308" s="31">
        <v>0.74912406434145495</v>
      </c>
    </row>
    <row r="309" spans="1:9" x14ac:dyDescent="0.2">
      <c r="A309" s="50" t="s">
        <v>453</v>
      </c>
      <c r="B309" s="63">
        <v>0.74912406434145495</v>
      </c>
      <c r="C309" s="50" t="s">
        <v>62</v>
      </c>
      <c r="D309" s="50" t="str">
        <f>SUBSTITUTE(SUBSTITUTE(SUBSTITUTE(A309, "'max_iter': 500,", ""), "'max_iter': 1000,", ""), "'max_iter': 1500,", "")</f>
        <v>{'activation': 'tanh', 'hidden_layer_sizes': 50, 'learning_rate_init': 0.01,  'solver': 'adam'}</v>
      </c>
      <c r="E309">
        <f>_xlfn.RANK.EQ(B309,B$2:$B$479,0)</f>
        <v>305</v>
      </c>
      <c r="H309" s="40" t="s">
        <v>455</v>
      </c>
      <c r="I309" s="31">
        <v>0.74912406434145495</v>
      </c>
    </row>
    <row r="310" spans="1:9" x14ac:dyDescent="0.2">
      <c r="A310" s="50" t="s">
        <v>168</v>
      </c>
      <c r="B310" s="63">
        <v>0.74912406434145495</v>
      </c>
      <c r="C310" s="50" t="s">
        <v>62</v>
      </c>
      <c r="D310" s="50" t="str">
        <f>SUBSTITUTE(SUBSTITUTE(SUBSTITUTE(A310, "'max_iter': 500,", ""), "'max_iter': 1000,", ""), "'max_iter': 1500,", "")</f>
        <v>{'activation': 'tanh', 'hidden_layer_sizes': 50, 'learning_rate_init': 0.01,  'solver': 'adam'}</v>
      </c>
      <c r="E310">
        <f>_xlfn.RANK.EQ(B310,B$2:$B$479,0)</f>
        <v>305</v>
      </c>
      <c r="H310" s="40" t="s">
        <v>167</v>
      </c>
      <c r="I310" s="31">
        <v>0.74912406434145495</v>
      </c>
    </row>
    <row r="311" spans="1:9" x14ac:dyDescent="0.2">
      <c r="A311" s="50" t="s">
        <v>452</v>
      </c>
      <c r="B311" s="63">
        <v>0.74912406434145495</v>
      </c>
      <c r="C311" s="50" t="s">
        <v>62</v>
      </c>
      <c r="D311" s="50" t="str">
        <f>SUBSTITUTE(SUBSTITUTE(SUBSTITUTE(A311, "'max_iter': 500,", ""), "'max_iter': 1000,", ""), "'max_iter': 1500,", "")</f>
        <v>{'activation': 'tanh', 'hidden_layer_sizes': 50, 'learning_rate_init': 0.01,  'solver': 'adam'}</v>
      </c>
      <c r="E311">
        <f>_xlfn.RANK.EQ(B311,B$2:$B$479,0)</f>
        <v>305</v>
      </c>
      <c r="H311" s="40" t="s">
        <v>168</v>
      </c>
      <c r="I311" s="31">
        <v>0.74912406434145495</v>
      </c>
    </row>
    <row r="312" spans="1:9" x14ac:dyDescent="0.2">
      <c r="A312" s="50" t="s">
        <v>456</v>
      </c>
      <c r="B312" s="63">
        <v>0.74856138107416803</v>
      </c>
      <c r="C312" s="50" t="s">
        <v>62</v>
      </c>
      <c r="D312" s="50" t="str">
        <f>SUBSTITUTE(SUBSTITUTE(SUBSTITUTE(A312, "'max_iter': 500,", ""), "'max_iter': 1000,", ""), "'max_iter': 1500,", "")</f>
        <v>{'activation': 'relu', 'hidden_layer_sizes': (150, 75), 'learning_rate_init': 0.005,  'solver': 'adam'}</v>
      </c>
      <c r="E312">
        <f>_xlfn.RANK.EQ(B312,B$2:$B$479,0)</f>
        <v>311</v>
      </c>
      <c r="H312" s="40" t="s">
        <v>452</v>
      </c>
      <c r="I312" s="31">
        <v>0.74912406434145495</v>
      </c>
    </row>
    <row r="313" spans="1:9" x14ac:dyDescent="0.2">
      <c r="A313" s="50" t="s">
        <v>169</v>
      </c>
      <c r="B313" s="63">
        <v>0.74856138107416803</v>
      </c>
      <c r="C313" s="50" t="s">
        <v>62</v>
      </c>
      <c r="D313" s="50" t="str">
        <f>SUBSTITUTE(SUBSTITUTE(SUBSTITUTE(A313, "'max_iter': 500,", ""), "'max_iter': 1000,", ""), "'max_iter': 1500,", "")</f>
        <v>{'activation': 'relu', 'hidden_layer_sizes': (150, 75), 'learning_rate_init': 0.005,  'solver': 'adam'}</v>
      </c>
      <c r="E313">
        <f>_xlfn.RANK.EQ(B313,B$2:$B$479,0)</f>
        <v>311</v>
      </c>
      <c r="H313" s="40" t="s">
        <v>453</v>
      </c>
      <c r="I313" s="31">
        <v>0.74912406434145495</v>
      </c>
    </row>
    <row r="314" spans="1:9" x14ac:dyDescent="0.2">
      <c r="A314" s="50" t="s">
        <v>459</v>
      </c>
      <c r="B314" s="63">
        <v>0.74856138107416803</v>
      </c>
      <c r="C314" s="50" t="s">
        <v>62</v>
      </c>
      <c r="D314" s="50" t="str">
        <f>SUBSTITUTE(SUBSTITUTE(SUBSTITUTE(A314, "'max_iter': 500,", ""), "'max_iter': 1000,", ""), "'max_iter': 1500,", "")</f>
        <v>{'activation': 'relu', 'hidden_layer_sizes': (150, 75), 'learning_rate_init': 0.005,  'solver': 'adam'}</v>
      </c>
      <c r="E314">
        <f>_xlfn.RANK.EQ(B314,B$2:$B$479,0)</f>
        <v>311</v>
      </c>
      <c r="H314" s="40" t="s">
        <v>457</v>
      </c>
      <c r="I314" s="31">
        <v>0.74856138107416803</v>
      </c>
    </row>
    <row r="315" spans="1:9" x14ac:dyDescent="0.2">
      <c r="A315" s="50" t="s">
        <v>458</v>
      </c>
      <c r="B315" s="63">
        <v>0.74856138107416803</v>
      </c>
      <c r="C315" s="50" t="s">
        <v>62</v>
      </c>
      <c r="D315" s="50" t="str">
        <f>SUBSTITUTE(SUBSTITUTE(SUBSTITUTE(A315, "'max_iter': 500,", ""), "'max_iter': 1000,", ""), "'max_iter': 1500,", "")</f>
        <v>{'activation': 'relu', 'hidden_layer_sizes': 50, 'learning_rate_init': 0.001,  'solver': 'adam'}</v>
      </c>
      <c r="E315">
        <f>_xlfn.RANK.EQ(B315,B$2:$B$479,0)</f>
        <v>311</v>
      </c>
      <c r="H315" s="40" t="s">
        <v>169</v>
      </c>
      <c r="I315" s="31">
        <v>0.74856138107416803</v>
      </c>
    </row>
    <row r="316" spans="1:9" x14ac:dyDescent="0.2">
      <c r="A316" s="50" t="s">
        <v>170</v>
      </c>
      <c r="B316" s="63">
        <v>0.74856138107416803</v>
      </c>
      <c r="C316" s="50" t="s">
        <v>62</v>
      </c>
      <c r="D316" s="50" t="str">
        <f>SUBSTITUTE(SUBSTITUTE(SUBSTITUTE(A316, "'max_iter': 500,", ""), "'max_iter': 1000,", ""), "'max_iter': 1500,", "")</f>
        <v>{'activation': 'relu', 'hidden_layer_sizes': 50, 'learning_rate_init': 0.001,  'solver': 'adam'}</v>
      </c>
      <c r="E316">
        <f>_xlfn.RANK.EQ(B316,B$2:$B$479,0)</f>
        <v>311</v>
      </c>
      <c r="H316" s="40" t="s">
        <v>458</v>
      </c>
      <c r="I316" s="31">
        <v>0.74856138107416803</v>
      </c>
    </row>
    <row r="317" spans="1:9" x14ac:dyDescent="0.2">
      <c r="A317" s="50" t="s">
        <v>457</v>
      </c>
      <c r="B317" s="63">
        <v>0.74856138107416803</v>
      </c>
      <c r="C317" s="50" t="s">
        <v>62</v>
      </c>
      <c r="D317" s="50" t="str">
        <f>SUBSTITUTE(SUBSTITUTE(SUBSTITUTE(A317, "'max_iter': 500,", ""), "'max_iter': 1000,", ""), "'max_iter': 1500,", "")</f>
        <v>{'activation': 'relu', 'hidden_layer_sizes': 50, 'learning_rate_init': 0.001,  'solver': 'adam'}</v>
      </c>
      <c r="E317">
        <f>_xlfn.RANK.EQ(B317,B$2:$B$479,0)</f>
        <v>311</v>
      </c>
      <c r="H317" s="40" t="s">
        <v>459</v>
      </c>
      <c r="I317" s="31">
        <v>0.74856138107416803</v>
      </c>
    </row>
    <row r="318" spans="1:9" x14ac:dyDescent="0.2">
      <c r="A318" s="50" t="s">
        <v>461</v>
      </c>
      <c r="B318" s="63">
        <v>0.74456336455190197</v>
      </c>
      <c r="C318" s="50" t="s">
        <v>62</v>
      </c>
      <c r="D318" s="50" t="str">
        <f>SUBSTITUTE(SUBSTITUTE(SUBSTITUTE(A318, "'max_iter': 500,", ""), "'max_iter': 1000,", ""), "'max_iter': 1500,", "")</f>
        <v>{'activation': 'logistic', 'hidden_layer_sizes': (100, 50), 'learning_rate_init': 0.01,  'solver': 'adam'}</v>
      </c>
      <c r="E318">
        <f>_xlfn.RANK.EQ(B318,B$2:$B$479,0)</f>
        <v>317</v>
      </c>
      <c r="H318" s="40" t="s">
        <v>170</v>
      </c>
      <c r="I318" s="31">
        <v>0.74856138107416803</v>
      </c>
    </row>
    <row r="319" spans="1:9" x14ac:dyDescent="0.2">
      <c r="A319" s="50" t="s">
        <v>171</v>
      </c>
      <c r="B319" s="63">
        <v>0.74456336455190197</v>
      </c>
      <c r="C319" s="50" t="s">
        <v>62</v>
      </c>
      <c r="D319" s="50" t="str">
        <f>SUBSTITUTE(SUBSTITUTE(SUBSTITUTE(A319, "'max_iter': 500,", ""), "'max_iter': 1000,", ""), "'max_iter': 1500,", "")</f>
        <v>{'activation': 'logistic', 'hidden_layer_sizes': (100, 50), 'learning_rate_init': 0.01,  'solver': 'adam'}</v>
      </c>
      <c r="E319">
        <f>_xlfn.RANK.EQ(B319,B$2:$B$479,0)</f>
        <v>317</v>
      </c>
      <c r="H319" s="40" t="s">
        <v>456</v>
      </c>
      <c r="I319" s="31">
        <v>0.74856138107416803</v>
      </c>
    </row>
    <row r="320" spans="1:9" x14ac:dyDescent="0.2">
      <c r="A320" s="50" t="s">
        <v>460</v>
      </c>
      <c r="B320" s="63">
        <v>0.74456336455190197</v>
      </c>
      <c r="C320" s="50" t="s">
        <v>62</v>
      </c>
      <c r="D320" s="50" t="str">
        <f>SUBSTITUTE(SUBSTITUTE(SUBSTITUTE(A320, "'max_iter': 500,", ""), "'max_iter': 1000,", ""), "'max_iter': 1500,", "")</f>
        <v>{'activation': 'logistic', 'hidden_layer_sizes': (100, 50), 'learning_rate_init': 0.01,  'solver': 'adam'}</v>
      </c>
      <c r="E320">
        <f>_xlfn.RANK.EQ(B320,B$2:$B$479,0)</f>
        <v>317</v>
      </c>
      <c r="H320" s="40" t="s">
        <v>460</v>
      </c>
      <c r="I320" s="31">
        <v>0.74456336455190197</v>
      </c>
    </row>
    <row r="321" spans="1:9" x14ac:dyDescent="0.2">
      <c r="A321" s="50" t="s">
        <v>462</v>
      </c>
      <c r="B321" s="63">
        <v>0.74452441226107702</v>
      </c>
      <c r="C321" s="50" t="s">
        <v>62</v>
      </c>
      <c r="D321" s="50" t="str">
        <f>SUBSTITUTE(SUBSTITUTE(SUBSTITUTE(A321, "'max_iter': 500,", ""), "'max_iter': 1000,", ""), "'max_iter': 1500,", "")</f>
        <v>{'activation': 'logistic', 'hidden_layer_sizes': (100, 50), 'learning_rate_init': 0.005,  'solver': 'adam'}</v>
      </c>
      <c r="E321">
        <f>_xlfn.RANK.EQ(B321,B$2:$B$479,0)</f>
        <v>320</v>
      </c>
      <c r="H321" s="40" t="s">
        <v>461</v>
      </c>
      <c r="I321" s="31">
        <v>0.74456336455190197</v>
      </c>
    </row>
    <row r="322" spans="1:9" x14ac:dyDescent="0.2">
      <c r="A322" s="50" t="s">
        <v>172</v>
      </c>
      <c r="B322" s="63">
        <v>0.74452441226107702</v>
      </c>
      <c r="C322" s="50" t="s">
        <v>62</v>
      </c>
      <c r="D322" s="50" t="str">
        <f>SUBSTITUTE(SUBSTITUTE(SUBSTITUTE(A322, "'max_iter': 500,", ""), "'max_iter': 1000,", ""), "'max_iter': 1500,", "")</f>
        <v>{'activation': 'logistic', 'hidden_layer_sizes': (100, 50), 'learning_rate_init': 0.005,  'solver': 'adam'}</v>
      </c>
      <c r="E322">
        <f>_xlfn.RANK.EQ(B322,B$2:$B$479,0)</f>
        <v>320</v>
      </c>
      <c r="H322" s="40" t="s">
        <v>171</v>
      </c>
      <c r="I322" s="31">
        <v>0.74456336455190197</v>
      </c>
    </row>
    <row r="323" spans="1:9" x14ac:dyDescent="0.2">
      <c r="A323" s="50" t="s">
        <v>463</v>
      </c>
      <c r="B323" s="63">
        <v>0.74452441226107702</v>
      </c>
      <c r="C323" s="50" t="s">
        <v>62</v>
      </c>
      <c r="D323" s="50" t="str">
        <f>SUBSTITUTE(SUBSTITUTE(SUBSTITUTE(A323, "'max_iter': 500,", ""), "'max_iter': 1000,", ""), "'max_iter': 1500,", "")</f>
        <v>{'activation': 'logistic', 'hidden_layer_sizes': (100, 50), 'learning_rate_init': 0.005,  'solver': 'adam'}</v>
      </c>
      <c r="E323">
        <f>_xlfn.RANK.EQ(B323,B$2:$B$479,0)</f>
        <v>320</v>
      </c>
      <c r="H323" s="40" t="s">
        <v>462</v>
      </c>
      <c r="I323" s="31">
        <v>0.74452441226107702</v>
      </c>
    </row>
    <row r="324" spans="1:9" x14ac:dyDescent="0.2">
      <c r="A324" s="50" t="s">
        <v>469</v>
      </c>
      <c r="B324" s="63">
        <v>0.74440495851519795</v>
      </c>
      <c r="C324" s="50" t="s">
        <v>62</v>
      </c>
      <c r="D324" s="50" t="str">
        <f>SUBSTITUTE(SUBSTITUTE(SUBSTITUTE(A324, "'max_iter': 500,", ""), "'max_iter': 1000,", ""), "'max_iter': 1500,", "")</f>
        <v>{'activation': 'identity', 'hidden_layer_sizes': 100, 'learning_rate_init': 0.005,  'solver': 'adam'}</v>
      </c>
      <c r="E324">
        <f>_xlfn.RANK.EQ(B324,B$2:$B$479,0)</f>
        <v>323</v>
      </c>
      <c r="H324" s="40" t="s">
        <v>172</v>
      </c>
      <c r="I324" s="31">
        <v>0.74452441226107702</v>
      </c>
    </row>
    <row r="325" spans="1:9" x14ac:dyDescent="0.2">
      <c r="A325" s="50" t="s">
        <v>176</v>
      </c>
      <c r="B325" s="63">
        <v>0.74440495851519795</v>
      </c>
      <c r="C325" s="50" t="s">
        <v>62</v>
      </c>
      <c r="D325" s="50" t="str">
        <f>SUBSTITUTE(SUBSTITUTE(SUBSTITUTE(A325, "'max_iter': 500,", ""), "'max_iter': 1000,", ""), "'max_iter': 1500,", "")</f>
        <v>{'activation': 'identity', 'hidden_layer_sizes': 100, 'learning_rate_init': 0.005,  'solver': 'adam'}</v>
      </c>
      <c r="E325">
        <f>_xlfn.RANK.EQ(B325,B$2:$B$479,0)</f>
        <v>323</v>
      </c>
      <c r="H325" s="40" t="s">
        <v>463</v>
      </c>
      <c r="I325" s="31">
        <v>0.74452441226107702</v>
      </c>
    </row>
    <row r="326" spans="1:9" x14ac:dyDescent="0.2">
      <c r="A326" s="50" t="s">
        <v>465</v>
      </c>
      <c r="B326" s="63">
        <v>0.74440495851519795</v>
      </c>
      <c r="C326" s="50" t="s">
        <v>62</v>
      </c>
      <c r="D326" s="50" t="str">
        <f>SUBSTITUTE(SUBSTITUTE(SUBSTITUTE(A326, "'max_iter': 500,", ""), "'max_iter': 1000,", ""), "'max_iter': 1500,", "")</f>
        <v>{'activation': 'identity', 'hidden_layer_sizes': 100, 'learning_rate_init': 0.005,  'solver': 'adam'}</v>
      </c>
      <c r="E326">
        <f>_xlfn.RANK.EQ(B326,B$2:$B$479,0)</f>
        <v>323</v>
      </c>
      <c r="H326" s="40" t="s">
        <v>175</v>
      </c>
      <c r="I326" s="31">
        <v>0.74440495851519795</v>
      </c>
    </row>
    <row r="327" spans="1:9" x14ac:dyDescent="0.2">
      <c r="A327" s="50" t="s">
        <v>472</v>
      </c>
      <c r="B327" s="63">
        <v>0.74440495851519795</v>
      </c>
      <c r="C327" s="50" t="s">
        <v>62</v>
      </c>
      <c r="D327" s="50" t="str">
        <f>SUBSTITUTE(SUBSTITUTE(SUBSTITUTE(A327, "'max_iter': 500,", ""), "'max_iter': 1000,", ""), "'max_iter': 1500,", "")</f>
        <v>{'activation': 'relu', 'hidden_layer_sizes': (200, 100), 'learning_rate_init': 0.001,  'solver': 'adam'}</v>
      </c>
      <c r="E327">
        <f>_xlfn.RANK.EQ(B327,B$2:$B$479,0)</f>
        <v>323</v>
      </c>
      <c r="H327" s="40" t="s">
        <v>472</v>
      </c>
      <c r="I327" s="31">
        <v>0.74440495851519795</v>
      </c>
    </row>
    <row r="328" spans="1:9" x14ac:dyDescent="0.2">
      <c r="A328" s="50" t="s">
        <v>175</v>
      </c>
      <c r="B328" s="63">
        <v>0.74440495851519795</v>
      </c>
      <c r="C328" s="50" t="s">
        <v>62</v>
      </c>
      <c r="D328" s="50" t="str">
        <f>SUBSTITUTE(SUBSTITUTE(SUBSTITUTE(A328, "'max_iter': 500,", ""), "'max_iter': 1000,", ""), "'max_iter': 1500,", "")</f>
        <v>{'activation': 'relu', 'hidden_layer_sizes': (200, 100), 'learning_rate_init': 0.001,  'solver': 'adam'}</v>
      </c>
      <c r="E328">
        <f>_xlfn.RANK.EQ(B328,B$2:$B$479,0)</f>
        <v>323</v>
      </c>
      <c r="H328" s="40" t="s">
        <v>173</v>
      </c>
      <c r="I328" s="31">
        <v>0.74440495851519795</v>
      </c>
    </row>
    <row r="329" spans="1:9" x14ac:dyDescent="0.2">
      <c r="A329" s="50" t="s">
        <v>473</v>
      </c>
      <c r="B329" s="63">
        <v>0.74440495851519795</v>
      </c>
      <c r="C329" s="50" t="s">
        <v>62</v>
      </c>
      <c r="D329" s="50" t="str">
        <f>SUBSTITUTE(SUBSTITUTE(SUBSTITUTE(A329, "'max_iter': 500,", ""), "'max_iter': 1000,", ""), "'max_iter': 1500,", "")</f>
        <v>{'activation': 'relu', 'hidden_layer_sizes': (200, 100), 'learning_rate_init': 0.001,  'solver': 'adam'}</v>
      </c>
      <c r="E329">
        <f>_xlfn.RANK.EQ(B329,B$2:$B$479,0)</f>
        <v>323</v>
      </c>
      <c r="H329" s="40" t="s">
        <v>468</v>
      </c>
      <c r="I329" s="31">
        <v>0.74440495851519795</v>
      </c>
    </row>
    <row r="330" spans="1:9" x14ac:dyDescent="0.2">
      <c r="A330" s="50" t="s">
        <v>471</v>
      </c>
      <c r="B330" s="63">
        <v>0.74440495851519795</v>
      </c>
      <c r="C330" s="50" t="s">
        <v>62</v>
      </c>
      <c r="D330" s="50" t="str">
        <f>SUBSTITUTE(SUBSTITUTE(SUBSTITUTE(A330, "'max_iter': 500,", ""), "'max_iter': 1000,", ""), "'max_iter': 1500,", "")</f>
        <v>{'activation': 'relu', 'hidden_layer_sizes': (200, 100), 'learning_rate_init': 0.005,  'solver': 'sgd'}</v>
      </c>
      <c r="E330">
        <f>_xlfn.RANK.EQ(B330,B$2:$B$479,0)</f>
        <v>323</v>
      </c>
      <c r="H330" s="40" t="s">
        <v>473</v>
      </c>
      <c r="I330" s="31">
        <v>0.74440495851519795</v>
      </c>
    </row>
    <row r="331" spans="1:9" x14ac:dyDescent="0.2">
      <c r="A331" s="50" t="s">
        <v>177</v>
      </c>
      <c r="B331" s="63">
        <v>0.74440495851519795</v>
      </c>
      <c r="C331" s="50" t="s">
        <v>62</v>
      </c>
      <c r="D331" s="50" t="str">
        <f>SUBSTITUTE(SUBSTITUTE(SUBSTITUTE(A331, "'max_iter': 500,", ""), "'max_iter': 1000,", ""), "'max_iter': 1500,", "")</f>
        <v>{'activation': 'relu', 'hidden_layer_sizes': (200, 100), 'learning_rate_init': 0.005,  'solver': 'sgd'}</v>
      </c>
      <c r="E331">
        <f>_xlfn.RANK.EQ(B331,B$2:$B$479,0)</f>
        <v>323</v>
      </c>
      <c r="H331" s="40" t="s">
        <v>464</v>
      </c>
      <c r="I331" s="31">
        <v>0.74440495851519795</v>
      </c>
    </row>
    <row r="332" spans="1:9" x14ac:dyDescent="0.2">
      <c r="A332" s="50" t="s">
        <v>468</v>
      </c>
      <c r="B332" s="63">
        <v>0.74440495851519795</v>
      </c>
      <c r="C332" s="50" t="s">
        <v>62</v>
      </c>
      <c r="D332" s="50" t="str">
        <f>SUBSTITUTE(SUBSTITUTE(SUBSTITUTE(A332, "'max_iter': 500,", ""), "'max_iter': 1000,", ""), "'max_iter': 1500,", "")</f>
        <v>{'activation': 'relu', 'hidden_layer_sizes': (200, 100), 'learning_rate_init': 0.005,  'solver': 'sgd'}</v>
      </c>
      <c r="E332">
        <f>_xlfn.RANK.EQ(B332,B$2:$B$479,0)</f>
        <v>323</v>
      </c>
      <c r="H332" s="40" t="s">
        <v>467</v>
      </c>
      <c r="I332" s="31">
        <v>0.74440495851519795</v>
      </c>
    </row>
    <row r="333" spans="1:9" x14ac:dyDescent="0.2">
      <c r="A333" s="50" t="s">
        <v>466</v>
      </c>
      <c r="B333" s="63">
        <v>0.74440495851519795</v>
      </c>
      <c r="C333" s="50" t="s">
        <v>62</v>
      </c>
      <c r="D333" s="50" t="str">
        <f>SUBSTITUTE(SUBSTITUTE(SUBSTITUTE(A333, "'max_iter': 500,", ""), "'max_iter': 1000,", ""), "'max_iter': 1500,", "")</f>
        <v>{'activation': 'relu', 'hidden_layer_sizes': (200, 75, 25), 'learning_rate_init': 0.01,  'solver': 'sgd'}</v>
      </c>
      <c r="E333">
        <f>_xlfn.RANK.EQ(B333,B$2:$B$479,0)</f>
        <v>323</v>
      </c>
      <c r="H333" s="40" t="s">
        <v>177</v>
      </c>
      <c r="I333" s="31">
        <v>0.74440495851519795</v>
      </c>
    </row>
    <row r="334" spans="1:9" x14ac:dyDescent="0.2">
      <c r="A334" s="50" t="s">
        <v>174</v>
      </c>
      <c r="B334" s="63">
        <v>0.74440495851519795</v>
      </c>
      <c r="C334" s="50" t="s">
        <v>62</v>
      </c>
      <c r="D334" s="50" t="str">
        <f>SUBSTITUTE(SUBSTITUTE(SUBSTITUTE(A334, "'max_iter': 500,", ""), "'max_iter': 1000,", ""), "'max_iter': 1500,", "")</f>
        <v>{'activation': 'relu', 'hidden_layer_sizes': (200, 75, 25), 'learning_rate_init': 0.01,  'solver': 'sgd'}</v>
      </c>
      <c r="E334">
        <f>_xlfn.RANK.EQ(B334,B$2:$B$479,0)</f>
        <v>323</v>
      </c>
      <c r="H334" s="40" t="s">
        <v>471</v>
      </c>
      <c r="I334" s="31">
        <v>0.74440495851519795</v>
      </c>
    </row>
    <row r="335" spans="1:9" x14ac:dyDescent="0.2">
      <c r="A335" s="50" t="s">
        <v>464</v>
      </c>
      <c r="B335" s="63">
        <v>0.74440495851519795</v>
      </c>
      <c r="C335" s="50" t="s">
        <v>62</v>
      </c>
      <c r="D335" s="50" t="str">
        <f>SUBSTITUTE(SUBSTITUTE(SUBSTITUTE(A335, "'max_iter': 500,", ""), "'max_iter': 1000,", ""), "'max_iter': 1500,", "")</f>
        <v>{'activation': 'relu', 'hidden_layer_sizes': (200, 75, 25), 'learning_rate_init': 0.01,  'solver': 'sgd'}</v>
      </c>
      <c r="E335">
        <f>_xlfn.RANK.EQ(B335,B$2:$B$479,0)</f>
        <v>323</v>
      </c>
      <c r="H335" s="40" t="s">
        <v>174</v>
      </c>
      <c r="I335" s="31">
        <v>0.74440495851519795</v>
      </c>
    </row>
    <row r="336" spans="1:9" x14ac:dyDescent="0.2">
      <c r="A336" s="50" t="s">
        <v>467</v>
      </c>
      <c r="B336" s="63">
        <v>0.74440495851519795</v>
      </c>
      <c r="C336" s="50" t="s">
        <v>62</v>
      </c>
      <c r="D336" s="50" t="str">
        <f>SUBSTITUTE(SUBSTITUTE(SUBSTITUTE(A336, "'max_iter': 500,", ""), "'max_iter': 1000,", ""), "'max_iter': 1500,", "")</f>
        <v>{'activation': 'tanh', 'hidden_layer_sizes': (200, 100), 'learning_rate_init': 0.01,  'solver': 'adam'}</v>
      </c>
      <c r="E336">
        <f>_xlfn.RANK.EQ(B336,B$2:$B$479,0)</f>
        <v>323</v>
      </c>
      <c r="H336" s="40" t="s">
        <v>466</v>
      </c>
      <c r="I336" s="31">
        <v>0.74440495851519795</v>
      </c>
    </row>
    <row r="337" spans="1:9" x14ac:dyDescent="0.2">
      <c r="A337" s="50" t="s">
        <v>173</v>
      </c>
      <c r="B337" s="63">
        <v>0.74440495851519795</v>
      </c>
      <c r="C337" s="50" t="s">
        <v>62</v>
      </c>
      <c r="D337" s="50" t="str">
        <f>SUBSTITUTE(SUBSTITUTE(SUBSTITUTE(A337, "'max_iter': 500,", ""), "'max_iter': 1000,", ""), "'max_iter': 1500,", "")</f>
        <v>{'activation': 'tanh', 'hidden_layer_sizes': (200, 100), 'learning_rate_init': 0.01,  'solver': 'adam'}</v>
      </c>
      <c r="E337">
        <f>_xlfn.RANK.EQ(B337,B$2:$B$479,0)</f>
        <v>323</v>
      </c>
      <c r="H337" s="40" t="s">
        <v>470</v>
      </c>
      <c r="I337" s="31">
        <v>0.74440495851519795</v>
      </c>
    </row>
    <row r="338" spans="1:9" x14ac:dyDescent="0.2">
      <c r="A338" s="50" t="s">
        <v>470</v>
      </c>
      <c r="B338" s="63">
        <v>0.74440495851519795</v>
      </c>
      <c r="C338" s="50" t="s">
        <v>62</v>
      </c>
      <c r="D338" s="50" t="str">
        <f>SUBSTITUTE(SUBSTITUTE(SUBSTITUTE(A338, "'max_iter': 500,", ""), "'max_iter': 1000,", ""), "'max_iter': 1500,", "")</f>
        <v>{'activation': 'tanh', 'hidden_layer_sizes': (200, 100), 'learning_rate_init': 0.01,  'solver': 'adam'}</v>
      </c>
      <c r="E338">
        <f>_xlfn.RANK.EQ(B338,B$2:$B$479,0)</f>
        <v>323</v>
      </c>
      <c r="H338" s="40" t="s">
        <v>469</v>
      </c>
      <c r="I338" s="31">
        <v>0.74440495851519795</v>
      </c>
    </row>
    <row r="339" spans="1:9" x14ac:dyDescent="0.2">
      <c r="A339" s="50" t="s">
        <v>475</v>
      </c>
      <c r="B339" s="63">
        <v>0.74420443349753695</v>
      </c>
      <c r="C339" s="50" t="s">
        <v>62</v>
      </c>
      <c r="D339" s="50" t="str">
        <f>SUBSTITUTE(SUBSTITUTE(SUBSTITUTE(A339, "'max_iter': 500,", ""), "'max_iter': 1000,", ""), "'max_iter': 1500,", "")</f>
        <v>{'activation': 'relu', 'hidden_layer_sizes': (100, 50), 'learning_rate_init': 0.001,  'solver': 'adam'}</v>
      </c>
      <c r="E339">
        <f>_xlfn.RANK.EQ(B339,B$2:$B$479,0)</f>
        <v>338</v>
      </c>
      <c r="H339" s="40" t="s">
        <v>465</v>
      </c>
      <c r="I339" s="31">
        <v>0.74440495851519795</v>
      </c>
    </row>
    <row r="340" spans="1:9" x14ac:dyDescent="0.2">
      <c r="A340" s="50" t="s">
        <v>178</v>
      </c>
      <c r="B340" s="63">
        <v>0.74420443349753695</v>
      </c>
      <c r="C340" s="50" t="s">
        <v>62</v>
      </c>
      <c r="D340" s="50" t="str">
        <f>SUBSTITUTE(SUBSTITUTE(SUBSTITUTE(A340, "'max_iter': 500,", ""), "'max_iter': 1000,", ""), "'max_iter': 1500,", "")</f>
        <v>{'activation': 'relu', 'hidden_layer_sizes': (100, 50), 'learning_rate_init': 0.001,  'solver': 'adam'}</v>
      </c>
      <c r="E340">
        <f>_xlfn.RANK.EQ(B340,B$2:$B$479,0)</f>
        <v>338</v>
      </c>
      <c r="H340" s="40" t="s">
        <v>176</v>
      </c>
      <c r="I340" s="31">
        <v>0.74440495851519795</v>
      </c>
    </row>
    <row r="341" spans="1:9" x14ac:dyDescent="0.2">
      <c r="A341" s="50" t="s">
        <v>474</v>
      </c>
      <c r="B341" s="63">
        <v>0.74420443349753695</v>
      </c>
      <c r="C341" s="50" t="s">
        <v>62</v>
      </c>
      <c r="D341" s="50" t="str">
        <f>SUBSTITUTE(SUBSTITUTE(SUBSTITUTE(A341, "'max_iter': 500,", ""), "'max_iter': 1000,", ""), "'max_iter': 1500,", "")</f>
        <v>{'activation': 'relu', 'hidden_layer_sizes': (100, 50), 'learning_rate_init': 0.001,  'solver': 'adam'}</v>
      </c>
      <c r="E341">
        <f>_xlfn.RANK.EQ(B341,B$2:$B$479,0)</f>
        <v>338</v>
      </c>
      <c r="H341" s="40" t="s">
        <v>178</v>
      </c>
      <c r="I341" s="31">
        <v>0.74420443349753695</v>
      </c>
    </row>
    <row r="342" spans="1:9" x14ac:dyDescent="0.2">
      <c r="A342" s="50" t="s">
        <v>481</v>
      </c>
      <c r="B342" s="63">
        <v>0.74392210896448197</v>
      </c>
      <c r="C342" s="50" t="s">
        <v>62</v>
      </c>
      <c r="D342" s="50" t="str">
        <f>SUBSTITUTE(SUBSTITUTE(SUBSTITUTE(A342, "'max_iter': 500,", ""), "'max_iter': 1000,", ""), "'max_iter': 1500,", "")</f>
        <v>{'activation': 'identity', 'hidden_layer_sizes': (200, 100), 'learning_rate_init': 0.01,  'solver': 'sgd'}</v>
      </c>
      <c r="E342">
        <f>_xlfn.RANK.EQ(B342,B$2:$B$479,0)</f>
        <v>341</v>
      </c>
      <c r="H342" s="40" t="s">
        <v>474</v>
      </c>
      <c r="I342" s="31">
        <v>0.74420443349753695</v>
      </c>
    </row>
    <row r="343" spans="1:9" x14ac:dyDescent="0.2">
      <c r="A343" s="50" t="s">
        <v>179</v>
      </c>
      <c r="B343" s="63">
        <v>0.74392210896448197</v>
      </c>
      <c r="C343" s="50" t="s">
        <v>62</v>
      </c>
      <c r="D343" s="50" t="str">
        <f>SUBSTITUTE(SUBSTITUTE(SUBSTITUTE(A343, "'max_iter': 500,", ""), "'max_iter': 1000,", ""), "'max_iter': 1500,", "")</f>
        <v>{'activation': 'identity', 'hidden_layer_sizes': (200, 100), 'learning_rate_init': 0.01,  'solver': 'sgd'}</v>
      </c>
      <c r="E343">
        <f>_xlfn.RANK.EQ(B343,B$2:$B$479,0)</f>
        <v>341</v>
      </c>
      <c r="H343" s="40" t="s">
        <v>475</v>
      </c>
      <c r="I343" s="31">
        <v>0.74420443349753695</v>
      </c>
    </row>
    <row r="344" spans="1:9" x14ac:dyDescent="0.2">
      <c r="A344" s="50" t="s">
        <v>476</v>
      </c>
      <c r="B344" s="63">
        <v>0.74392210896448197</v>
      </c>
      <c r="C344" s="50" t="s">
        <v>62</v>
      </c>
      <c r="D344" s="50" t="str">
        <f>SUBSTITUTE(SUBSTITUTE(SUBSTITUTE(A344, "'max_iter': 500,", ""), "'max_iter': 1000,", ""), "'max_iter': 1500,", "")</f>
        <v>{'activation': 'identity', 'hidden_layer_sizes': (200, 100), 'learning_rate_init': 0.01,  'solver': 'sgd'}</v>
      </c>
      <c r="E344">
        <f>_xlfn.RANK.EQ(B344,B$2:$B$479,0)</f>
        <v>341</v>
      </c>
      <c r="H344" s="40" t="s">
        <v>484</v>
      </c>
      <c r="I344" s="31">
        <v>0.74392210896448197</v>
      </c>
    </row>
    <row r="345" spans="1:9" x14ac:dyDescent="0.2">
      <c r="A345" s="50" t="s">
        <v>477</v>
      </c>
      <c r="B345" s="63">
        <v>0.74392210896448197</v>
      </c>
      <c r="C345" s="50" t="s">
        <v>62</v>
      </c>
      <c r="D345" s="50" t="str">
        <f>SUBSTITUTE(SUBSTITUTE(SUBSTITUTE(A345, "'max_iter': 500,", ""), "'max_iter': 1000,", ""), "'max_iter': 1500,", "")</f>
        <v>{'activation': 'identity', 'hidden_layer_sizes': 50, 'learning_rate_init': 0.005,  'solver': 'sgd'}</v>
      </c>
      <c r="E345">
        <f>_xlfn.RANK.EQ(B345,B$2:$B$479,0)</f>
        <v>341</v>
      </c>
      <c r="H345" s="40" t="s">
        <v>486</v>
      </c>
      <c r="I345" s="31">
        <v>0.74392210896448197</v>
      </c>
    </row>
    <row r="346" spans="1:9" x14ac:dyDescent="0.2">
      <c r="A346" s="50" t="s">
        <v>182</v>
      </c>
      <c r="B346" s="63">
        <v>0.74392210896448197</v>
      </c>
      <c r="C346" s="50" t="s">
        <v>62</v>
      </c>
      <c r="D346" s="50" t="str">
        <f>SUBSTITUTE(SUBSTITUTE(SUBSTITUTE(A346, "'max_iter': 500,", ""), "'max_iter': 1000,", ""), "'max_iter': 1500,", "")</f>
        <v>{'activation': 'identity', 'hidden_layer_sizes': 50, 'learning_rate_init': 0.005,  'solver': 'sgd'}</v>
      </c>
      <c r="E346">
        <f>_xlfn.RANK.EQ(B346,B$2:$B$479,0)</f>
        <v>341</v>
      </c>
      <c r="H346" s="40" t="s">
        <v>181</v>
      </c>
      <c r="I346" s="31">
        <v>0.74392210896448197</v>
      </c>
    </row>
    <row r="347" spans="1:9" x14ac:dyDescent="0.2">
      <c r="A347" s="50" t="s">
        <v>478</v>
      </c>
      <c r="B347" s="63">
        <v>0.74392210896448197</v>
      </c>
      <c r="C347" s="50" t="s">
        <v>62</v>
      </c>
      <c r="D347" s="50" t="str">
        <f>SUBSTITUTE(SUBSTITUTE(SUBSTITUTE(A347, "'max_iter': 500,", ""), "'max_iter': 1000,", ""), "'max_iter': 1500,", "")</f>
        <v>{'activation': 'identity', 'hidden_layer_sizes': 50, 'learning_rate_init': 0.005,  'solver': 'sgd'}</v>
      </c>
      <c r="E347">
        <f>_xlfn.RANK.EQ(B347,B$2:$B$479,0)</f>
        <v>341</v>
      </c>
      <c r="H347" s="40" t="s">
        <v>485</v>
      </c>
      <c r="I347" s="31">
        <v>0.74392210896448197</v>
      </c>
    </row>
    <row r="348" spans="1:9" x14ac:dyDescent="0.2">
      <c r="A348" s="50" t="s">
        <v>487</v>
      </c>
      <c r="B348" s="63">
        <v>0.74392210896448197</v>
      </c>
      <c r="C348" s="50" t="s">
        <v>62</v>
      </c>
      <c r="D348" s="50" t="str">
        <f>SUBSTITUTE(SUBSTITUTE(SUBSTITUTE(A348, "'max_iter': 500,", ""), "'max_iter': 1000,", ""), "'max_iter': 1500,", "")</f>
        <v>{'activation': 'logistic', 'hidden_layer_sizes': (150, 75), 'learning_rate_init': 0.001,  'solver': 'adam'}</v>
      </c>
      <c r="E348">
        <f>_xlfn.RANK.EQ(B348,B$2:$B$479,0)</f>
        <v>341</v>
      </c>
      <c r="H348" s="40" t="s">
        <v>180</v>
      </c>
      <c r="I348" s="31">
        <v>0.74392210896448197</v>
      </c>
    </row>
    <row r="349" spans="1:9" x14ac:dyDescent="0.2">
      <c r="A349" s="50" t="s">
        <v>183</v>
      </c>
      <c r="B349" s="63">
        <v>0.74392210896448197</v>
      </c>
      <c r="C349" s="50" t="s">
        <v>62</v>
      </c>
      <c r="D349" s="50" t="str">
        <f>SUBSTITUTE(SUBSTITUTE(SUBSTITUTE(A349, "'max_iter': 500,", ""), "'max_iter': 1000,", ""), "'max_iter': 1500,", "")</f>
        <v>{'activation': 'logistic', 'hidden_layer_sizes': (150, 75), 'learning_rate_init': 0.001,  'solver': 'adam'}</v>
      </c>
      <c r="E349">
        <f>_xlfn.RANK.EQ(B349,B$2:$B$479,0)</f>
        <v>341</v>
      </c>
      <c r="H349" s="40" t="s">
        <v>184</v>
      </c>
      <c r="I349" s="31">
        <v>0.74392210896448197</v>
      </c>
    </row>
    <row r="350" spans="1:9" x14ac:dyDescent="0.2">
      <c r="A350" s="50" t="s">
        <v>488</v>
      </c>
      <c r="B350" s="63">
        <v>0.74392210896448197</v>
      </c>
      <c r="C350" s="50" t="s">
        <v>62</v>
      </c>
      <c r="D350" s="50" t="str">
        <f>SUBSTITUTE(SUBSTITUTE(SUBSTITUTE(A350, "'max_iter': 500,", ""), "'max_iter': 1000,", ""), "'max_iter': 1500,", "")</f>
        <v>{'activation': 'logistic', 'hidden_layer_sizes': (150, 75), 'learning_rate_init': 0.001,  'solver': 'adam'}</v>
      </c>
      <c r="E350">
        <f>_xlfn.RANK.EQ(B350,B$2:$B$479,0)</f>
        <v>341</v>
      </c>
      <c r="H350" s="40" t="s">
        <v>479</v>
      </c>
      <c r="I350" s="31">
        <v>0.74392210896448197</v>
      </c>
    </row>
    <row r="351" spans="1:9" x14ac:dyDescent="0.2">
      <c r="A351" s="50" t="s">
        <v>482</v>
      </c>
      <c r="B351" s="63">
        <v>0.74392210896448197</v>
      </c>
      <c r="C351" s="50" t="s">
        <v>62</v>
      </c>
      <c r="D351" s="50" t="str">
        <f>SUBSTITUTE(SUBSTITUTE(SUBSTITUTE(A351, "'max_iter': 500,", ""), "'max_iter': 1000,", ""), "'max_iter': 1500,", "")</f>
        <v>{'activation': 'logistic', 'hidden_layer_sizes': 50, 'learning_rate_init': 0.001,  'solver': 'adam'}</v>
      </c>
      <c r="E351">
        <f>_xlfn.RANK.EQ(B351,B$2:$B$479,0)</f>
        <v>341</v>
      </c>
      <c r="H351" s="40" t="s">
        <v>182</v>
      </c>
      <c r="I351" s="31">
        <v>0.74392210896448197</v>
      </c>
    </row>
    <row r="352" spans="1:9" x14ac:dyDescent="0.2">
      <c r="A352" s="50" t="s">
        <v>184</v>
      </c>
      <c r="B352" s="63">
        <v>0.74392210896448197</v>
      </c>
      <c r="C352" s="50" t="s">
        <v>62</v>
      </c>
      <c r="D352" s="50" t="str">
        <f>SUBSTITUTE(SUBSTITUTE(SUBSTITUTE(A352, "'max_iter': 500,", ""), "'max_iter': 1000,", ""), "'max_iter': 1500,", "")</f>
        <v>{'activation': 'logistic', 'hidden_layer_sizes': 50, 'learning_rate_init': 0.001,  'solver': 'adam'}</v>
      </c>
      <c r="E352">
        <f>_xlfn.RANK.EQ(B352,B$2:$B$479,0)</f>
        <v>341</v>
      </c>
      <c r="H352" s="40" t="s">
        <v>483</v>
      </c>
      <c r="I352" s="31">
        <v>0.74392210896448197</v>
      </c>
    </row>
    <row r="353" spans="1:9" x14ac:dyDescent="0.2">
      <c r="A353" s="50" t="s">
        <v>489</v>
      </c>
      <c r="B353" s="63">
        <v>0.74392210896448197</v>
      </c>
      <c r="C353" s="50" t="s">
        <v>62</v>
      </c>
      <c r="D353" s="50" t="str">
        <f>SUBSTITUTE(SUBSTITUTE(SUBSTITUTE(A353, "'max_iter': 500,", ""), "'max_iter': 1000,", ""), "'max_iter': 1500,", "")</f>
        <v>{'activation': 'logistic', 'hidden_layer_sizes': 50, 'learning_rate_init': 0.001,  'solver': 'adam'}</v>
      </c>
      <c r="E353">
        <f>_xlfn.RANK.EQ(B353,B$2:$B$479,0)</f>
        <v>341</v>
      </c>
      <c r="H353" s="40" t="s">
        <v>179</v>
      </c>
      <c r="I353" s="31">
        <v>0.74392210896448197</v>
      </c>
    </row>
    <row r="354" spans="1:9" x14ac:dyDescent="0.2">
      <c r="A354" s="50" t="s">
        <v>479</v>
      </c>
      <c r="B354" s="63">
        <v>0.74392210896448197</v>
      </c>
      <c r="C354" s="50" t="s">
        <v>62</v>
      </c>
      <c r="D354" s="50" t="str">
        <f>SUBSTITUTE(SUBSTITUTE(SUBSTITUTE(A354, "'max_iter': 500,", ""), "'max_iter': 1000,", ""), "'max_iter': 1500,", "")</f>
        <v>{'activation': 'logistic', 'hidden_layer_sizes': 50, 'learning_rate_init': 0.01,  'solver': 'adam'}</v>
      </c>
      <c r="E354">
        <f>_xlfn.RANK.EQ(B354,B$2:$B$479,0)</f>
        <v>341</v>
      </c>
      <c r="H354" s="40" t="s">
        <v>487</v>
      </c>
      <c r="I354" s="31">
        <v>0.74392210896448197</v>
      </c>
    </row>
    <row r="355" spans="1:9" x14ac:dyDescent="0.2">
      <c r="A355" s="50" t="s">
        <v>185</v>
      </c>
      <c r="B355" s="63">
        <v>0.74392210896448197</v>
      </c>
      <c r="C355" s="50" t="s">
        <v>62</v>
      </c>
      <c r="D355" s="50" t="str">
        <f>SUBSTITUTE(SUBSTITUTE(SUBSTITUTE(A355, "'max_iter': 500,", ""), "'max_iter': 1000,", ""), "'max_iter': 1500,", "")</f>
        <v>{'activation': 'logistic', 'hidden_layer_sizes': 50, 'learning_rate_init': 0.01,  'solver': 'adam'}</v>
      </c>
      <c r="E355">
        <f>_xlfn.RANK.EQ(B355,B$2:$B$479,0)</f>
        <v>341</v>
      </c>
      <c r="H355" s="40" t="s">
        <v>489</v>
      </c>
      <c r="I355" s="31">
        <v>0.74392210896448197</v>
      </c>
    </row>
    <row r="356" spans="1:9" x14ac:dyDescent="0.2">
      <c r="A356" s="50" t="s">
        <v>480</v>
      </c>
      <c r="B356" s="63">
        <v>0.74392210896448197</v>
      </c>
      <c r="C356" s="50" t="s">
        <v>62</v>
      </c>
      <c r="D356" s="50" t="str">
        <f>SUBSTITUTE(SUBSTITUTE(SUBSTITUTE(A356, "'max_iter': 500,", ""), "'max_iter': 1000,", ""), "'max_iter': 1500,", "")</f>
        <v>{'activation': 'logistic', 'hidden_layer_sizes': 50, 'learning_rate_init': 0.01,  'solver': 'adam'}</v>
      </c>
      <c r="E356">
        <f>_xlfn.RANK.EQ(B356,B$2:$B$479,0)</f>
        <v>341</v>
      </c>
      <c r="H356" s="40" t="s">
        <v>480</v>
      </c>
      <c r="I356" s="31">
        <v>0.74392210896448197</v>
      </c>
    </row>
    <row r="357" spans="1:9" x14ac:dyDescent="0.2">
      <c r="A357" s="50" t="s">
        <v>483</v>
      </c>
      <c r="B357" s="63">
        <v>0.74392210896448197</v>
      </c>
      <c r="C357" s="50" t="s">
        <v>62</v>
      </c>
      <c r="D357" s="50" t="str">
        <f>SUBSTITUTE(SUBSTITUTE(SUBSTITUTE(A357, "'max_iter': 500,", ""), "'max_iter': 1000,", ""), "'max_iter': 1500,", "")</f>
        <v>{'activation': 'relu', 'hidden_layer_sizes': (100, 50), 'learning_rate_init': 0.005,  'solver': 'sgd'}</v>
      </c>
      <c r="E357">
        <f>_xlfn.RANK.EQ(B357,B$2:$B$479,0)</f>
        <v>341</v>
      </c>
      <c r="H357" s="40" t="s">
        <v>478</v>
      </c>
      <c r="I357" s="31">
        <v>0.74392210896448197</v>
      </c>
    </row>
    <row r="358" spans="1:9" x14ac:dyDescent="0.2">
      <c r="A358" s="50" t="s">
        <v>181</v>
      </c>
      <c r="B358" s="63">
        <v>0.74392210896448197</v>
      </c>
      <c r="C358" s="50" t="s">
        <v>62</v>
      </c>
      <c r="D358" s="50" t="str">
        <f>SUBSTITUTE(SUBSTITUTE(SUBSTITUTE(A358, "'max_iter': 500,", ""), "'max_iter': 1000,", ""), "'max_iter': 1500,", "")</f>
        <v>{'activation': 'relu', 'hidden_layer_sizes': (100, 50), 'learning_rate_init': 0.005,  'solver': 'sgd'}</v>
      </c>
      <c r="E358">
        <f>_xlfn.RANK.EQ(B358,B$2:$B$479,0)</f>
        <v>341</v>
      </c>
      <c r="H358" s="40" t="s">
        <v>481</v>
      </c>
      <c r="I358" s="31">
        <v>0.74392210896448197</v>
      </c>
    </row>
    <row r="359" spans="1:9" x14ac:dyDescent="0.2">
      <c r="A359" s="50" t="s">
        <v>484</v>
      </c>
      <c r="B359" s="63">
        <v>0.74392210896448197</v>
      </c>
      <c r="C359" s="50" t="s">
        <v>62</v>
      </c>
      <c r="D359" s="50" t="str">
        <f>SUBSTITUTE(SUBSTITUTE(SUBSTITUTE(A359, "'max_iter': 500,", ""), "'max_iter': 1000,", ""), "'max_iter': 1500,", "")</f>
        <v>{'activation': 'relu', 'hidden_layer_sizes': (100, 50), 'learning_rate_init': 0.005,  'solver': 'sgd'}</v>
      </c>
      <c r="E359">
        <f>_xlfn.RANK.EQ(B359,B$2:$B$479,0)</f>
        <v>341</v>
      </c>
      <c r="H359" s="40" t="s">
        <v>185</v>
      </c>
      <c r="I359" s="31">
        <v>0.74392210896448197</v>
      </c>
    </row>
    <row r="360" spans="1:9" x14ac:dyDescent="0.2">
      <c r="A360" s="50" t="s">
        <v>485</v>
      </c>
      <c r="B360" s="63">
        <v>0.74392210896448197</v>
      </c>
      <c r="C360" s="50" t="s">
        <v>62</v>
      </c>
      <c r="D360" s="50" t="str">
        <f>SUBSTITUTE(SUBSTITUTE(SUBSTITUTE(A360, "'max_iter': 500,", ""), "'max_iter': 1000,", ""), "'max_iter': 1500,", "")</f>
        <v>{'activation': 'tanh', 'hidden_layer_sizes': (150, 75), 'learning_rate_init': 0.001,  'solver': 'adam'}</v>
      </c>
      <c r="E360">
        <f>_xlfn.RANK.EQ(B360,B$2:$B$479,0)</f>
        <v>341</v>
      </c>
      <c r="H360" s="40" t="s">
        <v>477</v>
      </c>
      <c r="I360" s="31">
        <v>0.74392210896448197</v>
      </c>
    </row>
    <row r="361" spans="1:9" x14ac:dyDescent="0.2">
      <c r="A361" s="50" t="s">
        <v>180</v>
      </c>
      <c r="B361" s="63">
        <v>0.74392210896448197</v>
      </c>
      <c r="C361" s="50" t="s">
        <v>62</v>
      </c>
      <c r="D361" s="50" t="str">
        <f>SUBSTITUTE(SUBSTITUTE(SUBSTITUTE(A361, "'max_iter': 500,", ""), "'max_iter': 1000,", ""), "'max_iter': 1500,", "")</f>
        <v>{'activation': 'tanh', 'hidden_layer_sizes': (150, 75), 'learning_rate_init': 0.001,  'solver': 'adam'}</v>
      </c>
      <c r="E361">
        <f>_xlfn.RANK.EQ(B361,B$2:$B$479,0)</f>
        <v>341</v>
      </c>
      <c r="H361" s="40" t="s">
        <v>482</v>
      </c>
      <c r="I361" s="31">
        <v>0.74392210896448197</v>
      </c>
    </row>
    <row r="362" spans="1:9" x14ac:dyDescent="0.2">
      <c r="A362" s="50" t="s">
        <v>486</v>
      </c>
      <c r="B362" s="63">
        <v>0.74392210896448197</v>
      </c>
      <c r="C362" s="50" t="s">
        <v>62</v>
      </c>
      <c r="D362" s="50" t="str">
        <f>SUBSTITUTE(SUBSTITUTE(SUBSTITUTE(A362, "'max_iter': 500,", ""), "'max_iter': 1000,", ""), "'max_iter': 1500,", "")</f>
        <v>{'activation': 'tanh', 'hidden_layer_sizes': (150, 75), 'learning_rate_init': 0.001,  'solver': 'adam'}</v>
      </c>
      <c r="E362">
        <f>_xlfn.RANK.EQ(B362,B$2:$B$479,0)</f>
        <v>341</v>
      </c>
      <c r="H362" s="40" t="s">
        <v>183</v>
      </c>
      <c r="I362" s="31">
        <v>0.74392210896448197</v>
      </c>
    </row>
    <row r="363" spans="1:9" x14ac:dyDescent="0.2">
      <c r="A363" s="50" t="s">
        <v>490</v>
      </c>
      <c r="B363" s="63">
        <v>0.743557094179642</v>
      </c>
      <c r="C363" s="50" t="s">
        <v>62</v>
      </c>
      <c r="D363" s="50" t="str">
        <f>SUBSTITUTE(SUBSTITUTE(SUBSTITUTE(A363, "'max_iter': 500,", ""), "'max_iter': 1000,", ""), "'max_iter': 1500,", "")</f>
        <v>{'activation': 'identity', 'hidden_layer_sizes': 100, 'learning_rate_init': 0.01,  'solver': 'adam'}</v>
      </c>
      <c r="E363">
        <f>_xlfn.RANK.EQ(B363,B$2:$B$479,0)</f>
        <v>362</v>
      </c>
      <c r="H363" s="40" t="s">
        <v>488</v>
      </c>
      <c r="I363" s="31">
        <v>0.74392210896448197</v>
      </c>
    </row>
    <row r="364" spans="1:9" x14ac:dyDescent="0.2">
      <c r="A364" s="50" t="s">
        <v>187</v>
      </c>
      <c r="B364" s="63">
        <v>0.743557094179642</v>
      </c>
      <c r="C364" s="50" t="s">
        <v>62</v>
      </c>
      <c r="D364" s="50" t="str">
        <f>SUBSTITUTE(SUBSTITUTE(SUBSTITUTE(A364, "'max_iter': 500,", ""), "'max_iter': 1000,", ""), "'max_iter': 1500,", "")</f>
        <v>{'activation': 'identity', 'hidden_layer_sizes': 100, 'learning_rate_init': 0.01,  'solver': 'adam'}</v>
      </c>
      <c r="E364">
        <f>_xlfn.RANK.EQ(B364,B$2:$B$479,0)</f>
        <v>362</v>
      </c>
      <c r="H364" s="40" t="s">
        <v>476</v>
      </c>
      <c r="I364" s="31">
        <v>0.74392210896448197</v>
      </c>
    </row>
    <row r="365" spans="1:9" x14ac:dyDescent="0.2">
      <c r="A365" s="50" t="s">
        <v>491</v>
      </c>
      <c r="B365" s="63">
        <v>0.743557094179642</v>
      </c>
      <c r="C365" s="50" t="s">
        <v>62</v>
      </c>
      <c r="D365" s="50" t="str">
        <f>SUBSTITUTE(SUBSTITUTE(SUBSTITUTE(A365, "'max_iter': 500,", ""), "'max_iter': 1000,", ""), "'max_iter': 1500,", "")</f>
        <v>{'activation': 'identity', 'hidden_layer_sizes': 100, 'learning_rate_init': 0.01,  'solver': 'adam'}</v>
      </c>
      <c r="E365">
        <f>_xlfn.RANK.EQ(B365,B$2:$B$479,0)</f>
        <v>362</v>
      </c>
      <c r="H365" s="40" t="s">
        <v>190</v>
      </c>
      <c r="I365" s="31">
        <v>0.743557094179642</v>
      </c>
    </row>
    <row r="366" spans="1:9" x14ac:dyDescent="0.2">
      <c r="A366" s="50" t="s">
        <v>493</v>
      </c>
      <c r="B366" s="63">
        <v>0.743557094179642</v>
      </c>
      <c r="C366" s="50" t="s">
        <v>62</v>
      </c>
      <c r="D366" s="50" t="str">
        <f>SUBSTITUTE(SUBSTITUTE(SUBSTITUTE(A366, "'max_iter': 500,", ""), "'max_iter': 1000,", ""), "'max_iter': 1500,", "")</f>
        <v>{'activation': 'relu', 'hidden_layer_sizes': 100, 'learning_rate_init': 0.01,  'solver': 'adam'}</v>
      </c>
      <c r="E366">
        <f>_xlfn.RANK.EQ(B366,B$2:$B$479,0)</f>
        <v>362</v>
      </c>
      <c r="H366" s="40" t="s">
        <v>495</v>
      </c>
      <c r="I366" s="31">
        <v>0.743557094179642</v>
      </c>
    </row>
    <row r="367" spans="1:9" x14ac:dyDescent="0.2">
      <c r="A367" s="50" t="s">
        <v>190</v>
      </c>
      <c r="B367" s="63">
        <v>0.743557094179642</v>
      </c>
      <c r="C367" s="50" t="s">
        <v>62</v>
      </c>
      <c r="D367" s="50" t="str">
        <f>SUBSTITUTE(SUBSTITUTE(SUBSTITUTE(A367, "'max_iter': 500,", ""), "'max_iter': 1000,", ""), "'max_iter': 1500,", "")</f>
        <v>{'activation': 'relu', 'hidden_layer_sizes': 100, 'learning_rate_init': 0.01,  'solver': 'adam'}</v>
      </c>
      <c r="E367">
        <f>_xlfn.RANK.EQ(B367,B$2:$B$479,0)</f>
        <v>362</v>
      </c>
      <c r="H367" s="40" t="s">
        <v>494</v>
      </c>
      <c r="I367" s="31">
        <v>0.743557094179642</v>
      </c>
    </row>
    <row r="368" spans="1:9" x14ac:dyDescent="0.2">
      <c r="A368" s="50" t="s">
        <v>492</v>
      </c>
      <c r="B368" s="63">
        <v>0.743557094179642</v>
      </c>
      <c r="C368" s="50" t="s">
        <v>62</v>
      </c>
      <c r="D368" s="50" t="str">
        <f>SUBSTITUTE(SUBSTITUTE(SUBSTITUTE(A368, "'max_iter': 500,", ""), "'max_iter': 1000,", ""), "'max_iter': 1500,", "")</f>
        <v>{'activation': 'relu', 'hidden_layer_sizes': 100, 'learning_rate_init': 0.01,  'solver': 'adam'}</v>
      </c>
      <c r="E368">
        <f>_xlfn.RANK.EQ(B368,B$2:$B$479,0)</f>
        <v>362</v>
      </c>
      <c r="H368" s="40" t="s">
        <v>497</v>
      </c>
      <c r="I368" s="31">
        <v>0.743557094179642</v>
      </c>
    </row>
    <row r="369" spans="1:9" x14ac:dyDescent="0.2">
      <c r="A369" s="50" t="s">
        <v>494</v>
      </c>
      <c r="B369" s="63">
        <v>0.743557094179642</v>
      </c>
      <c r="C369" s="50" t="s">
        <v>62</v>
      </c>
      <c r="D369" s="50" t="str">
        <f>SUBSTITUTE(SUBSTITUTE(SUBSTITUTE(A369, "'max_iter': 500,", ""), "'max_iter': 1000,", ""), "'max_iter': 1500,", "")</f>
        <v>{'activation': 'relu', 'hidden_layer_sizes': 150, 'learning_rate_init': 0.001,  'solver': 'adam'}</v>
      </c>
      <c r="E369">
        <f>_xlfn.RANK.EQ(B369,B$2:$B$479,0)</f>
        <v>362</v>
      </c>
      <c r="H369" s="40" t="s">
        <v>493</v>
      </c>
      <c r="I369" s="31">
        <v>0.743557094179642</v>
      </c>
    </row>
    <row r="370" spans="1:9" x14ac:dyDescent="0.2">
      <c r="A370" s="50" t="s">
        <v>188</v>
      </c>
      <c r="B370" s="63">
        <v>0.743557094179642</v>
      </c>
      <c r="C370" s="50" t="s">
        <v>62</v>
      </c>
      <c r="D370" s="50" t="str">
        <f>SUBSTITUTE(SUBSTITUTE(SUBSTITUTE(A370, "'max_iter': 500,", ""), "'max_iter': 1000,", ""), "'max_iter': 1500,", "")</f>
        <v>{'activation': 'relu', 'hidden_layer_sizes': 150, 'learning_rate_init': 0.001,  'solver': 'adam'}</v>
      </c>
      <c r="E370">
        <f>_xlfn.RANK.EQ(B370,B$2:$B$479,0)</f>
        <v>362</v>
      </c>
      <c r="H370" s="40" t="s">
        <v>186</v>
      </c>
      <c r="I370" s="31">
        <v>0.743557094179642</v>
      </c>
    </row>
    <row r="371" spans="1:9" x14ac:dyDescent="0.2">
      <c r="A371" s="50" t="s">
        <v>495</v>
      </c>
      <c r="B371" s="63">
        <v>0.743557094179642</v>
      </c>
      <c r="C371" s="50" t="s">
        <v>62</v>
      </c>
      <c r="D371" s="50" t="str">
        <f>SUBSTITUTE(SUBSTITUTE(SUBSTITUTE(A371, "'max_iter': 500,", ""), "'max_iter': 1000,", ""), "'max_iter': 1500,", "")</f>
        <v>{'activation': 'relu', 'hidden_layer_sizes': 150, 'learning_rate_init': 0.001,  'solver': 'adam'}</v>
      </c>
      <c r="E371">
        <f>_xlfn.RANK.EQ(B371,B$2:$B$479,0)</f>
        <v>362</v>
      </c>
      <c r="H371" s="40" t="s">
        <v>492</v>
      </c>
      <c r="I371" s="31">
        <v>0.743557094179642</v>
      </c>
    </row>
    <row r="372" spans="1:9" x14ac:dyDescent="0.2">
      <c r="A372" s="50" t="s">
        <v>497</v>
      </c>
      <c r="B372" s="63">
        <v>0.743557094179642</v>
      </c>
      <c r="C372" s="50" t="s">
        <v>62</v>
      </c>
      <c r="D372" s="50" t="str">
        <f>SUBSTITUTE(SUBSTITUTE(SUBSTITUTE(A372, "'max_iter': 500,", ""), "'max_iter': 1000,", ""), "'max_iter': 1500,", "")</f>
        <v>{'activation': 'tanh', 'hidden_layer_sizes': (200, 100), 'learning_rate_init': 0.005,  'solver': 'adam'}</v>
      </c>
      <c r="E372">
        <f>_xlfn.RANK.EQ(B372,B$2:$B$479,0)</f>
        <v>362</v>
      </c>
      <c r="H372" s="40" t="s">
        <v>498</v>
      </c>
      <c r="I372" s="31">
        <v>0.743557094179642</v>
      </c>
    </row>
    <row r="373" spans="1:9" x14ac:dyDescent="0.2">
      <c r="A373" s="50" t="s">
        <v>186</v>
      </c>
      <c r="B373" s="63">
        <v>0.743557094179642</v>
      </c>
      <c r="C373" s="50" t="s">
        <v>62</v>
      </c>
      <c r="D373" s="50" t="str">
        <f>SUBSTITUTE(SUBSTITUTE(SUBSTITUTE(A373, "'max_iter': 500,", ""), "'max_iter': 1000,", ""), "'max_iter': 1500,", "")</f>
        <v>{'activation': 'tanh', 'hidden_layer_sizes': (200, 100), 'learning_rate_init': 0.005,  'solver': 'adam'}</v>
      </c>
      <c r="E373">
        <f>_xlfn.RANK.EQ(B373,B$2:$B$479,0)</f>
        <v>362</v>
      </c>
      <c r="H373" s="40" t="s">
        <v>188</v>
      </c>
      <c r="I373" s="31">
        <v>0.743557094179642</v>
      </c>
    </row>
    <row r="374" spans="1:9" x14ac:dyDescent="0.2">
      <c r="A374" s="50" t="s">
        <v>498</v>
      </c>
      <c r="B374" s="63">
        <v>0.743557094179642</v>
      </c>
      <c r="C374" s="50" t="s">
        <v>62</v>
      </c>
      <c r="D374" s="50" t="str">
        <f>SUBSTITUTE(SUBSTITUTE(SUBSTITUTE(A374, "'max_iter': 500,", ""), "'max_iter': 1000,", ""), "'max_iter': 1500,", "")</f>
        <v>{'activation': 'tanh', 'hidden_layer_sizes': (200, 100), 'learning_rate_init': 0.005,  'solver': 'adam'}</v>
      </c>
      <c r="E374">
        <f>_xlfn.RANK.EQ(B374,B$2:$B$479,0)</f>
        <v>362</v>
      </c>
      <c r="H374" s="40" t="s">
        <v>496</v>
      </c>
      <c r="I374" s="31">
        <v>0.743557094179642</v>
      </c>
    </row>
    <row r="375" spans="1:9" x14ac:dyDescent="0.2">
      <c r="A375" s="50" t="s">
        <v>496</v>
      </c>
      <c r="B375" s="63">
        <v>0.743557094179642</v>
      </c>
      <c r="C375" s="50" t="s">
        <v>62</v>
      </c>
      <c r="D375" s="50" t="str">
        <f>SUBSTITUTE(SUBSTITUTE(SUBSTITUTE(A375, "'max_iter': 500,", ""), "'max_iter': 1000,", ""), "'max_iter': 1500,", "")</f>
        <v>{'activation': 'tanh', 'hidden_layer_sizes': 50, 'learning_rate_init': 0.01,  'solver': 'sgd'}</v>
      </c>
      <c r="E375">
        <f>_xlfn.RANK.EQ(B375,B$2:$B$479,0)</f>
        <v>362</v>
      </c>
      <c r="H375" s="40" t="s">
        <v>499</v>
      </c>
      <c r="I375" s="31">
        <v>0.743557094179642</v>
      </c>
    </row>
    <row r="376" spans="1:9" x14ac:dyDescent="0.2">
      <c r="A376" s="50" t="s">
        <v>189</v>
      </c>
      <c r="B376" s="63">
        <v>0.743557094179642</v>
      </c>
      <c r="C376" s="50" t="s">
        <v>62</v>
      </c>
      <c r="D376" s="50" t="str">
        <f>SUBSTITUTE(SUBSTITUTE(SUBSTITUTE(A376, "'max_iter': 500,", ""), "'max_iter': 1000,", ""), "'max_iter': 1500,", "")</f>
        <v>{'activation': 'tanh', 'hidden_layer_sizes': 50, 'learning_rate_init': 0.01,  'solver': 'sgd'}</v>
      </c>
      <c r="E376">
        <f>_xlfn.RANK.EQ(B376,B$2:$B$479,0)</f>
        <v>362</v>
      </c>
      <c r="H376" s="40" t="s">
        <v>189</v>
      </c>
      <c r="I376" s="31">
        <v>0.743557094179642</v>
      </c>
    </row>
    <row r="377" spans="1:9" x14ac:dyDescent="0.2">
      <c r="A377" s="50" t="s">
        <v>499</v>
      </c>
      <c r="B377" s="63">
        <v>0.743557094179642</v>
      </c>
      <c r="C377" s="50" t="s">
        <v>62</v>
      </c>
      <c r="D377" s="50" t="str">
        <f>SUBSTITUTE(SUBSTITUTE(SUBSTITUTE(A377, "'max_iter': 500,", ""), "'max_iter': 1000,", ""), "'max_iter': 1500,", "")</f>
        <v>{'activation': 'tanh', 'hidden_layer_sizes': 50, 'learning_rate_init': 0.01,  'solver': 'sgd'}</v>
      </c>
      <c r="E377">
        <f>_xlfn.RANK.EQ(B377,B$2:$B$479,0)</f>
        <v>362</v>
      </c>
      <c r="H377" s="40" t="s">
        <v>490</v>
      </c>
      <c r="I377" s="31">
        <v>0.743557094179642</v>
      </c>
    </row>
    <row r="378" spans="1:9" x14ac:dyDescent="0.2">
      <c r="A378" s="50" t="s">
        <v>509</v>
      </c>
      <c r="B378" s="63">
        <v>0.74310833101474605</v>
      </c>
      <c r="C378" s="50" t="s">
        <v>62</v>
      </c>
      <c r="D378" s="50" t="str">
        <f>SUBSTITUTE(SUBSTITUTE(SUBSTITUTE(A378, "'max_iter': 500,", ""), "'max_iter': 1000,", ""), "'max_iter': 1500,", "")</f>
        <v>{'activation': 'identity', 'hidden_layer_sizes': (100, 50), 'learning_rate_init': 0.005,  'solver': 'sgd'}</v>
      </c>
      <c r="E378">
        <f>_xlfn.RANK.EQ(B378,B$2:$B$479,0)</f>
        <v>377</v>
      </c>
      <c r="H378" s="40" t="s">
        <v>491</v>
      </c>
      <c r="I378" s="31">
        <v>0.743557094179642</v>
      </c>
    </row>
    <row r="379" spans="1:9" x14ac:dyDescent="0.2">
      <c r="A379" s="50" t="s">
        <v>191</v>
      </c>
      <c r="B379" s="63">
        <v>0.74310833101474605</v>
      </c>
      <c r="C379" s="50" t="s">
        <v>62</v>
      </c>
      <c r="D379" s="50" t="str">
        <f>SUBSTITUTE(SUBSTITUTE(SUBSTITUTE(A379, "'max_iter': 500,", ""), "'max_iter': 1000,", ""), "'max_iter': 1500,", "")</f>
        <v>{'activation': 'identity', 'hidden_layer_sizes': (100, 50), 'learning_rate_init': 0.005,  'solver': 'sgd'}</v>
      </c>
      <c r="E379">
        <f>_xlfn.RANK.EQ(B379,B$2:$B$479,0)</f>
        <v>377</v>
      </c>
      <c r="H379" s="40" t="s">
        <v>187</v>
      </c>
      <c r="I379" s="31">
        <v>0.743557094179642</v>
      </c>
    </row>
    <row r="380" spans="1:9" x14ac:dyDescent="0.2">
      <c r="A380" s="50" t="s">
        <v>507</v>
      </c>
      <c r="B380" s="63">
        <v>0.74310833101474605</v>
      </c>
      <c r="C380" s="50" t="s">
        <v>62</v>
      </c>
      <c r="D380" s="50" t="str">
        <f>SUBSTITUTE(SUBSTITUTE(SUBSTITUTE(A380, "'max_iter': 500,", ""), "'max_iter': 1000,", ""), "'max_iter': 1500,", "")</f>
        <v>{'activation': 'identity', 'hidden_layer_sizes': (100, 50), 'learning_rate_init': 0.005,  'solver': 'sgd'}</v>
      </c>
      <c r="E380">
        <f>_xlfn.RANK.EQ(B380,B$2:$B$479,0)</f>
        <v>377</v>
      </c>
      <c r="H380" s="40" t="s">
        <v>503</v>
      </c>
      <c r="I380" s="31">
        <v>0.74310833101474605</v>
      </c>
    </row>
    <row r="381" spans="1:9" x14ac:dyDescent="0.2">
      <c r="A381" s="50" t="s">
        <v>502</v>
      </c>
      <c r="B381" s="63">
        <v>0.74310833101474605</v>
      </c>
      <c r="C381" s="50" t="s">
        <v>62</v>
      </c>
      <c r="D381" s="50" t="str">
        <f>SUBSTITUTE(SUBSTITUTE(SUBSTITUTE(A381, "'max_iter': 500,", ""), "'max_iter': 1000,", ""), "'max_iter': 1500,", "")</f>
        <v>{'activation': 'logistic', 'hidden_layer_sizes': (150, 75), 'learning_rate_init': 0.005,  'solver': 'adam'}</v>
      </c>
      <c r="E381">
        <f>_xlfn.RANK.EQ(B381,B$2:$B$479,0)</f>
        <v>377</v>
      </c>
      <c r="H381" s="40" t="s">
        <v>500</v>
      </c>
      <c r="I381" s="31">
        <v>0.74310833101474605</v>
      </c>
    </row>
    <row r="382" spans="1:9" x14ac:dyDescent="0.2">
      <c r="A382" s="50" t="s">
        <v>194</v>
      </c>
      <c r="B382" s="63">
        <v>0.74310833101474605</v>
      </c>
      <c r="C382" s="50" t="s">
        <v>62</v>
      </c>
      <c r="D382" s="50" t="str">
        <f>SUBSTITUTE(SUBSTITUTE(SUBSTITUTE(A382, "'max_iter': 500,", ""), "'max_iter': 1000,", ""), "'max_iter': 1500,", "")</f>
        <v>{'activation': 'logistic', 'hidden_layer_sizes': (150, 75), 'learning_rate_init': 0.005,  'solver': 'adam'}</v>
      </c>
      <c r="E382">
        <f>_xlfn.RANK.EQ(B382,B$2:$B$479,0)</f>
        <v>377</v>
      </c>
      <c r="H382" s="40" t="s">
        <v>505</v>
      </c>
      <c r="I382" s="31">
        <v>0.74310833101474605</v>
      </c>
    </row>
    <row r="383" spans="1:9" x14ac:dyDescent="0.2">
      <c r="A383" s="50" t="s">
        <v>501</v>
      </c>
      <c r="B383" s="63">
        <v>0.74310833101474605</v>
      </c>
      <c r="C383" s="50" t="s">
        <v>62</v>
      </c>
      <c r="D383" s="50" t="str">
        <f>SUBSTITUTE(SUBSTITUTE(SUBSTITUTE(A383, "'max_iter': 500,", ""), "'max_iter': 1000,", ""), "'max_iter': 1500,", "")</f>
        <v>{'activation': 'logistic', 'hidden_layer_sizes': (150, 75), 'learning_rate_init': 0.005,  'solver': 'adam'}</v>
      </c>
      <c r="E383">
        <f>_xlfn.RANK.EQ(B383,B$2:$B$479,0)</f>
        <v>377</v>
      </c>
      <c r="H383" s="40" t="s">
        <v>504</v>
      </c>
      <c r="I383" s="31">
        <v>0.74310833101474605</v>
      </c>
    </row>
    <row r="384" spans="1:9" x14ac:dyDescent="0.2">
      <c r="A384" s="50" t="s">
        <v>508</v>
      </c>
      <c r="B384" s="63">
        <v>0.74310833101474605</v>
      </c>
      <c r="C384" s="50" t="s">
        <v>62</v>
      </c>
      <c r="D384" s="50" t="str">
        <f>SUBSTITUTE(SUBSTITUTE(SUBSTITUTE(A384, "'max_iter': 500,", ""), "'max_iter': 1000,", ""), "'max_iter': 1500,", "")</f>
        <v>{'activation': 'logistic', 'hidden_layer_sizes': 150, 'learning_rate_init': 0.005,  'solver': 'adam'}</v>
      </c>
      <c r="E384">
        <f>_xlfn.RANK.EQ(B384,B$2:$B$479,0)</f>
        <v>377</v>
      </c>
      <c r="H384" s="40" t="s">
        <v>195</v>
      </c>
      <c r="I384" s="31">
        <v>0.74310833101474605</v>
      </c>
    </row>
    <row r="385" spans="1:9" x14ac:dyDescent="0.2">
      <c r="A385" s="50" t="s">
        <v>192</v>
      </c>
      <c r="B385" s="63">
        <v>0.74310833101474605</v>
      </c>
      <c r="C385" s="50" t="s">
        <v>62</v>
      </c>
      <c r="D385" s="50" t="str">
        <f>SUBSTITUTE(SUBSTITUTE(SUBSTITUTE(A385, "'max_iter': 500,", ""), "'max_iter': 1000,", ""), "'max_iter': 1500,", "")</f>
        <v>{'activation': 'logistic', 'hidden_layer_sizes': 150, 'learning_rate_init': 0.005,  'solver': 'adam'}</v>
      </c>
      <c r="E385">
        <f>_xlfn.RANK.EQ(B385,B$2:$B$479,0)</f>
        <v>377</v>
      </c>
      <c r="H385" s="40" t="s">
        <v>193</v>
      </c>
      <c r="I385" s="31">
        <v>0.74310833101474605</v>
      </c>
    </row>
    <row r="386" spans="1:9" x14ac:dyDescent="0.2">
      <c r="A386" s="50" t="s">
        <v>506</v>
      </c>
      <c r="B386" s="63">
        <v>0.74310833101474605</v>
      </c>
      <c r="C386" s="50" t="s">
        <v>62</v>
      </c>
      <c r="D386" s="50" t="str">
        <f>SUBSTITUTE(SUBSTITUTE(SUBSTITUTE(A386, "'max_iter': 500,", ""), "'max_iter': 1000,", ""), "'max_iter': 1500,", "")</f>
        <v>{'activation': 'logistic', 'hidden_layer_sizes': 150, 'learning_rate_init': 0.005,  'solver': 'adam'}</v>
      </c>
      <c r="E386">
        <f>_xlfn.RANK.EQ(B386,B$2:$B$479,0)</f>
        <v>377</v>
      </c>
      <c r="H386" s="40" t="s">
        <v>501</v>
      </c>
      <c r="I386" s="31">
        <v>0.74310833101474605</v>
      </c>
    </row>
    <row r="387" spans="1:9" x14ac:dyDescent="0.2">
      <c r="A387" s="50" t="s">
        <v>504</v>
      </c>
      <c r="B387" s="63">
        <v>0.74310833101474605</v>
      </c>
      <c r="C387" s="50" t="s">
        <v>62</v>
      </c>
      <c r="D387" s="50" t="str">
        <f>SUBSTITUTE(SUBSTITUTE(SUBSTITUTE(A387, "'max_iter': 500,", ""), "'max_iter': 1000,", ""), "'max_iter': 1500,", "")</f>
        <v>{'activation': 'tanh', 'hidden_layer_sizes': (200, 100), 'learning_rate_init': 0.001,  'solver': 'adam'}</v>
      </c>
      <c r="E387">
        <f>_xlfn.RANK.EQ(B387,B$2:$B$479,0)</f>
        <v>377</v>
      </c>
      <c r="H387" s="40" t="s">
        <v>502</v>
      </c>
      <c r="I387" s="31">
        <v>0.74310833101474605</v>
      </c>
    </row>
    <row r="388" spans="1:9" x14ac:dyDescent="0.2">
      <c r="A388" s="50" t="s">
        <v>195</v>
      </c>
      <c r="B388" s="63">
        <v>0.74310833101474605</v>
      </c>
      <c r="C388" s="50" t="s">
        <v>62</v>
      </c>
      <c r="D388" s="50" t="str">
        <f>SUBSTITUTE(SUBSTITUTE(SUBSTITUTE(A388, "'max_iter': 500,", ""), "'max_iter': 1000,", ""), "'max_iter': 1500,", "")</f>
        <v>{'activation': 'tanh', 'hidden_layer_sizes': (200, 100), 'learning_rate_init': 0.001,  'solver': 'adam'}</v>
      </c>
      <c r="E388">
        <f>_xlfn.RANK.EQ(B388,B$2:$B$479,0)</f>
        <v>377</v>
      </c>
      <c r="H388" s="40" t="s">
        <v>506</v>
      </c>
      <c r="I388" s="31">
        <v>0.74310833101474605</v>
      </c>
    </row>
    <row r="389" spans="1:9" x14ac:dyDescent="0.2">
      <c r="A389" s="50" t="s">
        <v>503</v>
      </c>
      <c r="B389" s="63">
        <v>0.74310833101474605</v>
      </c>
      <c r="C389" s="50" t="s">
        <v>62</v>
      </c>
      <c r="D389" s="50" t="str">
        <f>SUBSTITUTE(SUBSTITUTE(SUBSTITUTE(A389, "'max_iter': 500,", ""), "'max_iter': 1000,", ""), "'max_iter': 1500,", "")</f>
        <v>{'activation': 'tanh', 'hidden_layer_sizes': (200, 100), 'learning_rate_init': 0.001,  'solver': 'adam'}</v>
      </c>
      <c r="E389">
        <f>_xlfn.RANK.EQ(B389,B$2:$B$479,0)</f>
        <v>377</v>
      </c>
      <c r="H389" s="40" t="s">
        <v>508</v>
      </c>
      <c r="I389" s="31">
        <v>0.74310833101474605</v>
      </c>
    </row>
    <row r="390" spans="1:9" x14ac:dyDescent="0.2">
      <c r="A390" s="50" t="s">
        <v>505</v>
      </c>
      <c r="B390" s="63">
        <v>0.74310833101474605</v>
      </c>
      <c r="C390" s="50" t="s">
        <v>62</v>
      </c>
      <c r="D390" s="50" t="str">
        <f>SUBSTITUTE(SUBSTITUTE(SUBSTITUTE(A390, "'max_iter': 500,", ""), "'max_iter': 1000,", ""), "'max_iter': 1500,", "")</f>
        <v>{'activation': 'tanh', 'hidden_layer_sizes': 100, 'learning_rate_init': 0.01,  'solver': 'adam'}</v>
      </c>
      <c r="E390">
        <f>_xlfn.RANK.EQ(B390,B$2:$B$479,0)</f>
        <v>377</v>
      </c>
      <c r="H390" s="40" t="s">
        <v>191</v>
      </c>
      <c r="I390" s="31">
        <v>0.74310833101474605</v>
      </c>
    </row>
    <row r="391" spans="1:9" x14ac:dyDescent="0.2">
      <c r="A391" s="50" t="s">
        <v>193</v>
      </c>
      <c r="B391" s="63">
        <v>0.74310833101474605</v>
      </c>
      <c r="C391" s="50" t="s">
        <v>62</v>
      </c>
      <c r="D391" s="50" t="str">
        <f>SUBSTITUTE(SUBSTITUTE(SUBSTITUTE(A391, "'max_iter': 500,", ""), "'max_iter': 1000,", ""), "'max_iter': 1500,", "")</f>
        <v>{'activation': 'tanh', 'hidden_layer_sizes': 100, 'learning_rate_init': 0.01,  'solver': 'adam'}</v>
      </c>
      <c r="E391">
        <f>_xlfn.RANK.EQ(B391,B$2:$B$479,0)</f>
        <v>377</v>
      </c>
      <c r="H391" s="40" t="s">
        <v>509</v>
      </c>
      <c r="I391" s="31">
        <v>0.74310833101474605</v>
      </c>
    </row>
    <row r="392" spans="1:9" x14ac:dyDescent="0.2">
      <c r="A392" s="50" t="s">
        <v>500</v>
      </c>
      <c r="B392" s="63">
        <v>0.74310833101474605</v>
      </c>
      <c r="C392" s="50" t="s">
        <v>62</v>
      </c>
      <c r="D392" s="50" t="str">
        <f>SUBSTITUTE(SUBSTITUTE(SUBSTITUTE(A392, "'max_iter': 500,", ""), "'max_iter': 1000,", ""), "'max_iter': 1500,", "")</f>
        <v>{'activation': 'tanh', 'hidden_layer_sizes': 100, 'learning_rate_init': 0.01,  'solver': 'adam'}</v>
      </c>
      <c r="E392">
        <f>_xlfn.RANK.EQ(B392,B$2:$B$479,0)</f>
        <v>377</v>
      </c>
      <c r="H392" s="40" t="s">
        <v>507</v>
      </c>
      <c r="I392" s="31">
        <v>0.74310833101474605</v>
      </c>
    </row>
    <row r="393" spans="1:9" x14ac:dyDescent="0.2">
      <c r="A393" s="50" t="s">
        <v>513</v>
      </c>
      <c r="B393" s="63">
        <v>0.73824245757385198</v>
      </c>
      <c r="C393" s="50" t="s">
        <v>62</v>
      </c>
      <c r="D393" s="50" t="str">
        <f>SUBSTITUTE(SUBSTITUTE(SUBSTITUTE(A393, "'max_iter': 500,", ""), "'max_iter': 1000,", ""), "'max_iter': 1500,", "")</f>
        <v>{'activation': 'logistic', 'hidden_layer_sizes': (200, 100, 50), 'learning_rate_init': 0.001,  'solver': 'adam'}</v>
      </c>
      <c r="E393">
        <f>_xlfn.RANK.EQ(B393,B$2:$B$479,0)</f>
        <v>392</v>
      </c>
      <c r="H393" s="40" t="s">
        <v>192</v>
      </c>
      <c r="I393" s="31">
        <v>0.74310833101474605</v>
      </c>
    </row>
    <row r="394" spans="1:9" x14ac:dyDescent="0.2">
      <c r="A394" s="50" t="s">
        <v>196</v>
      </c>
      <c r="B394" s="63">
        <v>0.73824245757385198</v>
      </c>
      <c r="C394" s="50" t="s">
        <v>62</v>
      </c>
      <c r="D394" s="50" t="str">
        <f>SUBSTITUTE(SUBSTITUTE(SUBSTITUTE(A394, "'max_iter': 500,", ""), "'max_iter': 1000,", ""), "'max_iter': 1500,", "")</f>
        <v>{'activation': 'logistic', 'hidden_layer_sizes': (200, 100, 50), 'learning_rate_init': 0.001,  'solver': 'adam'}</v>
      </c>
      <c r="E394">
        <f>_xlfn.RANK.EQ(B394,B$2:$B$479,0)</f>
        <v>392</v>
      </c>
      <c r="H394" s="40" t="s">
        <v>194</v>
      </c>
      <c r="I394" s="31">
        <v>0.74310833101474605</v>
      </c>
    </row>
    <row r="395" spans="1:9" x14ac:dyDescent="0.2">
      <c r="A395" s="50" t="s">
        <v>512</v>
      </c>
      <c r="B395" s="63">
        <v>0.73824245757385198</v>
      </c>
      <c r="C395" s="50" t="s">
        <v>62</v>
      </c>
      <c r="D395" s="50" t="str">
        <f>SUBSTITUTE(SUBSTITUTE(SUBSTITUTE(A395, "'max_iter': 500,", ""), "'max_iter': 1000,", ""), "'max_iter': 1500,", "")</f>
        <v>{'activation': 'logistic', 'hidden_layer_sizes': (200, 100, 50), 'learning_rate_init': 0.001,  'solver': 'adam'}</v>
      </c>
      <c r="E395">
        <f>_xlfn.RANK.EQ(B395,B$2:$B$479,0)</f>
        <v>392</v>
      </c>
      <c r="H395" s="40" t="s">
        <v>197</v>
      </c>
      <c r="I395" s="31">
        <v>0.73824245757385198</v>
      </c>
    </row>
    <row r="396" spans="1:9" x14ac:dyDescent="0.2">
      <c r="A396" s="50" t="s">
        <v>510</v>
      </c>
      <c r="B396" s="63">
        <v>0.73824245757385198</v>
      </c>
      <c r="C396" s="50" t="s">
        <v>62</v>
      </c>
      <c r="D396" s="50" t="str">
        <f>SUBSTITUTE(SUBSTITUTE(SUBSTITUTE(A396, "'max_iter': 500,", ""), "'max_iter': 1000,", ""), "'max_iter': 1500,", "")</f>
        <v>{'activation': 'relu', 'hidden_layer_sizes': (100, 50), 'learning_rate_init': 0.001,  'solver': 'sgd'}</v>
      </c>
      <c r="E396">
        <f>_xlfn.RANK.EQ(B396,B$2:$B$479,0)</f>
        <v>392</v>
      </c>
      <c r="H396" s="40" t="s">
        <v>513</v>
      </c>
      <c r="I396" s="31">
        <v>0.73824245757385198</v>
      </c>
    </row>
    <row r="397" spans="1:9" x14ac:dyDescent="0.2">
      <c r="A397" s="50" t="s">
        <v>197</v>
      </c>
      <c r="B397" s="63">
        <v>0.73824245757385198</v>
      </c>
      <c r="C397" s="50" t="s">
        <v>62</v>
      </c>
      <c r="D397" s="50" t="str">
        <f>SUBSTITUTE(SUBSTITUTE(SUBSTITUTE(A397, "'max_iter': 500,", ""), "'max_iter': 1000,", ""), "'max_iter': 1500,", "")</f>
        <v>{'activation': 'relu', 'hidden_layer_sizes': (100, 50), 'learning_rate_init': 0.001,  'solver': 'sgd'}</v>
      </c>
      <c r="E397">
        <f>_xlfn.RANK.EQ(B397,B$2:$B$479,0)</f>
        <v>392</v>
      </c>
      <c r="H397" s="40" t="s">
        <v>511</v>
      </c>
      <c r="I397" s="31">
        <v>0.73824245757385198</v>
      </c>
    </row>
    <row r="398" spans="1:9" x14ac:dyDescent="0.2">
      <c r="A398" s="50" t="s">
        <v>511</v>
      </c>
      <c r="B398" s="63">
        <v>0.73824245757385198</v>
      </c>
      <c r="C398" s="50" t="s">
        <v>62</v>
      </c>
      <c r="D398" s="50" t="str">
        <f>SUBSTITUTE(SUBSTITUTE(SUBSTITUTE(A398, "'max_iter': 500,", ""), "'max_iter': 1000,", ""), "'max_iter': 1500,", "")</f>
        <v>{'activation': 'relu', 'hidden_layer_sizes': (100, 50), 'learning_rate_init': 0.001,  'solver': 'sgd'}</v>
      </c>
      <c r="E398">
        <f>_xlfn.RANK.EQ(B398,B$2:$B$479,0)</f>
        <v>392</v>
      </c>
      <c r="H398" s="40" t="s">
        <v>510</v>
      </c>
      <c r="I398" s="31">
        <v>0.73824245757385198</v>
      </c>
    </row>
    <row r="399" spans="1:9" x14ac:dyDescent="0.2">
      <c r="A399" s="50" t="s">
        <v>515</v>
      </c>
      <c r="B399" s="63">
        <v>0.73807864903164799</v>
      </c>
      <c r="C399" s="50" t="s">
        <v>62</v>
      </c>
      <c r="D399" s="50" t="str">
        <f>SUBSTITUTE(SUBSTITUTE(SUBSTITUTE(A399, "'max_iter': 500,", ""), "'max_iter': 1000,", ""), "'max_iter': 1500,", "")</f>
        <v>{'activation': 'identity', 'hidden_layer_sizes': (200, 100, 50), 'learning_rate_init': 0.005,  'solver': 'adam'}</v>
      </c>
      <c r="E399">
        <f>_xlfn.RANK.EQ(B399,B$2:$B$479,0)</f>
        <v>398</v>
      </c>
      <c r="H399" s="40" t="s">
        <v>196</v>
      </c>
      <c r="I399" s="31">
        <v>0.73824245757385198</v>
      </c>
    </row>
    <row r="400" spans="1:9" x14ac:dyDescent="0.2">
      <c r="A400" s="50" t="s">
        <v>200</v>
      </c>
      <c r="B400" s="63">
        <v>0.73807864903164799</v>
      </c>
      <c r="C400" s="50" t="s">
        <v>62</v>
      </c>
      <c r="D400" s="50" t="str">
        <f>SUBSTITUTE(SUBSTITUTE(SUBSTITUTE(A400, "'max_iter': 500,", ""), "'max_iter': 1000,", ""), "'max_iter': 1500,", "")</f>
        <v>{'activation': 'identity', 'hidden_layer_sizes': (200, 100, 50), 'learning_rate_init': 0.005,  'solver': 'adam'}</v>
      </c>
      <c r="E400">
        <f>_xlfn.RANK.EQ(B400,B$2:$B$479,0)</f>
        <v>398</v>
      </c>
      <c r="H400" s="40" t="s">
        <v>512</v>
      </c>
      <c r="I400" s="31">
        <v>0.73824245757385198</v>
      </c>
    </row>
    <row r="401" spans="1:9" x14ac:dyDescent="0.2">
      <c r="A401" s="50" t="s">
        <v>514</v>
      </c>
      <c r="B401" s="63">
        <v>0.73807864903164799</v>
      </c>
      <c r="C401" s="50" t="s">
        <v>62</v>
      </c>
      <c r="D401" s="50" t="str">
        <f>SUBSTITUTE(SUBSTITUTE(SUBSTITUTE(A401, "'max_iter': 500,", ""), "'max_iter': 1000,", ""), "'max_iter': 1500,", "")</f>
        <v>{'activation': 'identity', 'hidden_layer_sizes': (200, 100, 50), 'learning_rate_init': 0.005,  'solver': 'adam'}</v>
      </c>
      <c r="E401">
        <f>_xlfn.RANK.EQ(B401,B$2:$B$479,0)</f>
        <v>398</v>
      </c>
      <c r="H401" s="40" t="s">
        <v>516</v>
      </c>
      <c r="I401" s="31">
        <v>0.73807864903164799</v>
      </c>
    </row>
    <row r="402" spans="1:9" x14ac:dyDescent="0.2">
      <c r="A402" s="50" t="s">
        <v>519</v>
      </c>
      <c r="B402" s="63">
        <v>0.73807864903164799</v>
      </c>
      <c r="C402" s="50" t="s">
        <v>62</v>
      </c>
      <c r="D402" s="50" t="str">
        <f>SUBSTITUTE(SUBSTITUTE(SUBSTITUTE(A402, "'max_iter': 500,", ""), "'max_iter': 1000,", ""), "'max_iter': 1500,", "")</f>
        <v>{'activation': 'identity', 'hidden_layer_sizes': 50, 'learning_rate_init': 0.005,  'solver': 'adam'}</v>
      </c>
      <c r="E402">
        <f>_xlfn.RANK.EQ(B402,B$2:$B$479,0)</f>
        <v>398</v>
      </c>
      <c r="H402" s="40" t="s">
        <v>198</v>
      </c>
      <c r="I402" s="31">
        <v>0.73807864903164799</v>
      </c>
    </row>
    <row r="403" spans="1:9" x14ac:dyDescent="0.2">
      <c r="A403" s="50" t="s">
        <v>199</v>
      </c>
      <c r="B403" s="63">
        <v>0.73807864903164799</v>
      </c>
      <c r="C403" s="50" t="s">
        <v>62</v>
      </c>
      <c r="D403" s="50" t="str">
        <f>SUBSTITUTE(SUBSTITUTE(SUBSTITUTE(A403, "'max_iter': 500,", ""), "'max_iter': 1000,", ""), "'max_iter': 1500,", "")</f>
        <v>{'activation': 'identity', 'hidden_layer_sizes': 50, 'learning_rate_init': 0.005,  'solver': 'adam'}</v>
      </c>
      <c r="E403">
        <f>_xlfn.RANK.EQ(B403,B$2:$B$479,0)</f>
        <v>398</v>
      </c>
      <c r="H403" s="40" t="s">
        <v>518</v>
      </c>
      <c r="I403" s="31">
        <v>0.73807864903164799</v>
      </c>
    </row>
    <row r="404" spans="1:9" x14ac:dyDescent="0.2">
      <c r="A404" s="50" t="s">
        <v>517</v>
      </c>
      <c r="B404" s="63">
        <v>0.73807864903164799</v>
      </c>
      <c r="C404" s="50" t="s">
        <v>62</v>
      </c>
      <c r="D404" s="50" t="str">
        <f>SUBSTITUTE(SUBSTITUTE(SUBSTITUTE(A404, "'max_iter': 500,", ""), "'max_iter': 1000,", ""), "'max_iter': 1500,", "")</f>
        <v>{'activation': 'identity', 'hidden_layer_sizes': 50, 'learning_rate_init': 0.005,  'solver': 'adam'}</v>
      </c>
      <c r="E404">
        <f>_xlfn.RANK.EQ(B404,B$2:$B$479,0)</f>
        <v>398</v>
      </c>
      <c r="H404" s="40" t="s">
        <v>514</v>
      </c>
      <c r="I404" s="31">
        <v>0.73807864903164799</v>
      </c>
    </row>
    <row r="405" spans="1:9" x14ac:dyDescent="0.2">
      <c r="A405" s="50" t="s">
        <v>516</v>
      </c>
      <c r="B405" s="63">
        <v>0.73807864903164799</v>
      </c>
      <c r="C405" s="50" t="s">
        <v>62</v>
      </c>
      <c r="D405" s="50" t="str">
        <f>SUBSTITUTE(SUBSTITUTE(SUBSTITUTE(A405, "'max_iter': 500,", ""), "'max_iter': 1000,", ""), "'max_iter': 1500,", "")</f>
        <v>{'activation': 'relu', 'hidden_layer_sizes': 150, 'learning_rate_init': 0.01,  'solver': 'adam'}</v>
      </c>
      <c r="E405">
        <f>_xlfn.RANK.EQ(B405,B$2:$B$479,0)</f>
        <v>398</v>
      </c>
      <c r="H405" s="40" t="s">
        <v>200</v>
      </c>
      <c r="I405" s="31">
        <v>0.73807864903164799</v>
      </c>
    </row>
    <row r="406" spans="1:9" x14ac:dyDescent="0.2">
      <c r="A406" s="50" t="s">
        <v>198</v>
      </c>
      <c r="B406" s="63">
        <v>0.73807864903164799</v>
      </c>
      <c r="C406" s="50" t="s">
        <v>62</v>
      </c>
      <c r="D406" s="50" t="str">
        <f>SUBSTITUTE(SUBSTITUTE(SUBSTITUTE(A406, "'max_iter': 500,", ""), "'max_iter': 1000,", ""), "'max_iter': 1500,", "")</f>
        <v>{'activation': 'relu', 'hidden_layer_sizes': 150, 'learning_rate_init': 0.01,  'solver': 'adam'}</v>
      </c>
      <c r="E406">
        <f>_xlfn.RANK.EQ(B406,B$2:$B$479,0)</f>
        <v>398</v>
      </c>
      <c r="H406" s="40" t="s">
        <v>517</v>
      </c>
      <c r="I406" s="31">
        <v>0.73807864903164799</v>
      </c>
    </row>
    <row r="407" spans="1:9" x14ac:dyDescent="0.2">
      <c r="A407" s="50" t="s">
        <v>518</v>
      </c>
      <c r="B407" s="63">
        <v>0.73807864903164799</v>
      </c>
      <c r="C407" s="50" t="s">
        <v>62</v>
      </c>
      <c r="D407" s="50" t="str">
        <f>SUBSTITUTE(SUBSTITUTE(SUBSTITUTE(A407, "'max_iter': 500,", ""), "'max_iter': 1000,", ""), "'max_iter': 1500,", "")</f>
        <v>{'activation': 'relu', 'hidden_layer_sizes': 150, 'learning_rate_init': 0.01,  'solver': 'adam'}</v>
      </c>
      <c r="E407">
        <f>_xlfn.RANK.EQ(B407,B$2:$B$479,0)</f>
        <v>398</v>
      </c>
      <c r="H407" s="40" t="s">
        <v>515</v>
      </c>
      <c r="I407" s="31">
        <v>0.73807864903164799</v>
      </c>
    </row>
    <row r="408" spans="1:9" x14ac:dyDescent="0.2">
      <c r="A408" s="50" t="s">
        <v>526</v>
      </c>
      <c r="B408" s="63">
        <v>0.73783143939393903</v>
      </c>
      <c r="C408" s="50" t="s">
        <v>62</v>
      </c>
      <c r="D408" s="50" t="str">
        <f>SUBSTITUTE(SUBSTITUTE(SUBSTITUTE(A408, "'max_iter': 500,", ""), "'max_iter': 1000,", ""), "'max_iter': 1500,", "")</f>
        <v>{'activation': 'identity', 'hidden_layer_sizes': 100, 'learning_rate_init': 0.001,  'solver': 'adam'}</v>
      </c>
      <c r="E408">
        <f>_xlfn.RANK.EQ(B408,B$2:$B$479,0)</f>
        <v>407</v>
      </c>
      <c r="H408" s="40" t="s">
        <v>199</v>
      </c>
      <c r="I408" s="31">
        <v>0.73807864903164799</v>
      </c>
    </row>
    <row r="409" spans="1:9" x14ac:dyDescent="0.2">
      <c r="A409" s="50" t="s">
        <v>201</v>
      </c>
      <c r="B409" s="63">
        <v>0.73783143939393903</v>
      </c>
      <c r="C409" s="50" t="s">
        <v>62</v>
      </c>
      <c r="D409" s="50" t="str">
        <f>SUBSTITUTE(SUBSTITUTE(SUBSTITUTE(A409, "'max_iter': 500,", ""), "'max_iter': 1000,", ""), "'max_iter': 1500,", "")</f>
        <v>{'activation': 'identity', 'hidden_layer_sizes': 100, 'learning_rate_init': 0.001,  'solver': 'adam'}</v>
      </c>
      <c r="E409">
        <f>_xlfn.RANK.EQ(B409,B$2:$B$479,0)</f>
        <v>407</v>
      </c>
      <c r="H409" s="40" t="s">
        <v>519</v>
      </c>
      <c r="I409" s="31">
        <v>0.73807864903164799</v>
      </c>
    </row>
    <row r="410" spans="1:9" x14ac:dyDescent="0.2">
      <c r="A410" s="50" t="s">
        <v>520</v>
      </c>
      <c r="B410" s="63">
        <v>0.73783143939393903</v>
      </c>
      <c r="C410" s="50" t="s">
        <v>62</v>
      </c>
      <c r="D410" s="50" t="str">
        <f>SUBSTITUTE(SUBSTITUTE(SUBSTITUTE(A410, "'max_iter': 500,", ""), "'max_iter': 1000,", ""), "'max_iter': 1500,", "")</f>
        <v>{'activation': 'identity', 'hidden_layer_sizes': 100, 'learning_rate_init': 0.001,  'solver': 'adam'}</v>
      </c>
      <c r="E410">
        <f>_xlfn.RANK.EQ(B410,B$2:$B$479,0)</f>
        <v>407</v>
      </c>
      <c r="H410" s="40" t="s">
        <v>521</v>
      </c>
      <c r="I410" s="31">
        <v>0.73783143939393903</v>
      </c>
    </row>
    <row r="411" spans="1:9" x14ac:dyDescent="0.2">
      <c r="A411" s="50" t="s">
        <v>523</v>
      </c>
      <c r="B411" s="63">
        <v>0.73783143939393903</v>
      </c>
      <c r="C411" s="50" t="s">
        <v>62</v>
      </c>
      <c r="D411" s="50" t="str">
        <f>SUBSTITUTE(SUBSTITUTE(SUBSTITUTE(A411, "'max_iter': 500,", ""), "'max_iter': 1000,", ""), "'max_iter': 1500,", "")</f>
        <v>{'activation': 'logistic', 'hidden_layer_sizes': (150, 75), 'learning_rate_init': 0.005,  'solver': 'sgd'}</v>
      </c>
      <c r="E411">
        <f>_xlfn.RANK.EQ(B411,B$2:$B$479,0)</f>
        <v>407</v>
      </c>
      <c r="H411" s="40" t="s">
        <v>202</v>
      </c>
      <c r="I411" s="31">
        <v>0.73783143939393903</v>
      </c>
    </row>
    <row r="412" spans="1:9" x14ac:dyDescent="0.2">
      <c r="A412" s="50" t="s">
        <v>204</v>
      </c>
      <c r="B412" s="63">
        <v>0.73783143939393903</v>
      </c>
      <c r="C412" s="50" t="s">
        <v>62</v>
      </c>
      <c r="D412" s="50" t="str">
        <f>SUBSTITUTE(SUBSTITUTE(SUBSTITUTE(A412, "'max_iter': 500,", ""), "'max_iter': 1000,", ""), "'max_iter': 1500,", "")</f>
        <v>{'activation': 'logistic', 'hidden_layer_sizes': (150, 75), 'learning_rate_init': 0.005,  'solver': 'sgd'}</v>
      </c>
      <c r="E412">
        <f>_xlfn.RANK.EQ(B412,B$2:$B$479,0)</f>
        <v>407</v>
      </c>
      <c r="H412" s="40" t="s">
        <v>522</v>
      </c>
      <c r="I412" s="31">
        <v>0.73783143939393903</v>
      </c>
    </row>
    <row r="413" spans="1:9" x14ac:dyDescent="0.2">
      <c r="A413" s="50" t="s">
        <v>525</v>
      </c>
      <c r="B413" s="63">
        <v>0.73783143939393903</v>
      </c>
      <c r="C413" s="50" t="s">
        <v>62</v>
      </c>
      <c r="D413" s="50" t="str">
        <f>SUBSTITUTE(SUBSTITUTE(SUBSTITUTE(A413, "'max_iter': 500,", ""), "'max_iter': 1000,", ""), "'max_iter': 1500,", "")</f>
        <v>{'activation': 'logistic', 'hidden_layer_sizes': (200, 100), 'learning_rate_init': 0.01,  'solver': 'adam'}</v>
      </c>
      <c r="E413">
        <f>_xlfn.RANK.EQ(B413,B$2:$B$479,0)</f>
        <v>407</v>
      </c>
      <c r="H413" s="40" t="s">
        <v>204</v>
      </c>
      <c r="I413" s="31">
        <v>0.73783143939393903</v>
      </c>
    </row>
    <row r="414" spans="1:9" x14ac:dyDescent="0.2">
      <c r="A414" s="50" t="s">
        <v>203</v>
      </c>
      <c r="B414" s="63">
        <v>0.73783143939393903</v>
      </c>
      <c r="C414" s="50" t="s">
        <v>62</v>
      </c>
      <c r="D414" s="50" t="str">
        <f>SUBSTITUTE(SUBSTITUTE(SUBSTITUTE(A414, "'max_iter': 500,", ""), "'max_iter': 1000,", ""), "'max_iter': 1500,", "")</f>
        <v>{'activation': 'logistic', 'hidden_layer_sizes': (200, 100), 'learning_rate_init': 0.01,  'solver': 'adam'}</v>
      </c>
      <c r="E414">
        <f>_xlfn.RANK.EQ(B414,B$2:$B$479,0)</f>
        <v>407</v>
      </c>
      <c r="H414" s="40" t="s">
        <v>523</v>
      </c>
      <c r="I414" s="31">
        <v>0.73783143939393903</v>
      </c>
    </row>
    <row r="415" spans="1:9" x14ac:dyDescent="0.2">
      <c r="A415" s="50" t="s">
        <v>524</v>
      </c>
      <c r="B415" s="63">
        <v>0.73783143939393903</v>
      </c>
      <c r="C415" s="50" t="s">
        <v>62</v>
      </c>
      <c r="D415" s="50" t="str">
        <f>SUBSTITUTE(SUBSTITUTE(SUBSTITUTE(A415, "'max_iter': 500,", ""), "'max_iter': 1000,", ""), "'max_iter': 1500,", "")</f>
        <v>{'activation': 'logistic', 'hidden_layer_sizes': (200, 100), 'learning_rate_init': 0.01,  'solver': 'adam'}</v>
      </c>
      <c r="E415">
        <f>_xlfn.RANK.EQ(B415,B$2:$B$479,0)</f>
        <v>407</v>
      </c>
      <c r="H415" s="40" t="s">
        <v>520</v>
      </c>
      <c r="I415" s="31">
        <v>0.73783143939393903</v>
      </c>
    </row>
    <row r="416" spans="1:9" x14ac:dyDescent="0.2">
      <c r="A416" s="50" t="s">
        <v>521</v>
      </c>
      <c r="B416" s="63">
        <v>0.73783143939393903</v>
      </c>
      <c r="C416" s="50" t="s">
        <v>62</v>
      </c>
      <c r="D416" s="50" t="str">
        <f>SUBSTITUTE(SUBSTITUTE(SUBSTITUTE(A416, "'max_iter': 500,", ""), "'max_iter': 1000,", ""), "'max_iter': 1500,", "")</f>
        <v>{'activation': 'relu', 'hidden_layer_sizes': 100, 'learning_rate_init': 0.001,  'solver': 'sgd'}</v>
      </c>
      <c r="E416">
        <f>_xlfn.RANK.EQ(B416,B$2:$B$479,0)</f>
        <v>407</v>
      </c>
      <c r="H416" s="40" t="s">
        <v>203</v>
      </c>
      <c r="I416" s="31">
        <v>0.73783143939393903</v>
      </c>
    </row>
    <row r="417" spans="1:9" x14ac:dyDescent="0.2">
      <c r="A417" s="50" t="s">
        <v>202</v>
      </c>
      <c r="B417" s="63">
        <v>0.73783143939393903</v>
      </c>
      <c r="C417" s="50" t="s">
        <v>62</v>
      </c>
      <c r="D417" s="50" t="str">
        <f>SUBSTITUTE(SUBSTITUTE(SUBSTITUTE(A417, "'max_iter': 500,", ""), "'max_iter': 1000,", ""), "'max_iter': 1500,", "")</f>
        <v>{'activation': 'relu', 'hidden_layer_sizes': 100, 'learning_rate_init': 0.001,  'solver': 'sgd'}</v>
      </c>
      <c r="E417">
        <f>_xlfn.RANK.EQ(B417,B$2:$B$479,0)</f>
        <v>407</v>
      </c>
      <c r="H417" s="40" t="s">
        <v>525</v>
      </c>
      <c r="I417" s="31">
        <v>0.73783143939393903</v>
      </c>
    </row>
    <row r="418" spans="1:9" x14ac:dyDescent="0.2">
      <c r="A418" s="50" t="s">
        <v>522</v>
      </c>
      <c r="B418" s="63">
        <v>0.73783143939393903</v>
      </c>
      <c r="C418" s="50" t="s">
        <v>62</v>
      </c>
      <c r="D418" s="50" t="str">
        <f>SUBSTITUTE(SUBSTITUTE(SUBSTITUTE(A418, "'max_iter': 500,", ""), "'max_iter': 1000,", ""), "'max_iter': 1500,", "")</f>
        <v>{'activation': 'relu', 'hidden_layer_sizes': 100, 'learning_rate_init': 0.001,  'solver': 'sgd'}</v>
      </c>
      <c r="E418">
        <f>_xlfn.RANK.EQ(B418,B$2:$B$479,0)</f>
        <v>407</v>
      </c>
      <c r="H418" s="40" t="s">
        <v>524</v>
      </c>
      <c r="I418" s="31">
        <v>0.73783143939393903</v>
      </c>
    </row>
    <row r="419" spans="1:9" x14ac:dyDescent="0.2">
      <c r="A419" s="50" t="s">
        <v>530</v>
      </c>
      <c r="B419" s="63">
        <v>0.73750000000000004</v>
      </c>
      <c r="C419" s="50" t="s">
        <v>62</v>
      </c>
      <c r="D419" s="50" t="str">
        <f>SUBSTITUTE(SUBSTITUTE(SUBSTITUTE(A419, "'max_iter': 500,", ""), "'max_iter': 1000,", ""), "'max_iter': 1500,", "")</f>
        <v>{'activation': 'logistic', 'hidden_layer_sizes': 150, 'learning_rate_init': 0.001,  'solver': 'adam'}</v>
      </c>
      <c r="E419">
        <f>_xlfn.RANK.EQ(B419,B$2:$B$479,0)</f>
        <v>418</v>
      </c>
      <c r="H419" s="40" t="s">
        <v>201</v>
      </c>
      <c r="I419" s="31">
        <v>0.73783143939393903</v>
      </c>
    </row>
    <row r="420" spans="1:9" x14ac:dyDescent="0.2">
      <c r="A420" s="50" t="s">
        <v>205</v>
      </c>
      <c r="B420" s="63">
        <v>0.73750000000000004</v>
      </c>
      <c r="C420" s="50" t="s">
        <v>62</v>
      </c>
      <c r="D420" s="50" t="str">
        <f>SUBSTITUTE(SUBSTITUTE(SUBSTITUTE(A420, "'max_iter': 500,", ""), "'max_iter': 1000,", ""), "'max_iter': 1500,", "")</f>
        <v>{'activation': 'logistic', 'hidden_layer_sizes': 150, 'learning_rate_init': 0.001,  'solver': 'adam'}</v>
      </c>
      <c r="E420">
        <f>_xlfn.RANK.EQ(B420,B$2:$B$479,0)</f>
        <v>418</v>
      </c>
      <c r="H420" s="40" t="s">
        <v>526</v>
      </c>
      <c r="I420" s="31">
        <v>0.73783143939393903</v>
      </c>
    </row>
    <row r="421" spans="1:9" x14ac:dyDescent="0.2">
      <c r="A421" s="50" t="s">
        <v>527</v>
      </c>
      <c r="B421" s="63">
        <v>0.73750000000000004</v>
      </c>
      <c r="C421" s="50" t="s">
        <v>62</v>
      </c>
      <c r="D421" s="50" t="str">
        <f>SUBSTITUTE(SUBSTITUTE(SUBSTITUTE(A421, "'max_iter': 500,", ""), "'max_iter': 1000,", ""), "'max_iter': 1500,", "")</f>
        <v>{'activation': 'logistic', 'hidden_layer_sizes': 150, 'learning_rate_init': 0.001,  'solver': 'adam'}</v>
      </c>
      <c r="E421">
        <f>_xlfn.RANK.EQ(B421,B$2:$B$479,0)</f>
        <v>418</v>
      </c>
      <c r="H421" s="40" t="s">
        <v>529</v>
      </c>
      <c r="I421" s="31">
        <v>0.73750000000000004</v>
      </c>
    </row>
    <row r="422" spans="1:9" x14ac:dyDescent="0.2">
      <c r="A422" s="50" t="s">
        <v>528</v>
      </c>
      <c r="B422" s="63">
        <v>0.73750000000000004</v>
      </c>
      <c r="C422" s="50" t="s">
        <v>62</v>
      </c>
      <c r="D422" s="50" t="str">
        <f>SUBSTITUTE(SUBSTITUTE(SUBSTITUTE(A422, "'max_iter': 500,", ""), "'max_iter': 1000,", ""), "'max_iter': 1500,", "")</f>
        <v>{'activation': 'tanh', 'hidden_layer_sizes': 150, 'learning_rate_init': 0.001,  'solver': 'adam'}</v>
      </c>
      <c r="E422">
        <f>_xlfn.RANK.EQ(B422,B$2:$B$479,0)</f>
        <v>418</v>
      </c>
      <c r="H422" s="40" t="s">
        <v>528</v>
      </c>
      <c r="I422" s="31">
        <v>0.73750000000000004</v>
      </c>
    </row>
    <row r="423" spans="1:9" x14ac:dyDescent="0.2">
      <c r="A423" s="50" t="s">
        <v>206</v>
      </c>
      <c r="B423" s="63">
        <v>0.73750000000000004</v>
      </c>
      <c r="C423" s="50" t="s">
        <v>62</v>
      </c>
      <c r="D423" s="50" t="str">
        <f>SUBSTITUTE(SUBSTITUTE(SUBSTITUTE(A423, "'max_iter': 500,", ""), "'max_iter': 1000,", ""), "'max_iter': 1500,", "")</f>
        <v>{'activation': 'tanh', 'hidden_layer_sizes': 150, 'learning_rate_init': 0.001,  'solver': 'adam'}</v>
      </c>
      <c r="E423">
        <f>_xlfn.RANK.EQ(B423,B$2:$B$479,0)</f>
        <v>418</v>
      </c>
      <c r="H423" s="40" t="s">
        <v>206</v>
      </c>
      <c r="I423" s="31">
        <v>0.73750000000000004</v>
      </c>
    </row>
    <row r="424" spans="1:9" x14ac:dyDescent="0.2">
      <c r="A424" s="50" t="s">
        <v>529</v>
      </c>
      <c r="B424" s="63">
        <v>0.73750000000000004</v>
      </c>
      <c r="C424" s="50" t="s">
        <v>62</v>
      </c>
      <c r="D424" s="50" t="str">
        <f>SUBSTITUTE(SUBSTITUTE(SUBSTITUTE(A424, "'max_iter': 500,", ""), "'max_iter': 1000,", ""), "'max_iter': 1500,", "")</f>
        <v>{'activation': 'tanh', 'hidden_layer_sizes': 150, 'learning_rate_init': 0.001,  'solver': 'adam'}</v>
      </c>
      <c r="E424">
        <f>_xlfn.RANK.EQ(B424,B$2:$B$479,0)</f>
        <v>418</v>
      </c>
      <c r="H424" s="40" t="s">
        <v>205</v>
      </c>
      <c r="I424" s="31">
        <v>0.73750000000000004</v>
      </c>
    </row>
    <row r="425" spans="1:9" x14ac:dyDescent="0.2">
      <c r="A425" s="50" t="s">
        <v>531</v>
      </c>
      <c r="B425" s="63">
        <v>0.73708333333333298</v>
      </c>
      <c r="C425" s="50" t="s">
        <v>62</v>
      </c>
      <c r="D425" s="50" t="str">
        <f>SUBSTITUTE(SUBSTITUTE(SUBSTITUTE(A425, "'max_iter': 500,", ""), "'max_iter': 1000,", ""), "'max_iter': 1500,", "")</f>
        <v>{'activation': 'identity', 'hidden_layer_sizes': (150, 75), 'learning_rate_init': 0.01,  'solver': 'sgd'}</v>
      </c>
      <c r="E425">
        <f>_xlfn.RANK.EQ(B425,B$2:$B$479,0)</f>
        <v>424</v>
      </c>
      <c r="H425" s="40" t="s">
        <v>527</v>
      </c>
      <c r="I425" s="31">
        <v>0.73750000000000004</v>
      </c>
    </row>
    <row r="426" spans="1:9" x14ac:dyDescent="0.2">
      <c r="A426" s="50" t="s">
        <v>209</v>
      </c>
      <c r="B426" s="63">
        <v>0.73708333333333298</v>
      </c>
      <c r="C426" s="50" t="s">
        <v>62</v>
      </c>
      <c r="D426" s="50" t="str">
        <f>SUBSTITUTE(SUBSTITUTE(SUBSTITUTE(A426, "'max_iter': 500,", ""), "'max_iter': 1000,", ""), "'max_iter': 1500,", "")</f>
        <v>{'activation': 'identity', 'hidden_layer_sizes': (150, 75), 'learning_rate_init': 0.01,  'solver': 'sgd'}</v>
      </c>
      <c r="E426">
        <f>_xlfn.RANK.EQ(B426,B$2:$B$479,0)</f>
        <v>424</v>
      </c>
      <c r="H426" s="40" t="s">
        <v>530</v>
      </c>
      <c r="I426" s="31">
        <v>0.73750000000000004</v>
      </c>
    </row>
    <row r="427" spans="1:9" x14ac:dyDescent="0.2">
      <c r="A427" s="50" t="s">
        <v>535</v>
      </c>
      <c r="B427" s="63">
        <v>0.73708333333333298</v>
      </c>
      <c r="C427" s="50" t="s">
        <v>62</v>
      </c>
      <c r="D427" s="50" t="str">
        <f>SUBSTITUTE(SUBSTITUTE(SUBSTITUTE(A427, "'max_iter': 500,", ""), "'max_iter': 1000,", ""), "'max_iter': 1500,", "")</f>
        <v>{'activation': 'identity', 'hidden_layer_sizes': (150, 75), 'learning_rate_init': 0.01,  'solver': 'sgd'}</v>
      </c>
      <c r="E427">
        <f>_xlfn.RANK.EQ(B427,B$2:$B$479,0)</f>
        <v>424</v>
      </c>
      <c r="H427" s="40" t="s">
        <v>208</v>
      </c>
      <c r="I427" s="31">
        <v>0.73708333333333298</v>
      </c>
    </row>
    <row r="428" spans="1:9" x14ac:dyDescent="0.2">
      <c r="A428" s="50" t="s">
        <v>533</v>
      </c>
      <c r="B428" s="63">
        <v>0.73708333333333298</v>
      </c>
      <c r="C428" s="50" t="s">
        <v>62</v>
      </c>
      <c r="D428" s="50" t="str">
        <f>SUBSTITUTE(SUBSTITUTE(SUBSTITUTE(A428, "'max_iter': 500,", ""), "'max_iter': 1000,", ""), "'max_iter': 1500,", "")</f>
        <v>{'activation': 'logistic', 'hidden_layer_sizes': (200, 75, 25), 'learning_rate_init': 0.001,  'solver': 'adam'}</v>
      </c>
      <c r="E428">
        <f>_xlfn.RANK.EQ(B428,B$2:$B$479,0)</f>
        <v>424</v>
      </c>
      <c r="H428" s="40" t="s">
        <v>534</v>
      </c>
      <c r="I428" s="31">
        <v>0.73708333333333298</v>
      </c>
    </row>
    <row r="429" spans="1:9" x14ac:dyDescent="0.2">
      <c r="A429" s="50" t="s">
        <v>207</v>
      </c>
      <c r="B429" s="63">
        <v>0.73708333333333298</v>
      </c>
      <c r="C429" s="50" t="s">
        <v>62</v>
      </c>
      <c r="D429" s="50" t="str">
        <f>SUBSTITUTE(SUBSTITUTE(SUBSTITUTE(A429, "'max_iter': 500,", ""), "'max_iter': 1000,", ""), "'max_iter': 1500,", "")</f>
        <v>{'activation': 'logistic', 'hidden_layer_sizes': (200, 75, 25), 'learning_rate_init': 0.001,  'solver': 'adam'}</v>
      </c>
      <c r="E429">
        <f>_xlfn.RANK.EQ(B429,B$2:$B$479,0)</f>
        <v>424</v>
      </c>
      <c r="H429" s="40" t="s">
        <v>207</v>
      </c>
      <c r="I429" s="31">
        <v>0.73708333333333298</v>
      </c>
    </row>
    <row r="430" spans="1:9" x14ac:dyDescent="0.2">
      <c r="A430" s="50" t="s">
        <v>532</v>
      </c>
      <c r="B430" s="63">
        <v>0.73708333333333298</v>
      </c>
      <c r="C430" s="50" t="s">
        <v>62</v>
      </c>
      <c r="D430" s="50" t="str">
        <f>SUBSTITUTE(SUBSTITUTE(SUBSTITUTE(A430, "'max_iter': 500,", ""), "'max_iter': 1000,", ""), "'max_iter': 1500,", "")</f>
        <v>{'activation': 'logistic', 'hidden_layer_sizes': (200, 75, 25), 'learning_rate_init': 0.001,  'solver': 'adam'}</v>
      </c>
      <c r="E430">
        <f>_xlfn.RANK.EQ(B430,B$2:$B$479,0)</f>
        <v>424</v>
      </c>
      <c r="H430" s="40" t="s">
        <v>532</v>
      </c>
      <c r="I430" s="31">
        <v>0.73708333333333298</v>
      </c>
    </row>
    <row r="431" spans="1:9" x14ac:dyDescent="0.2">
      <c r="A431" s="50" t="s">
        <v>534</v>
      </c>
      <c r="B431" s="63">
        <v>0.73708333333333298</v>
      </c>
      <c r="C431" s="50" t="s">
        <v>62</v>
      </c>
      <c r="D431" s="50" t="str">
        <f>SUBSTITUTE(SUBSTITUTE(SUBSTITUTE(A431, "'max_iter': 500,", ""), "'max_iter': 1000,", ""), "'max_iter': 1500,", "")</f>
        <v>{'activation': 'tanh', 'hidden_layer_sizes': 50, 'learning_rate_init': 0.001,  'solver': 'sgd'}</v>
      </c>
      <c r="E431">
        <f>_xlfn.RANK.EQ(B431,B$2:$B$479,0)</f>
        <v>424</v>
      </c>
      <c r="H431" s="40" t="s">
        <v>535</v>
      </c>
      <c r="I431" s="31">
        <v>0.73708333333333298</v>
      </c>
    </row>
    <row r="432" spans="1:9" x14ac:dyDescent="0.2">
      <c r="A432" s="50" t="s">
        <v>208</v>
      </c>
      <c r="B432" s="63">
        <v>0.73708333333333298</v>
      </c>
      <c r="C432" s="50" t="s">
        <v>62</v>
      </c>
      <c r="D432" s="50" t="str">
        <f>SUBSTITUTE(SUBSTITUTE(SUBSTITUTE(A432, "'max_iter': 500,", ""), "'max_iter': 1000,", ""), "'max_iter': 1500,", "")</f>
        <v>{'activation': 'tanh', 'hidden_layer_sizes': 50, 'learning_rate_init': 0.001,  'solver': 'sgd'}</v>
      </c>
      <c r="E432">
        <f>_xlfn.RANK.EQ(B432,B$2:$B$479,0)</f>
        <v>424</v>
      </c>
      <c r="H432" s="40" t="s">
        <v>533</v>
      </c>
      <c r="I432" s="31">
        <v>0.73708333333333298</v>
      </c>
    </row>
    <row r="433" spans="1:9" x14ac:dyDescent="0.2">
      <c r="A433" s="50" t="s">
        <v>537</v>
      </c>
      <c r="B433" s="63">
        <v>0.73172660098522102</v>
      </c>
      <c r="C433" s="50" t="s">
        <v>62</v>
      </c>
      <c r="D433" s="50" t="str">
        <f>SUBSTITUTE(SUBSTITUTE(SUBSTITUTE(A433, "'max_iter': 500,", ""), "'max_iter': 1000,", ""), "'max_iter': 1500,", "")</f>
        <v>{'activation': 'logistic', 'hidden_layer_sizes': (200, 100), 'learning_rate_init': 0.005,  'solver': 'adam'}</v>
      </c>
      <c r="E433">
        <f>_xlfn.RANK.EQ(B433,B$2:$B$479,0)</f>
        <v>432</v>
      </c>
      <c r="H433" s="40" t="s">
        <v>209</v>
      </c>
      <c r="I433" s="31">
        <v>0.73708333333333298</v>
      </c>
    </row>
    <row r="434" spans="1:9" x14ac:dyDescent="0.2">
      <c r="A434" s="50" t="s">
        <v>210</v>
      </c>
      <c r="B434" s="63">
        <v>0.73172660098522102</v>
      </c>
      <c r="C434" s="50" t="s">
        <v>62</v>
      </c>
      <c r="D434" s="50" t="str">
        <f>SUBSTITUTE(SUBSTITUTE(SUBSTITUTE(A434, "'max_iter': 500,", ""), "'max_iter': 1000,", ""), "'max_iter': 1500,", "")</f>
        <v>{'activation': 'logistic', 'hidden_layer_sizes': (200, 100), 'learning_rate_init': 0.005,  'solver': 'adam'}</v>
      </c>
      <c r="E434">
        <f>_xlfn.RANK.EQ(B434,B$2:$B$479,0)</f>
        <v>432</v>
      </c>
      <c r="H434" s="40" t="s">
        <v>531</v>
      </c>
      <c r="I434" s="31">
        <v>0.73708333333333298</v>
      </c>
    </row>
    <row r="435" spans="1:9" x14ac:dyDescent="0.2">
      <c r="A435" s="50" t="s">
        <v>536</v>
      </c>
      <c r="B435" s="63">
        <v>0.73172660098522102</v>
      </c>
      <c r="C435" s="50" t="s">
        <v>62</v>
      </c>
      <c r="D435" s="50" t="str">
        <f>SUBSTITUTE(SUBSTITUTE(SUBSTITUTE(A435, "'max_iter': 500,", ""), "'max_iter': 1000,", ""), "'max_iter': 1500,", "")</f>
        <v>{'activation': 'logistic', 'hidden_layer_sizes': (200, 100), 'learning_rate_init': 0.005,  'solver': 'adam'}</v>
      </c>
      <c r="E435">
        <f>_xlfn.RANK.EQ(B435,B$2:$B$479,0)</f>
        <v>432</v>
      </c>
      <c r="H435" s="40" t="s">
        <v>210</v>
      </c>
      <c r="I435" s="31">
        <v>0.73172660098522102</v>
      </c>
    </row>
    <row r="436" spans="1:9" x14ac:dyDescent="0.2">
      <c r="A436" s="50" t="s">
        <v>544</v>
      </c>
      <c r="B436" s="63">
        <v>0.73143050452372405</v>
      </c>
      <c r="C436" s="50" t="s">
        <v>62</v>
      </c>
      <c r="D436" s="50" t="str">
        <f>SUBSTITUTE(SUBSTITUTE(SUBSTITUTE(A436, "'max_iter': 500,", ""), "'max_iter': 1000,", ""), "'max_iter': 1500,", "")</f>
        <v>{'activation': 'identity', 'hidden_layer_sizes': (100, 50), 'learning_rate_init': 0.001,  'solver': 'adam'}</v>
      </c>
      <c r="E436">
        <f>_xlfn.RANK.EQ(B436,B$2:$B$479,0)</f>
        <v>435</v>
      </c>
      <c r="H436" s="40" t="s">
        <v>537</v>
      </c>
      <c r="I436" s="31">
        <v>0.73172660098522102</v>
      </c>
    </row>
    <row r="437" spans="1:9" x14ac:dyDescent="0.2">
      <c r="A437" s="50" t="s">
        <v>214</v>
      </c>
      <c r="B437" s="63">
        <v>0.73143050452372405</v>
      </c>
      <c r="C437" s="50" t="s">
        <v>62</v>
      </c>
      <c r="D437" s="50" t="str">
        <f>SUBSTITUTE(SUBSTITUTE(SUBSTITUTE(A437, "'max_iter': 500,", ""), "'max_iter': 1000,", ""), "'max_iter': 1500,", "")</f>
        <v>{'activation': 'identity', 'hidden_layer_sizes': (100, 50), 'learning_rate_init': 0.001,  'solver': 'adam'}</v>
      </c>
      <c r="E437">
        <f>_xlfn.RANK.EQ(B437,B$2:$B$479,0)</f>
        <v>435</v>
      </c>
      <c r="H437" s="40" t="s">
        <v>536</v>
      </c>
      <c r="I437" s="31">
        <v>0.73172660098522102</v>
      </c>
    </row>
    <row r="438" spans="1:9" x14ac:dyDescent="0.2">
      <c r="A438" s="50" t="s">
        <v>543</v>
      </c>
      <c r="B438" s="63">
        <v>0.73143050452372405</v>
      </c>
      <c r="C438" s="50" t="s">
        <v>62</v>
      </c>
      <c r="D438" s="50" t="str">
        <f>SUBSTITUTE(SUBSTITUTE(SUBSTITUTE(A438, "'max_iter': 500,", ""), "'max_iter': 1000,", ""), "'max_iter': 1500,", "")</f>
        <v>{'activation': 'identity', 'hidden_layer_sizes': (100, 50), 'learning_rate_init': 0.001,  'solver': 'adam'}</v>
      </c>
      <c r="E438">
        <f>_xlfn.RANK.EQ(B438,B$2:$B$479,0)</f>
        <v>435</v>
      </c>
      <c r="H438" s="40" t="s">
        <v>539</v>
      </c>
      <c r="I438" s="31">
        <v>0.73143050452372405</v>
      </c>
    </row>
    <row r="439" spans="1:9" x14ac:dyDescent="0.2">
      <c r="A439" s="50" t="s">
        <v>542</v>
      </c>
      <c r="B439" s="63">
        <v>0.73143050452372405</v>
      </c>
      <c r="C439" s="50" t="s">
        <v>62</v>
      </c>
      <c r="D439" s="50" t="str">
        <f>SUBSTITUTE(SUBSTITUTE(SUBSTITUTE(A439, "'max_iter': 500,", ""), "'max_iter': 1000,", ""), "'max_iter': 1500,", "")</f>
        <v>{'activation': 'logistic', 'hidden_layer_sizes': (150, 75), 'learning_rate_init': 0.01,  'solver': 'sgd'}</v>
      </c>
      <c r="E439">
        <f>_xlfn.RANK.EQ(B439,B$2:$B$479,0)</f>
        <v>435</v>
      </c>
      <c r="H439" s="40" t="s">
        <v>211</v>
      </c>
      <c r="I439" s="31">
        <v>0.73143050452372405</v>
      </c>
    </row>
    <row r="440" spans="1:9" x14ac:dyDescent="0.2">
      <c r="A440" s="50" t="s">
        <v>212</v>
      </c>
      <c r="B440" s="63">
        <v>0.73143050452372405</v>
      </c>
      <c r="C440" s="50" t="s">
        <v>62</v>
      </c>
      <c r="D440" s="50" t="str">
        <f>SUBSTITUTE(SUBSTITUTE(SUBSTITUTE(A440, "'max_iter': 500,", ""), "'max_iter': 1000,", ""), "'max_iter': 1500,", "")</f>
        <v>{'activation': 'logistic', 'hidden_layer_sizes': (150, 75), 'learning_rate_init': 0.01,  'solver': 'sgd'}</v>
      </c>
      <c r="E440">
        <f>_xlfn.RANK.EQ(B440,B$2:$B$479,0)</f>
        <v>435</v>
      </c>
      <c r="H440" s="40" t="s">
        <v>213</v>
      </c>
      <c r="I440" s="31">
        <v>0.73143050452372405</v>
      </c>
    </row>
    <row r="441" spans="1:9" x14ac:dyDescent="0.2">
      <c r="A441" s="50" t="s">
        <v>541</v>
      </c>
      <c r="B441" s="63">
        <v>0.73143050452372405</v>
      </c>
      <c r="C441" s="50" t="s">
        <v>62</v>
      </c>
      <c r="D441" s="50" t="str">
        <f>SUBSTITUTE(SUBSTITUTE(SUBSTITUTE(A441, "'max_iter': 500,", ""), "'max_iter': 1000,", ""), "'max_iter': 1500,", "")</f>
        <v>{'activation': 'logistic', 'hidden_layer_sizes': (150, 75), 'learning_rate_init': 0.01,  'solver': 'sgd'}</v>
      </c>
      <c r="E441">
        <f>_xlfn.RANK.EQ(B441,B$2:$B$479,0)</f>
        <v>435</v>
      </c>
      <c r="H441" s="40" t="s">
        <v>545</v>
      </c>
      <c r="I441" s="31">
        <v>0.73143050452372405</v>
      </c>
    </row>
    <row r="442" spans="1:9" x14ac:dyDescent="0.2">
      <c r="A442" s="50" t="s">
        <v>540</v>
      </c>
      <c r="B442" s="63">
        <v>0.73143050452372405</v>
      </c>
      <c r="C442" s="50" t="s">
        <v>62</v>
      </c>
      <c r="D442" s="50" t="str">
        <f>SUBSTITUTE(SUBSTITUTE(SUBSTITUTE(A442, "'max_iter': 500,", ""), "'max_iter': 1000,", ""), "'max_iter': 1500,", "")</f>
        <v>{'activation': 'relu', 'hidden_layer_sizes': 100, 'learning_rate_init': 0.005,  'solver': 'adam'}</v>
      </c>
      <c r="E442">
        <f>_xlfn.RANK.EQ(B442,B$2:$B$479,0)</f>
        <v>435</v>
      </c>
      <c r="H442" s="40" t="s">
        <v>540</v>
      </c>
      <c r="I442" s="31">
        <v>0.73143050452372405</v>
      </c>
    </row>
    <row r="443" spans="1:9" x14ac:dyDescent="0.2">
      <c r="A443" s="50" t="s">
        <v>213</v>
      </c>
      <c r="B443" s="63">
        <v>0.73143050452372405</v>
      </c>
      <c r="C443" s="50" t="s">
        <v>62</v>
      </c>
      <c r="D443" s="50" t="str">
        <f>SUBSTITUTE(SUBSTITUTE(SUBSTITUTE(A443, "'max_iter': 500,", ""), "'max_iter': 1000,", ""), "'max_iter': 1500,", "")</f>
        <v>{'activation': 'relu', 'hidden_layer_sizes': 100, 'learning_rate_init': 0.005,  'solver': 'adam'}</v>
      </c>
      <c r="E443">
        <f>_xlfn.RANK.EQ(B443,B$2:$B$479,0)</f>
        <v>435</v>
      </c>
      <c r="H443" s="40" t="s">
        <v>538</v>
      </c>
      <c r="I443" s="31">
        <v>0.73143050452372405</v>
      </c>
    </row>
    <row r="444" spans="1:9" x14ac:dyDescent="0.2">
      <c r="A444" s="50" t="s">
        <v>545</v>
      </c>
      <c r="B444" s="63">
        <v>0.73143050452372405</v>
      </c>
      <c r="C444" s="50" t="s">
        <v>62</v>
      </c>
      <c r="D444" s="50" t="str">
        <f>SUBSTITUTE(SUBSTITUTE(SUBSTITUTE(A444, "'max_iter': 500,", ""), "'max_iter': 1000,", ""), "'max_iter': 1500,", "")</f>
        <v>{'activation': 'relu', 'hidden_layer_sizes': 100, 'learning_rate_init': 0.005,  'solver': 'adam'}</v>
      </c>
      <c r="E444">
        <f>_xlfn.RANK.EQ(B444,B$2:$B$479,0)</f>
        <v>435</v>
      </c>
      <c r="H444" s="40" t="s">
        <v>544</v>
      </c>
      <c r="I444" s="31">
        <v>0.73143050452372405</v>
      </c>
    </row>
    <row r="445" spans="1:9" x14ac:dyDescent="0.2">
      <c r="A445" s="50" t="s">
        <v>538</v>
      </c>
      <c r="B445" s="63">
        <v>0.73143050452372405</v>
      </c>
      <c r="C445" s="50" t="s">
        <v>62</v>
      </c>
      <c r="D445" s="50" t="str">
        <f>SUBSTITUTE(SUBSTITUTE(SUBSTITUTE(A445, "'max_iter': 500,", ""), "'max_iter': 1000,", ""), "'max_iter': 1500,", "")</f>
        <v>{'activation': 'tanh', 'hidden_layer_sizes': 150, 'learning_rate_init': 0.01,  'solver': 'adam'}</v>
      </c>
      <c r="E445">
        <f>_xlfn.RANK.EQ(B445,B$2:$B$479,0)</f>
        <v>435</v>
      </c>
      <c r="H445" s="40" t="s">
        <v>214</v>
      </c>
      <c r="I445" s="31">
        <v>0.73143050452372405</v>
      </c>
    </row>
    <row r="446" spans="1:9" x14ac:dyDescent="0.2">
      <c r="A446" s="50" t="s">
        <v>211</v>
      </c>
      <c r="B446" s="63">
        <v>0.73143050452372405</v>
      </c>
      <c r="C446" s="50" t="s">
        <v>62</v>
      </c>
      <c r="D446" s="50" t="str">
        <f>SUBSTITUTE(SUBSTITUTE(SUBSTITUTE(A446, "'max_iter': 500,", ""), "'max_iter': 1000,", ""), "'max_iter': 1500,", "")</f>
        <v>{'activation': 'tanh', 'hidden_layer_sizes': 150, 'learning_rate_init': 0.01,  'solver': 'adam'}</v>
      </c>
      <c r="E446">
        <f>_xlfn.RANK.EQ(B446,B$2:$B$479,0)</f>
        <v>435</v>
      </c>
      <c r="H446" s="40" t="s">
        <v>212</v>
      </c>
      <c r="I446" s="31">
        <v>0.73143050452372405</v>
      </c>
    </row>
    <row r="447" spans="1:9" x14ac:dyDescent="0.2">
      <c r="A447" s="50" t="s">
        <v>539</v>
      </c>
      <c r="B447" s="63">
        <v>0.73143050452372405</v>
      </c>
      <c r="C447" s="50" t="s">
        <v>62</v>
      </c>
      <c r="D447" s="50" t="str">
        <f>SUBSTITUTE(SUBSTITUTE(SUBSTITUTE(A447, "'max_iter': 500,", ""), "'max_iter': 1000,", ""), "'max_iter': 1500,", "")</f>
        <v>{'activation': 'tanh', 'hidden_layer_sizes': 150, 'learning_rate_init': 0.01,  'solver': 'adam'}</v>
      </c>
      <c r="E447">
        <f>_xlfn.RANK.EQ(B447,B$2:$B$479,0)</f>
        <v>435</v>
      </c>
      <c r="H447" s="40" t="s">
        <v>543</v>
      </c>
      <c r="I447" s="31">
        <v>0.73143050452372405</v>
      </c>
    </row>
    <row r="448" spans="1:9" x14ac:dyDescent="0.2">
      <c r="A448" s="50" t="s">
        <v>546</v>
      </c>
      <c r="B448" s="63">
        <v>0.73104768413962495</v>
      </c>
      <c r="C448" s="50" t="s">
        <v>62</v>
      </c>
      <c r="D448" s="50" t="str">
        <f>SUBSTITUTE(SUBSTITUTE(SUBSTITUTE(A448, "'max_iter': 500,", ""), "'max_iter': 1000,", ""), "'max_iter': 1500,", "")</f>
        <v>{'activation': 'logistic', 'hidden_layer_sizes': (150, 75), 'learning_rate_init': 0.01,  'solver': 'adam'}</v>
      </c>
      <c r="E448">
        <f>_xlfn.RANK.EQ(B448,B$2:$B$479,0)</f>
        <v>447</v>
      </c>
      <c r="H448" s="40" t="s">
        <v>541</v>
      </c>
      <c r="I448" s="31">
        <v>0.73143050452372405</v>
      </c>
    </row>
    <row r="449" spans="1:9" x14ac:dyDescent="0.2">
      <c r="A449" s="50" t="s">
        <v>215</v>
      </c>
      <c r="B449" s="63">
        <v>0.73104768413962495</v>
      </c>
      <c r="C449" s="50" t="s">
        <v>62</v>
      </c>
      <c r="D449" s="50" t="str">
        <f>SUBSTITUTE(SUBSTITUTE(SUBSTITUTE(A449, "'max_iter': 500,", ""), "'max_iter': 1000,", ""), "'max_iter': 1500,", "")</f>
        <v>{'activation': 'logistic', 'hidden_layer_sizes': (150, 75), 'learning_rate_init': 0.01,  'solver': 'adam'}</v>
      </c>
      <c r="E449">
        <f>_xlfn.RANK.EQ(B449,B$2:$B$479,0)</f>
        <v>447</v>
      </c>
      <c r="H449" s="40" t="s">
        <v>542</v>
      </c>
      <c r="I449" s="31">
        <v>0.73143050452372405</v>
      </c>
    </row>
    <row r="450" spans="1:9" x14ac:dyDescent="0.2">
      <c r="A450" s="50" t="s">
        <v>547</v>
      </c>
      <c r="B450" s="63">
        <v>0.73104768413962495</v>
      </c>
      <c r="C450" s="50" t="s">
        <v>62</v>
      </c>
      <c r="D450" s="50" t="str">
        <f>SUBSTITUTE(SUBSTITUTE(SUBSTITUTE(A450, "'max_iter': 500,", ""), "'max_iter': 1000,", ""), "'max_iter': 1500,", "")</f>
        <v>{'activation': 'logistic', 'hidden_layer_sizes': (150, 75), 'learning_rate_init': 0.01,  'solver': 'adam'}</v>
      </c>
      <c r="E450">
        <f>_xlfn.RANK.EQ(B450,B$2:$B$479,0)</f>
        <v>447</v>
      </c>
      <c r="H450" s="40" t="s">
        <v>547</v>
      </c>
      <c r="I450" s="31">
        <v>0.73104768413962495</v>
      </c>
    </row>
    <row r="451" spans="1:9" x14ac:dyDescent="0.2">
      <c r="A451" s="50" t="s">
        <v>550</v>
      </c>
      <c r="B451" s="63">
        <v>0.73057703008863595</v>
      </c>
      <c r="C451" s="50" t="s">
        <v>62</v>
      </c>
      <c r="D451" s="50" t="str">
        <f>SUBSTITUTE(SUBSTITUTE(SUBSTITUTE(A451, "'max_iter': 500,", ""), "'max_iter': 1000,", ""), "'max_iter': 1500,", "")</f>
        <v>{'activation': 'relu', 'hidden_layer_sizes': (100, 50), 'learning_rate_init': 0.005,  'solver': 'adam'}</v>
      </c>
      <c r="E451">
        <f>_xlfn.RANK.EQ(B451,B$2:$B$479,0)</f>
        <v>450</v>
      </c>
      <c r="H451" s="40" t="s">
        <v>546</v>
      </c>
      <c r="I451" s="31">
        <v>0.73104768413962495</v>
      </c>
    </row>
    <row r="452" spans="1:9" x14ac:dyDescent="0.2">
      <c r="A452" s="50" t="s">
        <v>216</v>
      </c>
      <c r="B452" s="63">
        <v>0.73057703008863595</v>
      </c>
      <c r="C452" s="50" t="s">
        <v>62</v>
      </c>
      <c r="D452" s="50" t="str">
        <f>SUBSTITUTE(SUBSTITUTE(SUBSTITUTE(A452, "'max_iter': 500,", ""), "'max_iter': 1000,", ""), "'max_iter': 1500,", "")</f>
        <v>{'activation': 'relu', 'hidden_layer_sizes': (100, 50), 'learning_rate_init': 0.005,  'solver': 'adam'}</v>
      </c>
      <c r="E452">
        <f>_xlfn.RANK.EQ(B452,B$2:$B$479,0)</f>
        <v>450</v>
      </c>
      <c r="H452" s="40" t="s">
        <v>215</v>
      </c>
      <c r="I452" s="31">
        <v>0.73104768413962495</v>
      </c>
    </row>
    <row r="453" spans="1:9" x14ac:dyDescent="0.2">
      <c r="A453" s="50" t="s">
        <v>551</v>
      </c>
      <c r="B453" s="63">
        <v>0.73057703008863595</v>
      </c>
      <c r="C453" s="50" t="s">
        <v>62</v>
      </c>
      <c r="D453" s="50" t="str">
        <f>SUBSTITUTE(SUBSTITUTE(SUBSTITUTE(A453, "'max_iter': 500,", ""), "'max_iter': 1000,", ""), "'max_iter': 1500,", "")</f>
        <v>{'activation': 'relu', 'hidden_layer_sizes': (100, 50), 'learning_rate_init': 0.005,  'solver': 'adam'}</v>
      </c>
      <c r="E453">
        <f>_xlfn.RANK.EQ(B453,B$2:$B$479,0)</f>
        <v>450</v>
      </c>
      <c r="H453" s="40" t="s">
        <v>549</v>
      </c>
      <c r="I453" s="31">
        <v>0.73057703008863595</v>
      </c>
    </row>
    <row r="454" spans="1:9" x14ac:dyDescent="0.2">
      <c r="A454" s="50" t="s">
        <v>549</v>
      </c>
      <c r="B454" s="63">
        <v>0.73057703008863595</v>
      </c>
      <c r="C454" s="50" t="s">
        <v>62</v>
      </c>
      <c r="D454" s="50" t="str">
        <f>SUBSTITUTE(SUBSTITUTE(SUBSTITUTE(A454, "'max_iter': 500,", ""), "'max_iter': 1000,", ""), "'max_iter': 1500,", "")</f>
        <v>{'activation': 'relu', 'hidden_layer_sizes': (150, 75), 'learning_rate_init': 0.001,  'solver': 'sgd'}</v>
      </c>
      <c r="E454">
        <f>_xlfn.RANK.EQ(B454,B$2:$B$479,0)</f>
        <v>450</v>
      </c>
      <c r="H454" s="40" t="s">
        <v>217</v>
      </c>
      <c r="I454" s="31">
        <v>0.73057703008863595</v>
      </c>
    </row>
    <row r="455" spans="1:9" x14ac:dyDescent="0.2">
      <c r="A455" s="50" t="s">
        <v>217</v>
      </c>
      <c r="B455" s="63">
        <v>0.73057703008863595</v>
      </c>
      <c r="C455" s="50" t="s">
        <v>62</v>
      </c>
      <c r="D455" s="50" t="str">
        <f>SUBSTITUTE(SUBSTITUTE(SUBSTITUTE(A455, "'max_iter': 500,", ""), "'max_iter': 1000,", ""), "'max_iter': 1500,", "")</f>
        <v>{'activation': 'relu', 'hidden_layer_sizes': (150, 75), 'learning_rate_init': 0.001,  'solver': 'sgd'}</v>
      </c>
      <c r="E455">
        <f>_xlfn.RANK.EQ(B455,B$2:$B$479,0)</f>
        <v>450</v>
      </c>
      <c r="H455" s="40" t="s">
        <v>551</v>
      </c>
      <c r="I455" s="31">
        <v>0.73057703008863595</v>
      </c>
    </row>
    <row r="456" spans="1:9" x14ac:dyDescent="0.2">
      <c r="A456" s="50" t="s">
        <v>548</v>
      </c>
      <c r="B456" s="63">
        <v>0.73057703008863595</v>
      </c>
      <c r="C456" s="50" t="s">
        <v>62</v>
      </c>
      <c r="D456" s="50" t="str">
        <f>SUBSTITUTE(SUBSTITUTE(SUBSTITUTE(A456, "'max_iter': 500,", ""), "'max_iter': 1000,", ""), "'max_iter': 1500,", "")</f>
        <v>{'activation': 'relu', 'hidden_layer_sizes': (150, 75), 'learning_rate_init': 0.001,  'solver': 'sgd'}</v>
      </c>
      <c r="E456">
        <f>_xlfn.RANK.EQ(B456,B$2:$B$479,0)</f>
        <v>450</v>
      </c>
      <c r="H456" s="40" t="s">
        <v>216</v>
      </c>
      <c r="I456" s="31">
        <v>0.73057703008863595</v>
      </c>
    </row>
    <row r="457" spans="1:9" x14ac:dyDescent="0.2">
      <c r="A457" s="50" t="s">
        <v>552</v>
      </c>
      <c r="B457" s="63">
        <v>0.72586274509803905</v>
      </c>
      <c r="C457" s="50" t="s">
        <v>62</v>
      </c>
      <c r="D457" s="50" t="str">
        <f>SUBSTITUTE(SUBSTITUTE(SUBSTITUTE(A457, "'max_iter': 500,", ""), "'max_iter': 1000,", ""), "'max_iter': 1500,", "")</f>
        <v>{'activation': 'identity', 'hidden_layer_sizes': (200, 75, 25), 'learning_rate_init': 0.005,  'solver': 'adam'}</v>
      </c>
      <c r="E457">
        <f>_xlfn.RANK.EQ(B457,B$2:$B$479,0)</f>
        <v>456</v>
      </c>
      <c r="H457" s="40" t="s">
        <v>548</v>
      </c>
      <c r="I457" s="31">
        <v>0.73057703008863595</v>
      </c>
    </row>
    <row r="458" spans="1:9" x14ac:dyDescent="0.2">
      <c r="A458" s="50" t="s">
        <v>218</v>
      </c>
      <c r="B458" s="63">
        <v>0.72586274509803905</v>
      </c>
      <c r="C458" s="50" t="s">
        <v>62</v>
      </c>
      <c r="D458" s="50" t="str">
        <f>SUBSTITUTE(SUBSTITUTE(SUBSTITUTE(A458, "'max_iter': 500,", ""), "'max_iter': 1000,", ""), "'max_iter': 1500,", "")</f>
        <v>{'activation': 'identity', 'hidden_layer_sizes': (200, 75, 25), 'learning_rate_init': 0.005,  'solver': 'adam'}</v>
      </c>
      <c r="E458">
        <f>_xlfn.RANK.EQ(B458,B$2:$B$479,0)</f>
        <v>456</v>
      </c>
      <c r="H458" s="40" t="s">
        <v>550</v>
      </c>
      <c r="I458" s="31">
        <v>0.73057703008863595</v>
      </c>
    </row>
    <row r="459" spans="1:9" x14ac:dyDescent="0.2">
      <c r="A459" s="50" t="s">
        <v>553</v>
      </c>
      <c r="B459" s="63">
        <v>0.72586274509803905</v>
      </c>
      <c r="C459" s="50" t="s">
        <v>62</v>
      </c>
      <c r="D459" s="50" t="str">
        <f>SUBSTITUTE(SUBSTITUTE(SUBSTITUTE(A459, "'max_iter': 500,", ""), "'max_iter': 1000,", ""), "'max_iter': 1500,", "")</f>
        <v>{'activation': 'identity', 'hidden_layer_sizes': (200, 75, 25), 'learning_rate_init': 0.005,  'solver': 'adam'}</v>
      </c>
      <c r="E459">
        <f>_xlfn.RANK.EQ(B459,B$2:$B$479,0)</f>
        <v>456</v>
      </c>
      <c r="H459" s="40" t="s">
        <v>552</v>
      </c>
      <c r="I459" s="31">
        <v>0.72586274509803905</v>
      </c>
    </row>
    <row r="460" spans="1:9" x14ac:dyDescent="0.2">
      <c r="A460" s="50" t="s">
        <v>556</v>
      </c>
      <c r="B460" s="63">
        <v>0.72577781269641695</v>
      </c>
      <c r="C460" s="50" t="s">
        <v>62</v>
      </c>
      <c r="D460" s="50" t="str">
        <f>SUBSTITUTE(SUBSTITUTE(SUBSTITUTE(A460, "'max_iter': 500,", ""), "'max_iter': 1000,", ""), "'max_iter': 1500,", "")</f>
        <v>{'activation': 'relu', 'hidden_layer_sizes': (200, 100), 'learning_rate_init': 0.001,  'solver': 'sgd'}</v>
      </c>
      <c r="E460">
        <f>_xlfn.RANK.EQ(B460,B$2:$B$479,0)</f>
        <v>459</v>
      </c>
      <c r="H460" s="40" t="s">
        <v>218</v>
      </c>
      <c r="I460" s="31">
        <v>0.72586274509803905</v>
      </c>
    </row>
    <row r="461" spans="1:9" x14ac:dyDescent="0.2">
      <c r="A461" s="50" t="s">
        <v>220</v>
      </c>
      <c r="B461" s="63">
        <v>0.72577781269641695</v>
      </c>
      <c r="C461" s="50" t="s">
        <v>62</v>
      </c>
      <c r="D461" s="50" t="str">
        <f>SUBSTITUTE(SUBSTITUTE(SUBSTITUTE(A461, "'max_iter': 500,", ""), "'max_iter': 1000,", ""), "'max_iter': 1500,", "")</f>
        <v>{'activation': 'relu', 'hidden_layer_sizes': (200, 100), 'learning_rate_init': 0.001,  'solver': 'sgd'}</v>
      </c>
      <c r="E461">
        <f>_xlfn.RANK.EQ(B461,B$2:$B$479,0)</f>
        <v>459</v>
      </c>
      <c r="H461" s="40" t="s">
        <v>553</v>
      </c>
      <c r="I461" s="31">
        <v>0.72586274509803905</v>
      </c>
    </row>
    <row r="462" spans="1:9" x14ac:dyDescent="0.2">
      <c r="A462" s="50" t="s">
        <v>555</v>
      </c>
      <c r="B462" s="63">
        <v>0.72577781269641695</v>
      </c>
      <c r="C462" s="50" t="s">
        <v>62</v>
      </c>
      <c r="D462" s="50" t="str">
        <f>SUBSTITUTE(SUBSTITUTE(SUBSTITUTE(A462, "'max_iter': 500,", ""), "'max_iter': 1000,", ""), "'max_iter': 1500,", "")</f>
        <v>{'activation': 'relu', 'hidden_layer_sizes': (200, 100), 'learning_rate_init': 0.001,  'solver': 'sgd'}</v>
      </c>
      <c r="E462">
        <f>_xlfn.RANK.EQ(B462,B$2:$B$479,0)</f>
        <v>459</v>
      </c>
      <c r="H462" s="40" t="s">
        <v>556</v>
      </c>
      <c r="I462" s="31">
        <v>0.72577781269641695</v>
      </c>
    </row>
    <row r="463" spans="1:9" x14ac:dyDescent="0.2">
      <c r="A463" s="50" t="s">
        <v>554</v>
      </c>
      <c r="B463" s="63">
        <v>0.72577781269641695</v>
      </c>
      <c r="C463" s="50" t="s">
        <v>62</v>
      </c>
      <c r="D463" s="50" t="str">
        <f>SUBSTITUTE(SUBSTITUTE(SUBSTITUTE(A463, "'max_iter': 500,", ""), "'max_iter': 1000,", ""), "'max_iter': 1500,", "")</f>
        <v>{'activation': 'tanh', 'hidden_layer_sizes': 100, 'learning_rate_init': 0.001,  'solver': 'sgd'}</v>
      </c>
      <c r="E463">
        <f>_xlfn.RANK.EQ(B463,B$2:$B$479,0)</f>
        <v>459</v>
      </c>
      <c r="H463" s="40" t="s">
        <v>554</v>
      </c>
      <c r="I463" s="31">
        <v>0.72577781269641695</v>
      </c>
    </row>
    <row r="464" spans="1:9" x14ac:dyDescent="0.2">
      <c r="A464" s="50" t="s">
        <v>219</v>
      </c>
      <c r="B464" s="63">
        <v>0.72577781269641695</v>
      </c>
      <c r="C464" s="50" t="s">
        <v>62</v>
      </c>
      <c r="D464" s="50" t="str">
        <f>SUBSTITUTE(SUBSTITUTE(SUBSTITUTE(A464, "'max_iter': 500,", ""), "'max_iter': 1000,", ""), "'max_iter': 1500,", "")</f>
        <v>{'activation': 'tanh', 'hidden_layer_sizes': 100, 'learning_rate_init': 0.001,  'solver': 'sgd'}</v>
      </c>
      <c r="E464">
        <f>_xlfn.RANK.EQ(B464,B$2:$B$479,0)</f>
        <v>459</v>
      </c>
      <c r="H464" s="40" t="s">
        <v>219</v>
      </c>
      <c r="I464" s="31">
        <v>0.72577781269641695</v>
      </c>
    </row>
    <row r="465" spans="1:9" x14ac:dyDescent="0.2">
      <c r="A465" s="50" t="s">
        <v>557</v>
      </c>
      <c r="B465" s="63">
        <v>0.72577452667814102</v>
      </c>
      <c r="C465" s="50" t="s">
        <v>62</v>
      </c>
      <c r="D465" s="50" t="str">
        <f>SUBSTITUTE(SUBSTITUTE(SUBSTITUTE(A465, "'max_iter': 500,", ""), "'max_iter': 1000,", ""), "'max_iter': 1500,", "")</f>
        <v>{'activation': 'tanh', 'hidden_layer_sizes': (100, 50), 'learning_rate_init': 0.01,  'solver': 'adam'}</v>
      </c>
      <c r="E465">
        <f>_xlfn.RANK.EQ(B465,B$2:$B$479,0)</f>
        <v>464</v>
      </c>
      <c r="H465" s="40" t="s">
        <v>555</v>
      </c>
      <c r="I465" s="31">
        <v>0.72577781269641695</v>
      </c>
    </row>
    <row r="466" spans="1:9" x14ac:dyDescent="0.2">
      <c r="A466" s="50" t="s">
        <v>221</v>
      </c>
      <c r="B466" s="63">
        <v>0.72577452667814102</v>
      </c>
      <c r="C466" s="50" t="s">
        <v>62</v>
      </c>
      <c r="D466" s="50" t="str">
        <f>SUBSTITUTE(SUBSTITUTE(SUBSTITUTE(A466, "'max_iter': 500,", ""), "'max_iter': 1000,", ""), "'max_iter': 1500,", "")</f>
        <v>{'activation': 'tanh', 'hidden_layer_sizes': (100, 50), 'learning_rate_init': 0.01,  'solver': 'adam'}</v>
      </c>
      <c r="E466">
        <f>_xlfn.RANK.EQ(B466,B$2:$B$479,0)</f>
        <v>464</v>
      </c>
      <c r="H466" s="40" t="s">
        <v>220</v>
      </c>
      <c r="I466" s="31">
        <v>0.72577781269641695</v>
      </c>
    </row>
    <row r="467" spans="1:9" x14ac:dyDescent="0.2">
      <c r="A467" s="50" t="s">
        <v>558</v>
      </c>
      <c r="B467" s="63">
        <v>0.72577452667814102</v>
      </c>
      <c r="C467" s="50" t="s">
        <v>62</v>
      </c>
      <c r="D467" s="50" t="str">
        <f>SUBSTITUTE(SUBSTITUTE(SUBSTITUTE(A467, "'max_iter': 500,", ""), "'max_iter': 1000,", ""), "'max_iter': 1500,", "")</f>
        <v>{'activation': 'tanh', 'hidden_layer_sizes': (100, 50), 'learning_rate_init': 0.01,  'solver': 'adam'}</v>
      </c>
      <c r="E467">
        <f>_xlfn.RANK.EQ(B467,B$2:$B$479,0)</f>
        <v>464</v>
      </c>
      <c r="H467" s="40" t="s">
        <v>221</v>
      </c>
      <c r="I467" s="31">
        <v>0.72577452667814102</v>
      </c>
    </row>
    <row r="468" spans="1:9" x14ac:dyDescent="0.2">
      <c r="A468" s="50" t="s">
        <v>561</v>
      </c>
      <c r="B468" s="63">
        <v>0.725606203747441</v>
      </c>
      <c r="C468" s="50" t="s">
        <v>62</v>
      </c>
      <c r="D468" s="50" t="str">
        <f>SUBSTITUTE(SUBSTITUTE(SUBSTITUTE(A468, "'max_iter': 500,", ""), "'max_iter': 1000,", ""), "'max_iter': 1500,", "")</f>
        <v>{'activation': 'identity', 'hidden_layer_sizes': (200, 100, 50), 'learning_rate_init': 0.01,  'solver': 'adam'}</v>
      </c>
      <c r="E468">
        <f>_xlfn.RANK.EQ(B468,B$2:$B$479,0)</f>
        <v>467</v>
      </c>
      <c r="H468" s="40" t="s">
        <v>558</v>
      </c>
      <c r="I468" s="31">
        <v>0.72577452667814102</v>
      </c>
    </row>
    <row r="469" spans="1:9" x14ac:dyDescent="0.2">
      <c r="A469" s="50" t="s">
        <v>224</v>
      </c>
      <c r="B469" s="63">
        <v>0.725606203747441</v>
      </c>
      <c r="C469" s="50" t="s">
        <v>62</v>
      </c>
      <c r="D469" s="50" t="str">
        <f>SUBSTITUTE(SUBSTITUTE(SUBSTITUTE(A469, "'max_iter': 500,", ""), "'max_iter': 1000,", ""), "'max_iter': 1500,", "")</f>
        <v>{'activation': 'identity', 'hidden_layer_sizes': (200, 100, 50), 'learning_rate_init': 0.01,  'solver': 'adam'}</v>
      </c>
      <c r="E469">
        <f>_xlfn.RANK.EQ(B469,B$2:$B$479,0)</f>
        <v>467</v>
      </c>
      <c r="H469" s="40" t="s">
        <v>557</v>
      </c>
      <c r="I469" s="31">
        <v>0.72577452667814102</v>
      </c>
    </row>
    <row r="470" spans="1:9" x14ac:dyDescent="0.2">
      <c r="A470" s="50" t="s">
        <v>562</v>
      </c>
      <c r="B470" s="63">
        <v>0.725606203747441</v>
      </c>
      <c r="C470" s="50" t="s">
        <v>62</v>
      </c>
      <c r="D470" s="50" t="str">
        <f>SUBSTITUTE(SUBSTITUTE(SUBSTITUTE(A470, "'max_iter': 500,", ""), "'max_iter': 1000,", ""), "'max_iter': 1500,", "")</f>
        <v>{'activation': 'identity', 'hidden_layer_sizes': (200, 100, 50), 'learning_rate_init': 0.01,  'solver': 'adam'}</v>
      </c>
      <c r="E470">
        <f>_xlfn.RANK.EQ(B470,B$2:$B$479,0)</f>
        <v>467</v>
      </c>
      <c r="H470" s="40" t="s">
        <v>564</v>
      </c>
      <c r="I470" s="31">
        <v>0.725606203747441</v>
      </c>
    </row>
    <row r="471" spans="1:9" x14ac:dyDescent="0.2">
      <c r="A471" s="50" t="s">
        <v>563</v>
      </c>
      <c r="B471" s="63">
        <v>0.725606203747441</v>
      </c>
      <c r="C471" s="50" t="s">
        <v>62</v>
      </c>
      <c r="D471" s="50" t="str">
        <f>SUBSTITUTE(SUBSTITUTE(SUBSTITUTE(A471, "'max_iter': 500,", ""), "'max_iter': 1000,", ""), "'max_iter': 1500,", "")</f>
        <v>{'activation': 'identity', 'hidden_layer_sizes': (200, 100), 'learning_rate_init': 0.005,  'solver': 'sgd'}</v>
      </c>
      <c r="E471">
        <f>_xlfn.RANK.EQ(B471,B$2:$B$479,0)</f>
        <v>467</v>
      </c>
      <c r="H471" s="40" t="s">
        <v>560</v>
      </c>
      <c r="I471" s="31">
        <v>0.725606203747441</v>
      </c>
    </row>
    <row r="472" spans="1:9" x14ac:dyDescent="0.2">
      <c r="A472" s="50" t="s">
        <v>223</v>
      </c>
      <c r="B472" s="63">
        <v>0.725606203747441</v>
      </c>
      <c r="C472" s="50" t="s">
        <v>62</v>
      </c>
      <c r="D472" s="50" t="str">
        <f>SUBSTITUTE(SUBSTITUTE(SUBSTITUTE(A472, "'max_iter': 500,", ""), "'max_iter': 1000,", ""), "'max_iter': 1500,", "")</f>
        <v>{'activation': 'identity', 'hidden_layer_sizes': (200, 100), 'learning_rate_init': 0.005,  'solver': 'sgd'}</v>
      </c>
      <c r="E472">
        <f>_xlfn.RANK.EQ(B472,B$2:$B$479,0)</f>
        <v>467</v>
      </c>
      <c r="H472" s="40" t="s">
        <v>222</v>
      </c>
      <c r="I472" s="31">
        <v>0.725606203747441</v>
      </c>
    </row>
    <row r="473" spans="1:9" x14ac:dyDescent="0.2">
      <c r="A473" s="50" t="s">
        <v>559</v>
      </c>
      <c r="B473" s="63">
        <v>0.725606203747441</v>
      </c>
      <c r="C473" s="50" t="s">
        <v>62</v>
      </c>
      <c r="D473" s="50" t="str">
        <f>SUBSTITUTE(SUBSTITUTE(SUBSTITUTE(A473, "'max_iter': 500,", ""), "'max_iter': 1000,", ""), "'max_iter': 1500,", "")</f>
        <v>{'activation': 'identity', 'hidden_layer_sizes': (200, 100), 'learning_rate_init': 0.005,  'solver': 'sgd'}</v>
      </c>
      <c r="E473">
        <f>_xlfn.RANK.EQ(B473,B$2:$B$479,0)</f>
        <v>467</v>
      </c>
      <c r="H473" s="40" t="s">
        <v>563</v>
      </c>
      <c r="I473" s="31">
        <v>0.725606203747441</v>
      </c>
    </row>
    <row r="474" spans="1:9" x14ac:dyDescent="0.2">
      <c r="A474" s="50" t="s">
        <v>564</v>
      </c>
      <c r="B474" s="63">
        <v>0.725606203747441</v>
      </c>
      <c r="C474" s="50" t="s">
        <v>62</v>
      </c>
      <c r="D474" s="50" t="str">
        <f>SUBSTITUTE(SUBSTITUTE(SUBSTITUTE(A474, "'max_iter': 500,", ""), "'max_iter': 1000,", ""), "'max_iter': 1500,", "")</f>
        <v>{'activation': 'tanh', 'hidden_layer_sizes': (150, 75), 'learning_rate_init': 0.01,  'solver': 'adam'}</v>
      </c>
      <c r="E474">
        <f>_xlfn.RANK.EQ(B474,B$2:$B$479,0)</f>
        <v>467</v>
      </c>
      <c r="H474" s="40" t="s">
        <v>562</v>
      </c>
      <c r="I474" s="31">
        <v>0.725606203747441</v>
      </c>
    </row>
    <row r="475" spans="1:9" x14ac:dyDescent="0.2">
      <c r="A475" s="50" t="s">
        <v>222</v>
      </c>
      <c r="B475" s="63">
        <v>0.725606203747441</v>
      </c>
      <c r="C475" s="50" t="s">
        <v>62</v>
      </c>
      <c r="D475" s="50" t="str">
        <f>SUBSTITUTE(SUBSTITUTE(SUBSTITUTE(A475, "'max_iter': 500,", ""), "'max_iter': 1000,", ""), "'max_iter': 1500,", "")</f>
        <v>{'activation': 'tanh', 'hidden_layer_sizes': (150, 75), 'learning_rate_init': 0.01,  'solver': 'adam'}</v>
      </c>
      <c r="E475">
        <f>_xlfn.RANK.EQ(B475,B$2:$B$479,0)</f>
        <v>467</v>
      </c>
      <c r="H475" s="40" t="s">
        <v>223</v>
      </c>
      <c r="I475" s="31">
        <v>0.725606203747441</v>
      </c>
    </row>
    <row r="476" spans="1:9" x14ac:dyDescent="0.2">
      <c r="A476" s="50" t="s">
        <v>560</v>
      </c>
      <c r="B476" s="63">
        <v>0.725606203747441</v>
      </c>
      <c r="C476" s="50" t="s">
        <v>62</v>
      </c>
      <c r="D476" s="50" t="str">
        <f>SUBSTITUTE(SUBSTITUTE(SUBSTITUTE(A476, "'max_iter': 500,", ""), "'max_iter': 1000,", ""), "'max_iter': 1500,", "")</f>
        <v>{'activation': 'tanh', 'hidden_layer_sizes': (150, 75), 'learning_rate_init': 0.01,  'solver': 'adam'}</v>
      </c>
      <c r="E476">
        <f>_xlfn.RANK.EQ(B476,B$2:$B$479,0)</f>
        <v>467</v>
      </c>
      <c r="H476" s="40" t="s">
        <v>559</v>
      </c>
      <c r="I476" s="31">
        <v>0.725606203747441</v>
      </c>
    </row>
    <row r="477" spans="1:9" x14ac:dyDescent="0.2">
      <c r="A477" s="50" t="s">
        <v>568</v>
      </c>
      <c r="B477" s="63">
        <v>0.72534722222222203</v>
      </c>
      <c r="C477" s="50" t="s">
        <v>62</v>
      </c>
      <c r="D477" s="50" t="str">
        <f>SUBSTITUTE(SUBSTITUTE(SUBSTITUTE(A477, "'max_iter': 500,", ""), "'max_iter': 1000,", ""), "'max_iter': 1500,", "")</f>
        <v>{'activation': 'relu', 'hidden_layer_sizes': 150, 'learning_rate_init': 0.001,  'solver': 'sgd'}</v>
      </c>
      <c r="E477">
        <f>_xlfn.RANK.EQ(B477,B$2:$B$479,0)</f>
        <v>476</v>
      </c>
      <c r="H477" s="40" t="s">
        <v>224</v>
      </c>
      <c r="I477" s="31">
        <v>0.725606203747441</v>
      </c>
    </row>
    <row r="478" spans="1:9" x14ac:dyDescent="0.2">
      <c r="A478" s="50" t="s">
        <v>226</v>
      </c>
      <c r="B478" s="63">
        <v>0.72534722222222203</v>
      </c>
      <c r="C478" s="50" t="s">
        <v>62</v>
      </c>
      <c r="D478" s="50" t="str">
        <f>SUBSTITUTE(SUBSTITUTE(SUBSTITUTE(A478, "'max_iter': 500,", ""), "'max_iter': 1000,", ""), "'max_iter': 1500,", "")</f>
        <v>{'activation': 'relu', 'hidden_layer_sizes': 150, 'learning_rate_init': 0.001,  'solver': 'sgd'}</v>
      </c>
      <c r="E478">
        <f>_xlfn.RANK.EQ(B478,B$2:$B$479,0)</f>
        <v>476</v>
      </c>
      <c r="H478" s="40" t="s">
        <v>561</v>
      </c>
      <c r="I478" s="31">
        <v>0.725606203747441</v>
      </c>
    </row>
    <row r="479" spans="1:9" x14ac:dyDescent="0.2">
      <c r="A479" s="50" t="s">
        <v>567</v>
      </c>
      <c r="B479" s="63">
        <v>0.72534722222222203</v>
      </c>
      <c r="C479" s="50" t="s">
        <v>62</v>
      </c>
      <c r="D479" s="50" t="str">
        <f>SUBSTITUTE(SUBSTITUTE(SUBSTITUTE(A479, "'max_iter': 500,", ""), "'max_iter': 1000,", ""), "'max_iter': 1500,", "")</f>
        <v>{'activation': 'relu', 'hidden_layer_sizes': 150, 'learning_rate_init': 0.001,  'solver': 'sgd'}</v>
      </c>
      <c r="E479">
        <f>_xlfn.RANK.EQ(B479,B$2:$B$479,0)</f>
        <v>476</v>
      </c>
      <c r="H479" s="40" t="s">
        <v>565</v>
      </c>
      <c r="I479" s="31">
        <v>0.72534722222222203</v>
      </c>
    </row>
    <row r="480" spans="1:9" x14ac:dyDescent="0.2">
      <c r="A480" s="50" t="s">
        <v>565</v>
      </c>
      <c r="B480" s="63">
        <v>0.72534722222222203</v>
      </c>
      <c r="C480" s="50" t="s">
        <v>62</v>
      </c>
      <c r="D480" s="50" t="str">
        <f>SUBSTITUTE(SUBSTITUTE(SUBSTITUTE(A480, "'max_iter': 500,", ""), "'max_iter': 1000,", ""), "'max_iter': 1500,", "")</f>
        <v>{'activation': 'tanh', 'hidden_layer_sizes': (200, 100, 50), 'learning_rate_init': 0.01,  'solver': 'adam'}</v>
      </c>
      <c r="E480">
        <f>_xlfn.RANK.EQ(B480,B$2:$B$479,0)</f>
        <v>476</v>
      </c>
      <c r="H480" s="40" t="s">
        <v>226</v>
      </c>
      <c r="I480" s="31">
        <v>0.72534722222222203</v>
      </c>
    </row>
    <row r="481" spans="1:9" x14ac:dyDescent="0.2">
      <c r="A481" s="50" t="s">
        <v>225</v>
      </c>
      <c r="B481" s="63">
        <v>0.72534722222222203</v>
      </c>
      <c r="C481" s="50" t="s">
        <v>62</v>
      </c>
      <c r="D481" s="50" t="str">
        <f>SUBSTITUTE(SUBSTITUTE(SUBSTITUTE(A481, "'max_iter': 500,", ""), "'max_iter': 1000,", ""), "'max_iter': 1500,", "")</f>
        <v>{'activation': 'tanh', 'hidden_layer_sizes': (200, 100, 50), 'learning_rate_init': 0.01,  'solver': 'adam'}</v>
      </c>
      <c r="E481">
        <f>_xlfn.RANK.EQ(B481,B$2:$B$479,0)</f>
        <v>476</v>
      </c>
      <c r="H481" s="40" t="s">
        <v>568</v>
      </c>
      <c r="I481" s="31">
        <v>0.72534722222222203</v>
      </c>
    </row>
    <row r="482" spans="1:9" x14ac:dyDescent="0.2">
      <c r="A482" s="50" t="s">
        <v>566</v>
      </c>
      <c r="B482" s="63">
        <v>0.72534722222222203</v>
      </c>
      <c r="C482" s="50" t="s">
        <v>62</v>
      </c>
      <c r="D482" s="50" t="str">
        <f>SUBSTITUTE(SUBSTITUTE(SUBSTITUTE(A482, "'max_iter': 500,", ""), "'max_iter': 1000,", ""), "'max_iter': 1500,", "")</f>
        <v>{'activation': 'tanh', 'hidden_layer_sizes': (200, 100, 50), 'learning_rate_init': 0.01,  'solver': 'adam'}</v>
      </c>
      <c r="E482">
        <f>_xlfn.RANK.EQ(B482,B$2:$B$479,0)</f>
        <v>476</v>
      </c>
      <c r="H482" s="40" t="s">
        <v>225</v>
      </c>
      <c r="I482" s="31">
        <v>0.72534722222222203</v>
      </c>
    </row>
    <row r="483" spans="1:9" x14ac:dyDescent="0.2">
      <c r="A483" s="50" t="s">
        <v>570</v>
      </c>
      <c r="B483" s="63">
        <v>0.72499999999999998</v>
      </c>
      <c r="C483" s="50" t="s">
        <v>62</v>
      </c>
      <c r="D483" s="50" t="str">
        <f>SUBSTITUTE(SUBSTITUTE(SUBSTITUTE(A483, "'max_iter': 500,", ""), "'max_iter': 1000,", ""), "'max_iter': 1500,", "")</f>
        <v>{'activation': 'relu', 'hidden_layer_sizes': (150, 75), 'learning_rate_init': 0.01,  'solver': 'sgd'}</v>
      </c>
      <c r="E483" t="e">
        <f>_xlfn.RANK.EQ(B483,B$2:$B$479,0)</f>
        <v>#N/A</v>
      </c>
      <c r="H483" s="40" t="s">
        <v>566</v>
      </c>
      <c r="I483" s="31">
        <v>0.72534722222222203</v>
      </c>
    </row>
    <row r="484" spans="1:9" x14ac:dyDescent="0.2">
      <c r="A484" s="50" t="s">
        <v>227</v>
      </c>
      <c r="B484" s="63">
        <v>0.72499999999999998</v>
      </c>
      <c r="C484" s="50" t="s">
        <v>62</v>
      </c>
      <c r="D484" s="50" t="str">
        <f>SUBSTITUTE(SUBSTITUTE(SUBSTITUTE(A484, "'max_iter': 500,", ""), "'max_iter': 1000,", ""), "'max_iter': 1500,", "")</f>
        <v>{'activation': 'relu', 'hidden_layer_sizes': (150, 75), 'learning_rate_init': 0.01,  'solver': 'sgd'}</v>
      </c>
      <c r="E484" t="e">
        <f>_xlfn.RANK.EQ(B484,B$2:$B$479,0)</f>
        <v>#N/A</v>
      </c>
      <c r="H484" s="40" t="s">
        <v>567</v>
      </c>
      <c r="I484" s="31">
        <v>0.72534722222222203</v>
      </c>
    </row>
    <row r="485" spans="1:9" x14ac:dyDescent="0.2">
      <c r="A485" s="50" t="s">
        <v>569</v>
      </c>
      <c r="B485" s="63">
        <v>0.72499999999999998</v>
      </c>
      <c r="C485" s="50" t="s">
        <v>62</v>
      </c>
      <c r="D485" s="50" t="str">
        <f>SUBSTITUTE(SUBSTITUTE(SUBSTITUTE(A485, "'max_iter': 500,", ""), "'max_iter': 1000,", ""), "'max_iter': 1500,", "")</f>
        <v>{'activation': 'relu', 'hidden_layer_sizes': (150, 75), 'learning_rate_init': 0.01,  'solver': 'sgd'}</v>
      </c>
      <c r="E485" t="e">
        <f>_xlfn.RANK.EQ(B485,B$2:$B$479,0)</f>
        <v>#N/A</v>
      </c>
      <c r="H485" s="40" t="s">
        <v>227</v>
      </c>
      <c r="I485" s="31">
        <v>0.72499999999999998</v>
      </c>
    </row>
    <row r="486" spans="1:9" x14ac:dyDescent="0.2">
      <c r="A486" s="50" t="s">
        <v>574</v>
      </c>
      <c r="B486" s="63">
        <v>0.72499999999999998</v>
      </c>
      <c r="C486" s="50" t="s">
        <v>62</v>
      </c>
      <c r="D486" s="50" t="str">
        <f>SUBSTITUTE(SUBSTITUTE(SUBSTITUTE(A486, "'max_iter': 500,", ""), "'max_iter': 1000,", ""), "'max_iter': 1500,", "")</f>
        <v>{'activation': 'relu', 'hidden_layer_sizes': 150, 'learning_rate_init': 0.005,  'solver': 'adam'}</v>
      </c>
      <c r="E486" t="e">
        <f>_xlfn.RANK.EQ(B486,B$2:$B$479,0)</f>
        <v>#N/A</v>
      </c>
      <c r="H486" s="40" t="s">
        <v>574</v>
      </c>
      <c r="I486" s="31">
        <v>0.72499999999999998</v>
      </c>
    </row>
    <row r="487" spans="1:9" x14ac:dyDescent="0.2">
      <c r="A487" s="50" t="s">
        <v>229</v>
      </c>
      <c r="B487" s="63">
        <v>0.72499999999999998</v>
      </c>
      <c r="C487" s="50" t="s">
        <v>62</v>
      </c>
      <c r="D487" s="50" t="str">
        <f>SUBSTITUTE(SUBSTITUTE(SUBSTITUTE(A487, "'max_iter': 500,", ""), "'max_iter': 1000,", ""), "'max_iter': 1500,", "")</f>
        <v>{'activation': 'relu', 'hidden_layer_sizes': 150, 'learning_rate_init': 0.005,  'solver': 'adam'}</v>
      </c>
      <c r="E487" t="e">
        <f>_xlfn.RANK.EQ(B487,B$2:$B$479,0)</f>
        <v>#N/A</v>
      </c>
      <c r="H487" s="40" t="s">
        <v>571</v>
      </c>
      <c r="I487" s="31">
        <v>0.72499999999999998</v>
      </c>
    </row>
    <row r="488" spans="1:9" x14ac:dyDescent="0.2">
      <c r="A488" s="50" t="s">
        <v>573</v>
      </c>
      <c r="B488" s="63">
        <v>0.72499999999999998</v>
      </c>
      <c r="C488" s="50" t="s">
        <v>62</v>
      </c>
      <c r="D488" s="50" t="str">
        <f>SUBSTITUTE(SUBSTITUTE(SUBSTITUTE(A488, "'max_iter': 500,", ""), "'max_iter': 1000,", ""), "'max_iter': 1500,", "")</f>
        <v>{'activation': 'relu', 'hidden_layer_sizes': 150, 'learning_rate_init': 0.005,  'solver': 'adam'}</v>
      </c>
      <c r="E488" t="e">
        <f>_xlfn.RANK.EQ(B488,B$2:$B$479,0)</f>
        <v>#N/A</v>
      </c>
      <c r="H488" s="40" t="s">
        <v>228</v>
      </c>
      <c r="I488" s="31">
        <v>0.72499999999999998</v>
      </c>
    </row>
    <row r="489" spans="1:9" x14ac:dyDescent="0.2">
      <c r="A489" s="50" t="s">
        <v>571</v>
      </c>
      <c r="B489" s="63">
        <v>0.72499999999999998</v>
      </c>
      <c r="C489" s="50" t="s">
        <v>62</v>
      </c>
      <c r="D489" s="50" t="str">
        <f>SUBSTITUTE(SUBSTITUTE(SUBSTITUTE(A489, "'max_iter': 500,", ""), "'max_iter': 1000,", ""), "'max_iter': 1500,", "")</f>
        <v>{'activation': 'tanh', 'hidden_layer_sizes': (200, 100), 'learning_rate_init': 0.01,  'solver': 'sgd'}</v>
      </c>
      <c r="E489" t="e">
        <f>_xlfn.RANK.EQ(B489,B$2:$B$479,0)</f>
        <v>#N/A</v>
      </c>
      <c r="H489" s="40" t="s">
        <v>569</v>
      </c>
      <c r="I489" s="31">
        <v>0.72499999999999998</v>
      </c>
    </row>
    <row r="490" spans="1:9" x14ac:dyDescent="0.2">
      <c r="A490" s="50" t="s">
        <v>228</v>
      </c>
      <c r="B490" s="63">
        <v>0.72499999999999998</v>
      </c>
      <c r="C490" s="50" t="s">
        <v>62</v>
      </c>
      <c r="D490" s="50" t="str">
        <f>SUBSTITUTE(SUBSTITUTE(SUBSTITUTE(A490, "'max_iter': 500,", ""), "'max_iter': 1000,", ""), "'max_iter': 1500,", "")</f>
        <v>{'activation': 'tanh', 'hidden_layer_sizes': (200, 100), 'learning_rate_init': 0.01,  'solver': 'sgd'}</v>
      </c>
      <c r="E490" t="e">
        <f>_xlfn.RANK.EQ(B490,B$2:$B$479,0)</f>
        <v>#N/A</v>
      </c>
      <c r="H490" s="40" t="s">
        <v>572</v>
      </c>
      <c r="I490" s="31">
        <v>0.72499999999999998</v>
      </c>
    </row>
    <row r="491" spans="1:9" x14ac:dyDescent="0.2">
      <c r="A491" s="50" t="s">
        <v>572</v>
      </c>
      <c r="B491" s="63">
        <v>0.72499999999999998</v>
      </c>
      <c r="C491" s="50" t="s">
        <v>62</v>
      </c>
      <c r="D491" s="50" t="str">
        <f>SUBSTITUTE(SUBSTITUTE(SUBSTITUTE(A491, "'max_iter': 500,", ""), "'max_iter': 1000,", ""), "'max_iter': 1500,", "")</f>
        <v>{'activation': 'tanh', 'hidden_layer_sizes': (200, 100), 'learning_rate_init': 0.01,  'solver': 'sgd'}</v>
      </c>
      <c r="E491" t="e">
        <f>_xlfn.RANK.EQ(B491,B$2:$B$479,0)</f>
        <v>#N/A</v>
      </c>
      <c r="H491" s="40" t="s">
        <v>229</v>
      </c>
      <c r="I491" s="31">
        <v>0.72499999999999998</v>
      </c>
    </row>
    <row r="492" spans="1:9" x14ac:dyDescent="0.2">
      <c r="A492" s="50" t="s">
        <v>576</v>
      </c>
      <c r="B492" s="63">
        <v>0.72403647077560096</v>
      </c>
      <c r="C492" s="50" t="s">
        <v>62</v>
      </c>
      <c r="D492" s="50" t="str">
        <f>SUBSTITUTE(SUBSTITUTE(SUBSTITUTE(A492, "'max_iter': 500,", ""), "'max_iter': 1000,", ""), "'max_iter': 1500,", "")</f>
        <v>{'activation': 'relu', 'hidden_layer_sizes': (150, 75), 'learning_rate_init': 0.005,  'solver': 'sgd'}</v>
      </c>
      <c r="E492" t="e">
        <f>_xlfn.RANK.EQ(B492,B$2:$B$479,0)</f>
        <v>#N/A</v>
      </c>
      <c r="H492" s="40" t="s">
        <v>570</v>
      </c>
      <c r="I492" s="31">
        <v>0.72499999999999998</v>
      </c>
    </row>
    <row r="493" spans="1:9" x14ac:dyDescent="0.2">
      <c r="A493" s="50" t="s">
        <v>230</v>
      </c>
      <c r="B493" s="63">
        <v>0.72403647077560096</v>
      </c>
      <c r="C493" s="50" t="s">
        <v>62</v>
      </c>
      <c r="D493" s="50" t="str">
        <f>SUBSTITUTE(SUBSTITUTE(SUBSTITUTE(A493, "'max_iter': 500,", ""), "'max_iter': 1000,", ""), "'max_iter': 1500,", "")</f>
        <v>{'activation': 'relu', 'hidden_layer_sizes': (150, 75), 'learning_rate_init': 0.005,  'solver': 'sgd'}</v>
      </c>
      <c r="E493" t="e">
        <f>_xlfn.RANK.EQ(B493,B$2:$B$479,0)</f>
        <v>#N/A</v>
      </c>
      <c r="H493" s="40" t="s">
        <v>573</v>
      </c>
      <c r="I493" s="31">
        <v>0.72499999999999998</v>
      </c>
    </row>
    <row r="494" spans="1:9" x14ac:dyDescent="0.2">
      <c r="A494" s="50" t="s">
        <v>575</v>
      </c>
      <c r="B494" s="63">
        <v>0.72403647077560096</v>
      </c>
      <c r="C494" s="50" t="s">
        <v>62</v>
      </c>
      <c r="D494" s="50" t="str">
        <f>SUBSTITUTE(SUBSTITUTE(SUBSTITUTE(A494, "'max_iter': 500,", ""), "'max_iter': 1000,", ""), "'max_iter': 1500,", "")</f>
        <v>{'activation': 'relu', 'hidden_layer_sizes': (150, 75), 'learning_rate_init': 0.005,  'solver': 'sgd'}</v>
      </c>
      <c r="E494" t="e">
        <f>_xlfn.RANK.EQ(B494,B$2:$B$479,0)</f>
        <v>#N/A</v>
      </c>
      <c r="H494" s="40" t="s">
        <v>575</v>
      </c>
      <c r="I494" s="31">
        <v>0.72403647077560096</v>
      </c>
    </row>
    <row r="495" spans="1:9" x14ac:dyDescent="0.2">
      <c r="A495" s="50" t="s">
        <v>578</v>
      </c>
      <c r="B495" s="63">
        <v>0.72341751918158503</v>
      </c>
      <c r="C495" s="50" t="s">
        <v>62</v>
      </c>
      <c r="D495" s="50" t="str">
        <f>SUBSTITUTE(SUBSTITUTE(SUBSTITUTE(A495, "'max_iter': 500,", ""), "'max_iter': 1000,", ""), "'max_iter': 1500,", "")</f>
        <v>{'activation': 'identity', 'hidden_layer_sizes': (100, 50), 'learning_rate_init': 0.01,  'solver': 'sgd'}</v>
      </c>
      <c r="E495" t="e">
        <f>_xlfn.RANK.EQ(B495,B$2:$B$479,0)</f>
        <v>#N/A</v>
      </c>
      <c r="H495" s="40" t="s">
        <v>230</v>
      </c>
      <c r="I495" s="31">
        <v>0.72403647077560096</v>
      </c>
    </row>
    <row r="496" spans="1:9" x14ac:dyDescent="0.2">
      <c r="A496" s="50" t="s">
        <v>232</v>
      </c>
      <c r="B496" s="63">
        <v>0.72341751918158503</v>
      </c>
      <c r="C496" s="50" t="s">
        <v>62</v>
      </c>
      <c r="D496" s="50" t="str">
        <f>SUBSTITUTE(SUBSTITUTE(SUBSTITUTE(A496, "'max_iter': 500,", ""), "'max_iter': 1000,", ""), "'max_iter': 1500,", "")</f>
        <v>{'activation': 'identity', 'hidden_layer_sizes': (100, 50), 'learning_rate_init': 0.01,  'solver': 'sgd'}</v>
      </c>
      <c r="E496" t="e">
        <f>_xlfn.RANK.EQ(B496,B$2:$B$479,0)</f>
        <v>#N/A</v>
      </c>
      <c r="H496" s="40" t="s">
        <v>576</v>
      </c>
      <c r="I496" s="31">
        <v>0.72403647077560096</v>
      </c>
    </row>
    <row r="497" spans="1:9" x14ac:dyDescent="0.2">
      <c r="A497" s="50" t="s">
        <v>577</v>
      </c>
      <c r="B497" s="63">
        <v>0.72341751918158503</v>
      </c>
      <c r="C497" s="50" t="s">
        <v>62</v>
      </c>
      <c r="D497" s="50" t="str">
        <f>SUBSTITUTE(SUBSTITUTE(SUBSTITUTE(A497, "'max_iter': 500,", ""), "'max_iter': 1000,", ""), "'max_iter': 1500,", "")</f>
        <v>{'activation': 'identity', 'hidden_layer_sizes': (100, 50), 'learning_rate_init': 0.01,  'solver': 'sgd'}</v>
      </c>
      <c r="E497" t="e">
        <f>_xlfn.RANK.EQ(B497,B$2:$B$479,0)</f>
        <v>#N/A</v>
      </c>
      <c r="H497" s="40" t="s">
        <v>579</v>
      </c>
      <c r="I497" s="31">
        <v>0.72341751918158503</v>
      </c>
    </row>
    <row r="498" spans="1:9" x14ac:dyDescent="0.2">
      <c r="A498" s="50" t="s">
        <v>579</v>
      </c>
      <c r="B498" s="63">
        <v>0.72341751918158503</v>
      </c>
      <c r="C498" s="50" t="s">
        <v>62</v>
      </c>
      <c r="D498" s="50" t="str">
        <f>SUBSTITUTE(SUBSTITUTE(SUBSTITUTE(A498, "'max_iter': 500,", ""), "'max_iter': 1000,", ""), "'max_iter': 1500,", "")</f>
        <v>{'activation': 'relu', 'hidden_layer_sizes': (150, 75), 'learning_rate_init': 0.001,  'solver': 'adam'}</v>
      </c>
      <c r="E498" t="e">
        <f>_xlfn.RANK.EQ(B498,B$2:$B$479,0)</f>
        <v>#N/A</v>
      </c>
      <c r="H498" s="40" t="s">
        <v>580</v>
      </c>
      <c r="I498" s="31">
        <v>0.72341751918158503</v>
      </c>
    </row>
    <row r="499" spans="1:9" x14ac:dyDescent="0.2">
      <c r="A499" s="50" t="s">
        <v>231</v>
      </c>
      <c r="B499" s="63">
        <v>0.72341751918158503</v>
      </c>
      <c r="C499" s="50" t="s">
        <v>62</v>
      </c>
      <c r="D499" s="50" t="str">
        <f>SUBSTITUTE(SUBSTITUTE(SUBSTITUTE(A499, "'max_iter': 500,", ""), "'max_iter': 1000,", ""), "'max_iter': 1500,", "")</f>
        <v>{'activation': 'relu', 'hidden_layer_sizes': (150, 75), 'learning_rate_init': 0.001,  'solver': 'adam'}</v>
      </c>
      <c r="E499" t="e">
        <f>_xlfn.RANK.EQ(B499,B$2:$B$479,0)</f>
        <v>#N/A</v>
      </c>
      <c r="H499" s="40" t="s">
        <v>231</v>
      </c>
      <c r="I499" s="31">
        <v>0.72341751918158503</v>
      </c>
    </row>
    <row r="500" spans="1:9" x14ac:dyDescent="0.2">
      <c r="A500" s="50" t="s">
        <v>580</v>
      </c>
      <c r="B500" s="63">
        <v>0.72341751918158503</v>
      </c>
      <c r="C500" s="50" t="s">
        <v>62</v>
      </c>
      <c r="D500" s="50" t="str">
        <f>SUBSTITUTE(SUBSTITUTE(SUBSTITUTE(A500, "'max_iter': 500,", ""), "'max_iter': 1000,", ""), "'max_iter': 1500,", "")</f>
        <v>{'activation': 'relu', 'hidden_layer_sizes': (150, 75), 'learning_rate_init': 0.001,  'solver': 'adam'}</v>
      </c>
      <c r="E500" t="e">
        <f>_xlfn.RANK.EQ(B500,B$2:$B$479,0)</f>
        <v>#N/A</v>
      </c>
      <c r="H500" s="40" t="s">
        <v>232</v>
      </c>
      <c r="I500" s="31">
        <v>0.72341751918158503</v>
      </c>
    </row>
    <row r="501" spans="1:9" x14ac:dyDescent="0.2">
      <c r="A501" s="50" t="s">
        <v>582</v>
      </c>
      <c r="B501" s="63">
        <v>0.71959996467679199</v>
      </c>
      <c r="C501" s="50" t="s">
        <v>62</v>
      </c>
      <c r="D501" s="50" t="str">
        <f>SUBSTITUTE(SUBSTITUTE(SUBSTITUTE(A501, "'max_iter': 500,", ""), "'max_iter': 1000,", ""), "'max_iter': 1500,", "")</f>
        <v>{'activation': 'relu', 'hidden_layer_sizes': 100, 'learning_rate_init': 0.001,  'solver': 'adam'}</v>
      </c>
      <c r="E501" t="e">
        <f>_xlfn.RANK.EQ(B501,B$2:$B$479,0)</f>
        <v>#N/A</v>
      </c>
      <c r="H501" s="40" t="s">
        <v>578</v>
      </c>
      <c r="I501" s="31">
        <v>0.72341751918158503</v>
      </c>
    </row>
    <row r="502" spans="1:9" x14ac:dyDescent="0.2">
      <c r="A502" s="50" t="s">
        <v>233</v>
      </c>
      <c r="B502" s="63">
        <v>0.71959996467679199</v>
      </c>
      <c r="C502" s="50" t="s">
        <v>62</v>
      </c>
      <c r="D502" s="50" t="str">
        <f>SUBSTITUTE(SUBSTITUTE(SUBSTITUTE(A502, "'max_iter': 500,", ""), "'max_iter': 1000,", ""), "'max_iter': 1500,", "")</f>
        <v>{'activation': 'relu', 'hidden_layer_sizes': 100, 'learning_rate_init': 0.001,  'solver': 'adam'}</v>
      </c>
      <c r="E502" t="e">
        <f>_xlfn.RANK.EQ(B502,B$2:$B$479,0)</f>
        <v>#N/A</v>
      </c>
      <c r="H502" s="40" t="s">
        <v>577</v>
      </c>
      <c r="I502" s="31">
        <v>0.72341751918158503</v>
      </c>
    </row>
    <row r="503" spans="1:9" x14ac:dyDescent="0.2">
      <c r="A503" s="50" t="s">
        <v>581</v>
      </c>
      <c r="B503" s="63">
        <v>0.71959996467679199</v>
      </c>
      <c r="C503" s="50" t="s">
        <v>62</v>
      </c>
      <c r="D503" s="50" t="str">
        <f>SUBSTITUTE(SUBSTITUTE(SUBSTITUTE(A503, "'max_iter': 500,", ""), "'max_iter': 1000,", ""), "'max_iter': 1500,", "")</f>
        <v>{'activation': 'relu', 'hidden_layer_sizes': 100, 'learning_rate_init': 0.001,  'solver': 'adam'}</v>
      </c>
      <c r="E503" t="e">
        <f>_xlfn.RANK.EQ(B503,B$2:$B$479,0)</f>
        <v>#N/A</v>
      </c>
      <c r="H503" s="40" t="s">
        <v>581</v>
      </c>
      <c r="I503" s="31">
        <v>0.71959996467679199</v>
      </c>
    </row>
    <row r="504" spans="1:9" x14ac:dyDescent="0.2">
      <c r="A504" s="50" t="s">
        <v>584</v>
      </c>
      <c r="B504" s="63">
        <v>0.71924876847290597</v>
      </c>
      <c r="C504" s="50" t="s">
        <v>62</v>
      </c>
      <c r="D504" s="50" t="str">
        <f>SUBSTITUTE(SUBSTITUTE(SUBSTITUTE(A504, "'max_iter': 500,", ""), "'max_iter': 1000,", ""), "'max_iter': 1500,", "")</f>
        <v>{'activation': 'tanh', 'hidden_layer_sizes': (150, 75), 'learning_rate_init': 0.01,  'solver': 'sgd'}</v>
      </c>
      <c r="E504" t="e">
        <f>_xlfn.RANK.EQ(B504,B$2:$B$479,0)</f>
        <v>#N/A</v>
      </c>
      <c r="H504" s="40" t="s">
        <v>233</v>
      </c>
      <c r="I504" s="31">
        <v>0.71959996467679199</v>
      </c>
    </row>
    <row r="505" spans="1:9" x14ac:dyDescent="0.2">
      <c r="A505" s="50" t="s">
        <v>234</v>
      </c>
      <c r="B505" s="63">
        <v>0.71924876847290597</v>
      </c>
      <c r="C505" s="50" t="s">
        <v>62</v>
      </c>
      <c r="D505" s="50" t="str">
        <f>SUBSTITUTE(SUBSTITUTE(SUBSTITUTE(A505, "'max_iter': 500,", ""), "'max_iter': 1000,", ""), "'max_iter': 1500,", "")</f>
        <v>{'activation': 'tanh', 'hidden_layer_sizes': (150, 75), 'learning_rate_init': 0.01,  'solver': 'sgd'}</v>
      </c>
      <c r="E505" t="e">
        <f>_xlfn.RANK.EQ(B505,B$2:$B$479,0)</f>
        <v>#N/A</v>
      </c>
      <c r="H505" s="40" t="s">
        <v>582</v>
      </c>
      <c r="I505" s="31">
        <v>0.71959996467679199</v>
      </c>
    </row>
    <row r="506" spans="1:9" x14ac:dyDescent="0.2">
      <c r="A506" s="50" t="s">
        <v>583</v>
      </c>
      <c r="B506" s="63">
        <v>0.71924876847290597</v>
      </c>
      <c r="C506" s="50" t="s">
        <v>62</v>
      </c>
      <c r="D506" s="50" t="str">
        <f>SUBSTITUTE(SUBSTITUTE(SUBSTITUTE(A506, "'max_iter': 500,", ""), "'max_iter': 1000,", ""), "'max_iter': 1500,", "")</f>
        <v>{'activation': 'tanh', 'hidden_layer_sizes': (150, 75), 'learning_rate_init': 0.01,  'solver': 'sgd'}</v>
      </c>
      <c r="E506" t="e">
        <f>_xlfn.RANK.EQ(B506,B$2:$B$479,0)</f>
        <v>#N/A</v>
      </c>
      <c r="H506" s="40" t="s">
        <v>583</v>
      </c>
      <c r="I506" s="31">
        <v>0.71924876847290597</v>
      </c>
    </row>
    <row r="507" spans="1:9" x14ac:dyDescent="0.2">
      <c r="A507" s="50" t="s">
        <v>587</v>
      </c>
      <c r="B507" s="63">
        <v>0.71893890008296801</v>
      </c>
      <c r="C507" s="50" t="s">
        <v>62</v>
      </c>
      <c r="D507" s="50" t="str">
        <f>SUBSTITUTE(SUBSTITUTE(SUBSTITUTE(A507, "'max_iter': 500,", ""), "'max_iter': 1000,", ""), "'max_iter': 1500,", "")</f>
        <v>{'activation': 'relu', 'hidden_layer_sizes': 150, 'learning_rate_init': 0.005,  'solver': 'sgd'}</v>
      </c>
      <c r="E507" t="e">
        <f>_xlfn.RANK.EQ(B507,B$2:$B$479,0)</f>
        <v>#N/A</v>
      </c>
      <c r="H507" s="40" t="s">
        <v>234</v>
      </c>
      <c r="I507" s="31">
        <v>0.71924876847290597</v>
      </c>
    </row>
    <row r="508" spans="1:9" x14ac:dyDescent="0.2">
      <c r="A508" s="50" t="s">
        <v>235</v>
      </c>
      <c r="B508" s="63">
        <v>0.71893890008296801</v>
      </c>
      <c r="C508" s="50" t="s">
        <v>62</v>
      </c>
      <c r="D508" s="50" t="str">
        <f>SUBSTITUTE(SUBSTITUTE(SUBSTITUTE(A508, "'max_iter': 500,", ""), "'max_iter': 1000,", ""), "'max_iter': 1500,", "")</f>
        <v>{'activation': 'relu', 'hidden_layer_sizes': 150, 'learning_rate_init': 0.005,  'solver': 'sgd'}</v>
      </c>
      <c r="E508" t="e">
        <f>_xlfn.RANK.EQ(B508,B$2:$B$479,0)</f>
        <v>#N/A</v>
      </c>
      <c r="H508" s="40" t="s">
        <v>584</v>
      </c>
      <c r="I508" s="31">
        <v>0.71924876847290597</v>
      </c>
    </row>
    <row r="509" spans="1:9" x14ac:dyDescent="0.2">
      <c r="A509" s="50" t="s">
        <v>588</v>
      </c>
      <c r="B509" s="63">
        <v>0.71893890008296801</v>
      </c>
      <c r="C509" s="50" t="s">
        <v>62</v>
      </c>
      <c r="D509" s="50" t="str">
        <f>SUBSTITUTE(SUBSTITUTE(SUBSTITUTE(A509, "'max_iter': 500,", ""), "'max_iter': 1000,", ""), "'max_iter': 1500,", "")</f>
        <v>{'activation': 'relu', 'hidden_layer_sizes': 150, 'learning_rate_init': 0.005,  'solver': 'sgd'}</v>
      </c>
      <c r="E509" t="e">
        <f>_xlfn.RANK.EQ(B509,B$2:$B$479,0)</f>
        <v>#N/A</v>
      </c>
      <c r="H509" s="40" t="s">
        <v>585</v>
      </c>
      <c r="I509" s="31">
        <v>0.71893890008296801</v>
      </c>
    </row>
    <row r="510" spans="1:9" x14ac:dyDescent="0.2">
      <c r="A510" s="50" t="s">
        <v>586</v>
      </c>
      <c r="B510" s="63">
        <v>0.71893890008296801</v>
      </c>
      <c r="C510" s="50" t="s">
        <v>62</v>
      </c>
      <c r="D510" s="50" t="str">
        <f>SUBSTITUTE(SUBSTITUTE(SUBSTITUTE(A510, "'max_iter': 500,", ""), "'max_iter': 1000,", ""), "'max_iter': 1500,", "")</f>
        <v>{'activation': 'tanh', 'hidden_layer_sizes': (150, 75), 'learning_rate_init': 0.005,  'solver': 'sgd'}</v>
      </c>
      <c r="E510" t="e">
        <f>_xlfn.RANK.EQ(B510,B$2:$B$479,0)</f>
        <v>#N/A</v>
      </c>
      <c r="H510" s="40" t="s">
        <v>236</v>
      </c>
      <c r="I510" s="31">
        <v>0.71893890008296801</v>
      </c>
    </row>
    <row r="511" spans="1:9" x14ac:dyDescent="0.2">
      <c r="A511" s="50" t="s">
        <v>237</v>
      </c>
      <c r="B511" s="63">
        <v>0.71893890008296801</v>
      </c>
      <c r="C511" s="50" t="s">
        <v>62</v>
      </c>
      <c r="D511" s="50" t="str">
        <f>SUBSTITUTE(SUBSTITUTE(SUBSTITUTE(A511, "'max_iter': 500,", ""), "'max_iter': 1000,", ""), "'max_iter': 1500,", "")</f>
        <v>{'activation': 'tanh', 'hidden_layer_sizes': (150, 75), 'learning_rate_init': 0.005,  'solver': 'sgd'}</v>
      </c>
      <c r="E511" t="e">
        <f>_xlfn.RANK.EQ(B511,B$2:$B$479,0)</f>
        <v>#N/A</v>
      </c>
      <c r="H511" s="40" t="s">
        <v>590</v>
      </c>
      <c r="I511" s="31">
        <v>0.71893890008296801</v>
      </c>
    </row>
    <row r="512" spans="1:9" x14ac:dyDescent="0.2">
      <c r="A512" s="50" t="s">
        <v>590</v>
      </c>
      <c r="B512" s="63">
        <v>0.71893890008296801</v>
      </c>
      <c r="C512" s="50" t="s">
        <v>62</v>
      </c>
      <c r="D512" s="50" t="str">
        <f>SUBSTITUTE(SUBSTITUTE(SUBSTITUTE(A512, "'max_iter': 500,", ""), "'max_iter': 1000,", ""), "'max_iter': 1500,", "")</f>
        <v>{'activation': 'tanh', 'hidden_layer_sizes': (150, 75), 'learning_rate_init': 0.005,  'solver': 'sgd'}</v>
      </c>
      <c r="E512" t="e">
        <f>_xlfn.RANK.EQ(B512,B$2:$B$479,0)</f>
        <v>#N/A</v>
      </c>
      <c r="H512" s="40" t="s">
        <v>589</v>
      </c>
      <c r="I512" s="31">
        <v>0.71893890008296801</v>
      </c>
    </row>
    <row r="513" spans="1:9" x14ac:dyDescent="0.2">
      <c r="A513" s="50" t="s">
        <v>585</v>
      </c>
      <c r="B513" s="63">
        <v>0.71893890008296801</v>
      </c>
      <c r="C513" s="50" t="s">
        <v>62</v>
      </c>
      <c r="D513" s="50" t="str">
        <f>SUBSTITUTE(SUBSTITUTE(SUBSTITUTE(A513, "'max_iter': 500,", ""), "'max_iter': 1000,", ""), "'max_iter': 1500,", "")</f>
        <v>{'activation': 'tanh', 'hidden_layer_sizes': 50, 'learning_rate_init': 0.005,  'solver': 'sgd'}</v>
      </c>
      <c r="E513" t="e">
        <f>_xlfn.RANK.EQ(B513,B$2:$B$479,0)</f>
        <v>#N/A</v>
      </c>
      <c r="H513" s="40" t="s">
        <v>235</v>
      </c>
      <c r="I513" s="31">
        <v>0.71893890008296801</v>
      </c>
    </row>
    <row r="514" spans="1:9" x14ac:dyDescent="0.2">
      <c r="A514" s="50" t="s">
        <v>236</v>
      </c>
      <c r="B514" s="63">
        <v>0.71893890008296801</v>
      </c>
      <c r="C514" s="50" t="s">
        <v>62</v>
      </c>
      <c r="D514" s="50" t="str">
        <f>SUBSTITUTE(SUBSTITUTE(SUBSTITUTE(A514, "'max_iter': 500,", ""), "'max_iter': 1000,", ""), "'max_iter': 1500,", "")</f>
        <v>{'activation': 'tanh', 'hidden_layer_sizes': 50, 'learning_rate_init': 0.005,  'solver': 'sgd'}</v>
      </c>
      <c r="E514" t="e">
        <f>_xlfn.RANK.EQ(B514,B$2:$B$479,0)</f>
        <v>#N/A</v>
      </c>
      <c r="H514" s="40" t="s">
        <v>587</v>
      </c>
      <c r="I514" s="31">
        <v>0.71893890008296801</v>
      </c>
    </row>
    <row r="515" spans="1:9" x14ac:dyDescent="0.2">
      <c r="A515" s="50" t="s">
        <v>589</v>
      </c>
      <c r="B515" s="63">
        <v>0.71893890008296801</v>
      </c>
      <c r="C515" s="50" t="s">
        <v>62</v>
      </c>
      <c r="D515" s="50" t="str">
        <f>SUBSTITUTE(SUBSTITUTE(SUBSTITUTE(A515, "'max_iter': 500,", ""), "'max_iter': 1000,", ""), "'max_iter': 1500,", "")</f>
        <v>{'activation': 'tanh', 'hidden_layer_sizes': 50, 'learning_rate_init': 0.005,  'solver': 'sgd'}</v>
      </c>
      <c r="E515" t="e">
        <f>_xlfn.RANK.EQ(B515,B$2:$B$479,0)</f>
        <v>#N/A</v>
      </c>
      <c r="H515" s="40" t="s">
        <v>588</v>
      </c>
      <c r="I515" s="31">
        <v>0.71893890008296801</v>
      </c>
    </row>
    <row r="516" spans="1:9" x14ac:dyDescent="0.2">
      <c r="A516" s="50" t="s">
        <v>594</v>
      </c>
      <c r="B516" s="63">
        <v>0.71853827409960702</v>
      </c>
      <c r="C516" s="50" t="s">
        <v>62</v>
      </c>
      <c r="D516" s="50" t="str">
        <f>SUBSTITUTE(SUBSTITUTE(SUBSTITUTE(A516, "'max_iter': 500,", ""), "'max_iter': 1000,", ""), "'max_iter': 1500,", "")</f>
        <v>{'activation': 'identity', 'hidden_layer_sizes': (150, 75), 'learning_rate_init': 0.001,  'solver': 'adam'}</v>
      </c>
      <c r="E516" t="e">
        <f>_xlfn.RANK.EQ(B516,B$2:$B$479,0)</f>
        <v>#N/A</v>
      </c>
      <c r="H516" s="40" t="s">
        <v>237</v>
      </c>
      <c r="I516" s="31">
        <v>0.71893890008296801</v>
      </c>
    </row>
    <row r="517" spans="1:9" x14ac:dyDescent="0.2">
      <c r="A517" s="50" t="s">
        <v>239</v>
      </c>
      <c r="B517" s="63">
        <v>0.71853827409960702</v>
      </c>
      <c r="C517" s="50" t="s">
        <v>62</v>
      </c>
      <c r="D517" s="50" t="str">
        <f>SUBSTITUTE(SUBSTITUTE(SUBSTITUTE(A517, "'max_iter': 500,", ""), "'max_iter': 1000,", ""), "'max_iter': 1500,", "")</f>
        <v>{'activation': 'identity', 'hidden_layer_sizes': (150, 75), 'learning_rate_init': 0.001,  'solver': 'adam'}</v>
      </c>
      <c r="E517" t="e">
        <f>_xlfn.RANK.EQ(B517,B$2:$B$479,0)</f>
        <v>#N/A</v>
      </c>
      <c r="H517" s="40" t="s">
        <v>586</v>
      </c>
      <c r="I517" s="31">
        <v>0.71893890008296801</v>
      </c>
    </row>
    <row r="518" spans="1:9" x14ac:dyDescent="0.2">
      <c r="A518" s="50" t="s">
        <v>591</v>
      </c>
      <c r="B518" s="63">
        <v>0.71853827409960702</v>
      </c>
      <c r="C518" s="50" t="s">
        <v>62</v>
      </c>
      <c r="D518" s="50" t="str">
        <f>SUBSTITUTE(SUBSTITUTE(SUBSTITUTE(A518, "'max_iter': 500,", ""), "'max_iter': 1000,", ""), "'max_iter': 1500,", "")</f>
        <v>{'activation': 'identity', 'hidden_layer_sizes': (150, 75), 'learning_rate_init': 0.001,  'solver': 'adam'}</v>
      </c>
      <c r="E518" t="e">
        <f>_xlfn.RANK.EQ(B518,B$2:$B$479,0)</f>
        <v>#N/A</v>
      </c>
      <c r="H518" s="40" t="s">
        <v>593</v>
      </c>
      <c r="I518" s="31">
        <v>0.71853827409960702</v>
      </c>
    </row>
    <row r="519" spans="1:9" x14ac:dyDescent="0.2">
      <c r="A519" s="50" t="s">
        <v>593</v>
      </c>
      <c r="B519" s="63">
        <v>0.71853827409960702</v>
      </c>
      <c r="C519" s="50" t="s">
        <v>62</v>
      </c>
      <c r="D519" s="50" t="str">
        <f>SUBSTITUTE(SUBSTITUTE(SUBSTITUTE(A519, "'max_iter': 500,", ""), "'max_iter': 1000,", ""), "'max_iter': 1500,", "")</f>
        <v>{'activation': 'tanh', 'hidden_layer_sizes': (200, 100), 'learning_rate_init': 0.005,  'solver': 'sgd'}</v>
      </c>
      <c r="E519" t="e">
        <f>_xlfn.RANK.EQ(B519,B$2:$B$479,0)</f>
        <v>#N/A</v>
      </c>
      <c r="H519" s="40" t="s">
        <v>592</v>
      </c>
      <c r="I519" s="31">
        <v>0.71853827409960702</v>
      </c>
    </row>
    <row r="520" spans="1:9" x14ac:dyDescent="0.2">
      <c r="A520" s="50" t="s">
        <v>238</v>
      </c>
      <c r="B520" s="63">
        <v>0.71853827409960702</v>
      </c>
      <c r="C520" s="50" t="s">
        <v>62</v>
      </c>
      <c r="D520" s="50" t="str">
        <f>SUBSTITUTE(SUBSTITUTE(SUBSTITUTE(A520, "'max_iter': 500,", ""), "'max_iter': 1000,", ""), "'max_iter': 1500,", "")</f>
        <v>{'activation': 'tanh', 'hidden_layer_sizes': (200, 100), 'learning_rate_init': 0.005,  'solver': 'sgd'}</v>
      </c>
      <c r="E520" t="e">
        <f>_xlfn.RANK.EQ(B520,B$2:$B$479,0)</f>
        <v>#N/A</v>
      </c>
      <c r="H520" s="40" t="s">
        <v>238</v>
      </c>
      <c r="I520" s="31">
        <v>0.71853827409960702</v>
      </c>
    </row>
    <row r="521" spans="1:9" x14ac:dyDescent="0.2">
      <c r="A521" s="50" t="s">
        <v>592</v>
      </c>
      <c r="B521" s="63">
        <v>0.71853827409960702</v>
      </c>
      <c r="C521" s="50" t="s">
        <v>62</v>
      </c>
      <c r="D521" s="50" t="str">
        <f>SUBSTITUTE(SUBSTITUTE(SUBSTITUTE(A521, "'max_iter': 500,", ""), "'max_iter': 1000,", ""), "'max_iter': 1500,", "")</f>
        <v>{'activation': 'tanh', 'hidden_layer_sizes': (200, 100), 'learning_rate_init': 0.005,  'solver': 'sgd'}</v>
      </c>
      <c r="E521" t="e">
        <f>_xlfn.RANK.EQ(B521,B$2:$B$479,0)</f>
        <v>#N/A</v>
      </c>
      <c r="H521" s="40" t="s">
        <v>594</v>
      </c>
      <c r="I521" s="31">
        <v>0.71853827409960702</v>
      </c>
    </row>
    <row r="522" spans="1:9" x14ac:dyDescent="0.2">
      <c r="A522" s="50" t="s">
        <v>595</v>
      </c>
      <c r="B522" s="63">
        <v>0.71340196078431295</v>
      </c>
      <c r="C522" s="50" t="s">
        <v>62</v>
      </c>
      <c r="D522" s="50" t="str">
        <f>SUBSTITUTE(SUBSTITUTE(SUBSTITUTE(A522, "'max_iter': 500,", ""), "'max_iter': 1000,", ""), "'max_iter': 1500,", "")</f>
        <v>{'activation': 'identity', 'hidden_layer_sizes': (200, 100), 'learning_rate_init': 0.001,  'solver': 'adam'}</v>
      </c>
      <c r="E522" t="e">
        <f>_xlfn.RANK.EQ(B522,B$2:$B$479,0)</f>
        <v>#N/A</v>
      </c>
      <c r="H522" s="40" t="s">
        <v>239</v>
      </c>
      <c r="I522" s="31">
        <v>0.71853827409960702</v>
      </c>
    </row>
    <row r="523" spans="1:9" x14ac:dyDescent="0.2">
      <c r="A523" s="50" t="s">
        <v>240</v>
      </c>
      <c r="B523" s="63">
        <v>0.71340196078431295</v>
      </c>
      <c r="C523" s="50" t="s">
        <v>62</v>
      </c>
      <c r="D523" s="50" t="str">
        <f>SUBSTITUTE(SUBSTITUTE(SUBSTITUTE(A523, "'max_iter': 500,", ""), "'max_iter': 1000,", ""), "'max_iter': 1500,", "")</f>
        <v>{'activation': 'identity', 'hidden_layer_sizes': (200, 100), 'learning_rate_init': 0.001,  'solver': 'adam'}</v>
      </c>
      <c r="E523" t="e">
        <f>_xlfn.RANK.EQ(B523,B$2:$B$479,0)</f>
        <v>#N/A</v>
      </c>
      <c r="H523" s="40" t="s">
        <v>591</v>
      </c>
      <c r="I523" s="31">
        <v>0.71853827409960702</v>
      </c>
    </row>
    <row r="524" spans="1:9" x14ac:dyDescent="0.2">
      <c r="A524" s="50" t="s">
        <v>596</v>
      </c>
      <c r="B524" s="63">
        <v>0.71340196078431295</v>
      </c>
      <c r="C524" s="50" t="s">
        <v>62</v>
      </c>
      <c r="D524" s="50" t="str">
        <f>SUBSTITUTE(SUBSTITUTE(SUBSTITUTE(A524, "'max_iter': 500,", ""), "'max_iter': 1000,", ""), "'max_iter': 1500,", "")</f>
        <v>{'activation': 'identity', 'hidden_layer_sizes': (200, 100), 'learning_rate_init': 0.001,  'solver': 'adam'}</v>
      </c>
      <c r="E524" t="e">
        <f>_xlfn.RANK.EQ(B524,B$2:$B$479,0)</f>
        <v>#N/A</v>
      </c>
      <c r="H524" s="40" t="s">
        <v>240</v>
      </c>
      <c r="I524" s="31">
        <v>0.71340196078431295</v>
      </c>
    </row>
    <row r="525" spans="1:9" x14ac:dyDescent="0.2">
      <c r="A525" s="50" t="s">
        <v>597</v>
      </c>
      <c r="B525" s="63">
        <v>0.71286300505050504</v>
      </c>
      <c r="C525" s="50" t="s">
        <v>62</v>
      </c>
      <c r="D525" s="50" t="str">
        <f>SUBSTITUTE(SUBSTITUTE(SUBSTITUTE(A525, "'max_iter': 500,", ""), "'max_iter': 1000,", ""), "'max_iter': 1500,", "")</f>
        <v>{'activation': 'relu', 'hidden_layer_sizes': 150, 'learning_rate_init': 0.01,  'solver': 'sgd'}</v>
      </c>
      <c r="E525" t="e">
        <f>_xlfn.RANK.EQ(B525,B$2:$B$479,0)</f>
        <v>#N/A</v>
      </c>
      <c r="H525" s="40" t="s">
        <v>596</v>
      </c>
      <c r="I525" s="31">
        <v>0.71340196078431295</v>
      </c>
    </row>
    <row r="526" spans="1:9" x14ac:dyDescent="0.2">
      <c r="A526" s="50" t="s">
        <v>241</v>
      </c>
      <c r="B526" s="63">
        <v>0.71286300505050504</v>
      </c>
      <c r="C526" s="50" t="s">
        <v>62</v>
      </c>
      <c r="D526" s="50" t="str">
        <f>SUBSTITUTE(SUBSTITUTE(SUBSTITUTE(A526, "'max_iter': 500,", ""), "'max_iter': 1000,", ""), "'max_iter': 1500,", "")</f>
        <v>{'activation': 'relu', 'hidden_layer_sizes': 150, 'learning_rate_init': 0.01,  'solver': 'sgd'}</v>
      </c>
      <c r="E526" t="e">
        <f>_xlfn.RANK.EQ(B526,B$2:$B$479,0)</f>
        <v>#N/A</v>
      </c>
      <c r="H526" s="40" t="s">
        <v>595</v>
      </c>
      <c r="I526" s="31">
        <v>0.71340196078431295</v>
      </c>
    </row>
    <row r="527" spans="1:9" x14ac:dyDescent="0.2">
      <c r="A527" s="50" t="s">
        <v>598</v>
      </c>
      <c r="B527" s="63">
        <v>0.71286300505050504</v>
      </c>
      <c r="C527" s="50" t="s">
        <v>62</v>
      </c>
      <c r="D527" s="50" t="str">
        <f>SUBSTITUTE(SUBSTITUTE(SUBSTITUTE(A527, "'max_iter': 500,", ""), "'max_iter': 1000,", ""), "'max_iter': 1500,", "")</f>
        <v>{'activation': 'relu', 'hidden_layer_sizes': 150, 'learning_rate_init': 0.01,  'solver': 'sgd'}</v>
      </c>
      <c r="E527" t="e">
        <f>_xlfn.RANK.EQ(B527,B$2:$B$479,0)</f>
        <v>#N/A</v>
      </c>
      <c r="H527" s="40" t="s">
        <v>597</v>
      </c>
      <c r="I527" s="31">
        <v>0.71286300505050504</v>
      </c>
    </row>
    <row r="528" spans="1:9" x14ac:dyDescent="0.2">
      <c r="A528" s="50" t="s">
        <v>600</v>
      </c>
      <c r="B528" s="63">
        <v>0.71084558823529398</v>
      </c>
      <c r="C528" s="50" t="s">
        <v>62</v>
      </c>
      <c r="D528" s="50" t="str">
        <f>SUBSTITUTE(SUBSTITUTE(SUBSTITUTE(A528, "'max_iter': 500,", ""), "'max_iter': 1000,", ""), "'max_iter': 1500,", "")</f>
        <v>{'activation': 'relu', 'hidden_layer_sizes': (200, 75, 25), 'learning_rate_init': 0.01,  'solver': 'adam'}</v>
      </c>
      <c r="E528" t="e">
        <f>_xlfn.RANK.EQ(B528,B$2:$B$479,0)</f>
        <v>#N/A</v>
      </c>
      <c r="H528" s="40" t="s">
        <v>241</v>
      </c>
      <c r="I528" s="31">
        <v>0.71286300505050504</v>
      </c>
    </row>
    <row r="529" spans="1:9" x14ac:dyDescent="0.2">
      <c r="A529" s="50" t="s">
        <v>242</v>
      </c>
      <c r="B529" s="63">
        <v>0.71084558823529398</v>
      </c>
      <c r="C529" s="50" t="s">
        <v>62</v>
      </c>
      <c r="D529" s="50" t="str">
        <f>SUBSTITUTE(SUBSTITUTE(SUBSTITUTE(A529, "'max_iter': 500,", ""), "'max_iter': 1000,", ""), "'max_iter': 1500,", "")</f>
        <v>{'activation': 'relu', 'hidden_layer_sizes': (200, 75, 25), 'learning_rate_init': 0.01,  'solver': 'adam'}</v>
      </c>
      <c r="E529" t="e">
        <f>_xlfn.RANK.EQ(B529,B$2:$B$479,0)</f>
        <v>#N/A</v>
      </c>
      <c r="H529" s="40" t="s">
        <v>598</v>
      </c>
      <c r="I529" s="31">
        <v>0.71286300505050504</v>
      </c>
    </row>
    <row r="530" spans="1:9" x14ac:dyDescent="0.2">
      <c r="A530" s="50" t="s">
        <v>599</v>
      </c>
      <c r="B530" s="63">
        <v>0.71084558823529398</v>
      </c>
      <c r="C530" s="50" t="s">
        <v>62</v>
      </c>
      <c r="D530" s="50" t="str">
        <f>SUBSTITUTE(SUBSTITUTE(SUBSTITUTE(A530, "'max_iter': 500,", ""), "'max_iter': 1000,", ""), "'max_iter': 1500,", "")</f>
        <v>{'activation': 'relu', 'hidden_layer_sizes': (200, 75, 25), 'learning_rate_init': 0.01,  'solver': 'adam'}</v>
      </c>
      <c r="E530" t="e">
        <f>_xlfn.RANK.EQ(B530,B$2:$B$479,0)</f>
        <v>#N/A</v>
      </c>
      <c r="H530" s="40" t="s">
        <v>242</v>
      </c>
      <c r="I530" s="31">
        <v>0.71084558823529398</v>
      </c>
    </row>
    <row r="531" spans="1:9" x14ac:dyDescent="0.2">
      <c r="A531" s="50" t="s">
        <v>601</v>
      </c>
      <c r="B531" s="63">
        <v>0.70677093596059104</v>
      </c>
      <c r="C531" s="50" t="s">
        <v>62</v>
      </c>
      <c r="D531" s="50" t="str">
        <f>SUBSTITUTE(SUBSTITUTE(SUBSTITUTE(A531, "'max_iter': 500,", ""), "'max_iter': 1000,", ""), "'max_iter': 1500,", "")</f>
        <v>{'activation': 'tanh', 'hidden_layer_sizes': (200, 75, 25), 'learning_rate_init': 0.01,  'solver': 'adam'}</v>
      </c>
      <c r="E531" t="e">
        <f>_xlfn.RANK.EQ(B531,B$2:$B$479,0)</f>
        <v>#N/A</v>
      </c>
      <c r="H531" s="40" t="s">
        <v>600</v>
      </c>
      <c r="I531" s="31">
        <v>0.71084558823529398</v>
      </c>
    </row>
    <row r="532" spans="1:9" x14ac:dyDescent="0.2">
      <c r="A532" s="50" t="s">
        <v>243</v>
      </c>
      <c r="B532" s="63">
        <v>0.70677093596059104</v>
      </c>
      <c r="C532" s="50" t="s">
        <v>62</v>
      </c>
      <c r="D532" s="50" t="str">
        <f>SUBSTITUTE(SUBSTITUTE(SUBSTITUTE(A532, "'max_iter': 500,", ""), "'max_iter': 1000,", ""), "'max_iter': 1500,", "")</f>
        <v>{'activation': 'tanh', 'hidden_layer_sizes': (200, 75, 25), 'learning_rate_init': 0.01,  'solver': 'adam'}</v>
      </c>
      <c r="E532" t="e">
        <f>_xlfn.RANK.EQ(B532,B$2:$B$479,0)</f>
        <v>#N/A</v>
      </c>
      <c r="H532" s="40" t="s">
        <v>599</v>
      </c>
      <c r="I532" s="31">
        <v>0.71084558823529398</v>
      </c>
    </row>
    <row r="533" spans="1:9" x14ac:dyDescent="0.2">
      <c r="A533" s="50" t="s">
        <v>602</v>
      </c>
      <c r="B533" s="63">
        <v>0.70677093596059104</v>
      </c>
      <c r="C533" s="50" t="s">
        <v>62</v>
      </c>
      <c r="D533" s="50" t="str">
        <f>SUBSTITUTE(SUBSTITUTE(SUBSTITUTE(A533, "'max_iter': 500,", ""), "'max_iter': 1000,", ""), "'max_iter': 1500,", "")</f>
        <v>{'activation': 'tanh', 'hidden_layer_sizes': (200, 75, 25), 'learning_rate_init': 0.01,  'solver': 'adam'}</v>
      </c>
      <c r="E533" t="e">
        <f>_xlfn.RANK.EQ(B533,B$2:$B$479,0)</f>
        <v>#N/A</v>
      </c>
      <c r="H533" s="40" t="s">
        <v>602</v>
      </c>
      <c r="I533" s="31">
        <v>0.70677093596059104</v>
      </c>
    </row>
    <row r="534" spans="1:9" x14ac:dyDescent="0.2">
      <c r="A534" s="50" t="s">
        <v>603</v>
      </c>
      <c r="B534" s="63">
        <v>0.70644729564220998</v>
      </c>
      <c r="C534" s="50" t="s">
        <v>62</v>
      </c>
      <c r="D534" s="50" t="str">
        <f>SUBSTITUTE(SUBSTITUTE(SUBSTITUTE(A534, "'max_iter': 500,", ""), "'max_iter': 1000,", ""), "'max_iter': 1500,", "")</f>
        <v>{'activation': 'tanh', 'hidden_layer_sizes': (150, 75), 'learning_rate_init': 0.001,  'solver': 'sgd'}</v>
      </c>
      <c r="E534" t="e">
        <f>_xlfn.RANK.EQ(B534,B$2:$B$479,0)</f>
        <v>#N/A</v>
      </c>
      <c r="H534" s="40" t="s">
        <v>243</v>
      </c>
      <c r="I534" s="31">
        <v>0.70677093596059104</v>
      </c>
    </row>
    <row r="535" spans="1:9" x14ac:dyDescent="0.2">
      <c r="A535" s="50" t="s">
        <v>244</v>
      </c>
      <c r="B535" s="63">
        <v>0.70644729564220998</v>
      </c>
      <c r="C535" s="50" t="s">
        <v>62</v>
      </c>
      <c r="D535" s="50" t="str">
        <f>SUBSTITUTE(SUBSTITUTE(SUBSTITUTE(A535, "'max_iter': 500,", ""), "'max_iter': 1000,", ""), "'max_iter': 1500,", "")</f>
        <v>{'activation': 'tanh', 'hidden_layer_sizes': (150, 75), 'learning_rate_init': 0.001,  'solver': 'sgd'}</v>
      </c>
      <c r="E535" t="e">
        <f>_xlfn.RANK.EQ(B535,B$2:$B$479,0)</f>
        <v>#N/A</v>
      </c>
      <c r="H535" s="40" t="s">
        <v>601</v>
      </c>
      <c r="I535" s="31">
        <v>0.70677093596059104</v>
      </c>
    </row>
    <row r="536" spans="1:9" x14ac:dyDescent="0.2">
      <c r="A536" s="50" t="s">
        <v>604</v>
      </c>
      <c r="B536" s="63">
        <v>0.70644729564220998</v>
      </c>
      <c r="C536" s="50" t="s">
        <v>62</v>
      </c>
      <c r="D536" s="50" t="str">
        <f>SUBSTITUTE(SUBSTITUTE(SUBSTITUTE(A536, "'max_iter': 500,", ""), "'max_iter': 1000,", ""), "'max_iter': 1500,", "")</f>
        <v>{'activation': 'tanh', 'hidden_layer_sizes': (150, 75), 'learning_rate_init': 0.001,  'solver': 'sgd'}</v>
      </c>
      <c r="E536" t="e">
        <f>_xlfn.RANK.EQ(B536,B$2:$B$479,0)</f>
        <v>#N/A</v>
      </c>
      <c r="H536" s="40" t="s">
        <v>603</v>
      </c>
      <c r="I536" s="31">
        <v>0.70644729564220998</v>
      </c>
    </row>
    <row r="537" spans="1:9" x14ac:dyDescent="0.2">
      <c r="A537" s="50" t="s">
        <v>605</v>
      </c>
      <c r="B537" s="63">
        <v>0.70551442823641597</v>
      </c>
      <c r="C537" s="50" t="s">
        <v>62</v>
      </c>
      <c r="D537" s="50" t="str">
        <f>SUBSTITUTE(SUBSTITUTE(SUBSTITUTE(A537, "'max_iter': 500,", ""), "'max_iter': 1000,", ""), "'max_iter': 1500,", "")</f>
        <v>{'activation': 'tanh', 'hidden_layer_sizes': (200, 100), 'learning_rate_init': 0.001,  'solver': 'sgd'}</v>
      </c>
      <c r="E537" t="e">
        <f>_xlfn.RANK.EQ(B537,B$2:$B$479,0)</f>
        <v>#N/A</v>
      </c>
      <c r="H537" s="40" t="s">
        <v>604</v>
      </c>
      <c r="I537" s="31">
        <v>0.70644729564220998</v>
      </c>
    </row>
    <row r="538" spans="1:9" x14ac:dyDescent="0.2">
      <c r="A538" s="50" t="s">
        <v>245</v>
      </c>
      <c r="B538" s="63">
        <v>0.70551442823641597</v>
      </c>
      <c r="C538" s="50" t="s">
        <v>62</v>
      </c>
      <c r="D538" s="50" t="str">
        <f>SUBSTITUTE(SUBSTITUTE(SUBSTITUTE(A538, "'max_iter': 500,", ""), "'max_iter': 1000,", ""), "'max_iter': 1500,", "")</f>
        <v>{'activation': 'tanh', 'hidden_layer_sizes': (200, 100), 'learning_rate_init': 0.001,  'solver': 'sgd'}</v>
      </c>
      <c r="E538" t="e">
        <f>_xlfn.RANK.EQ(B538,B$2:$B$479,0)</f>
        <v>#N/A</v>
      </c>
      <c r="H538" s="40" t="s">
        <v>244</v>
      </c>
      <c r="I538" s="31">
        <v>0.70644729564220998</v>
      </c>
    </row>
    <row r="539" spans="1:9" x14ac:dyDescent="0.2">
      <c r="A539" s="50" t="s">
        <v>606</v>
      </c>
      <c r="B539" s="63">
        <v>0.70551442823641597</v>
      </c>
      <c r="C539" s="50" t="s">
        <v>62</v>
      </c>
      <c r="D539" s="50" t="str">
        <f>SUBSTITUTE(SUBSTITUTE(SUBSTITUTE(A539, "'max_iter': 500,", ""), "'max_iter': 1000,", ""), "'max_iter': 1500,", "")</f>
        <v>{'activation': 'tanh', 'hidden_layer_sizes': (200, 100), 'learning_rate_init': 0.001,  'solver': 'sgd'}</v>
      </c>
      <c r="E539" t="e">
        <f>_xlfn.RANK.EQ(B539,B$2:$B$479,0)</f>
        <v>#N/A</v>
      </c>
      <c r="H539" s="40" t="s">
        <v>606</v>
      </c>
      <c r="I539" s="31">
        <v>0.70551442823641597</v>
      </c>
    </row>
    <row r="540" spans="1:9" x14ac:dyDescent="0.2">
      <c r="A540" s="50" t="s">
        <v>608</v>
      </c>
      <c r="B540" s="63">
        <v>0.70094117647058796</v>
      </c>
      <c r="C540" s="50" t="s">
        <v>62</v>
      </c>
      <c r="D540" s="50" t="str">
        <f>SUBSTITUTE(SUBSTITUTE(SUBSTITUTE(A540, "'max_iter': 500,", ""), "'max_iter': 1000,", ""), "'max_iter': 1500,", "")</f>
        <v>{'activation': 'tanh', 'hidden_layer_sizes': (150, 75), 'learning_rate_init': 0.005,  'solver': 'adam'}</v>
      </c>
      <c r="E540" t="e">
        <f>_xlfn.RANK.EQ(B540,B$2:$B$479,0)</f>
        <v>#N/A</v>
      </c>
      <c r="H540" s="40" t="s">
        <v>245</v>
      </c>
      <c r="I540" s="31">
        <v>0.70551442823641597</v>
      </c>
    </row>
    <row r="541" spans="1:9" x14ac:dyDescent="0.2">
      <c r="A541" s="50" t="s">
        <v>246</v>
      </c>
      <c r="B541" s="63">
        <v>0.70094117647058796</v>
      </c>
      <c r="C541" s="50" t="s">
        <v>62</v>
      </c>
      <c r="D541" s="50" t="str">
        <f>SUBSTITUTE(SUBSTITUTE(SUBSTITUTE(A541, "'max_iter': 500,", ""), "'max_iter': 1000,", ""), "'max_iter': 1500,", "")</f>
        <v>{'activation': 'tanh', 'hidden_layer_sizes': (150, 75), 'learning_rate_init': 0.005,  'solver': 'adam'}</v>
      </c>
      <c r="E541" t="e">
        <f>_xlfn.RANK.EQ(B541,B$2:$B$479,0)</f>
        <v>#N/A</v>
      </c>
      <c r="H541" s="40" t="s">
        <v>605</v>
      </c>
      <c r="I541" s="31">
        <v>0.70551442823641597</v>
      </c>
    </row>
    <row r="542" spans="1:9" x14ac:dyDescent="0.2">
      <c r="A542" s="50" t="s">
        <v>607</v>
      </c>
      <c r="B542" s="63">
        <v>0.70094117647058796</v>
      </c>
      <c r="C542" s="50" t="s">
        <v>62</v>
      </c>
      <c r="D542" s="50" t="str">
        <f>SUBSTITUTE(SUBSTITUTE(SUBSTITUTE(A542, "'max_iter': 500,", ""), "'max_iter': 1000,", ""), "'max_iter': 1500,", "")</f>
        <v>{'activation': 'tanh', 'hidden_layer_sizes': (150, 75), 'learning_rate_init': 0.005,  'solver': 'adam'}</v>
      </c>
      <c r="E542" t="e">
        <f>_xlfn.RANK.EQ(B542,B$2:$B$479,0)</f>
        <v>#N/A</v>
      </c>
      <c r="H542" s="40" t="s">
        <v>608</v>
      </c>
      <c r="I542" s="31">
        <v>0.70094117647058796</v>
      </c>
    </row>
    <row r="543" spans="1:9" x14ac:dyDescent="0.2">
      <c r="A543" s="50" t="s">
        <v>609</v>
      </c>
      <c r="B543" s="63">
        <v>0.68818886789481903</v>
      </c>
      <c r="C543" s="50" t="s">
        <v>62</v>
      </c>
      <c r="D543" s="50" t="str">
        <f>SUBSTITUTE(SUBSTITUTE(SUBSTITUTE(A543, "'max_iter': 500,", ""), "'max_iter': 1000,", ""), "'max_iter': 1500,", "")</f>
        <v>{'activation': 'identity', 'hidden_layer_sizes': (200, 100), 'learning_rate_init': 0.005,  'solver': 'adam'}</v>
      </c>
      <c r="E543" t="e">
        <f>_xlfn.RANK.EQ(B543,B$2:$B$479,0)</f>
        <v>#N/A</v>
      </c>
      <c r="H543" s="40" t="s">
        <v>607</v>
      </c>
      <c r="I543" s="31">
        <v>0.70094117647058796</v>
      </c>
    </row>
    <row r="544" spans="1:9" x14ac:dyDescent="0.2">
      <c r="A544" s="50" t="s">
        <v>247</v>
      </c>
      <c r="B544" s="63">
        <v>0.68818886789481903</v>
      </c>
      <c r="C544" s="50" t="s">
        <v>62</v>
      </c>
      <c r="D544" s="50" t="str">
        <f>SUBSTITUTE(SUBSTITUTE(SUBSTITUTE(A544, "'max_iter': 500,", ""), "'max_iter': 1000,", ""), "'max_iter': 1500,", "")</f>
        <v>{'activation': 'identity', 'hidden_layer_sizes': (200, 100), 'learning_rate_init': 0.005,  'solver': 'adam'}</v>
      </c>
      <c r="E544" t="e">
        <f>_xlfn.RANK.EQ(B544,B$2:$B$479,0)</f>
        <v>#N/A</v>
      </c>
      <c r="H544" s="40" t="s">
        <v>246</v>
      </c>
      <c r="I544" s="31">
        <v>0.70094117647058796</v>
      </c>
    </row>
    <row r="545" spans="1:9" x14ac:dyDescent="0.2">
      <c r="A545" s="50" t="s">
        <v>610</v>
      </c>
      <c r="B545" s="63">
        <v>0.68818886789481903</v>
      </c>
      <c r="C545" s="50" t="s">
        <v>62</v>
      </c>
      <c r="D545" s="50" t="str">
        <f>SUBSTITUTE(SUBSTITUTE(SUBSTITUTE(A545, "'max_iter': 500,", ""), "'max_iter': 1000,", ""), "'max_iter': 1500,", "")</f>
        <v>{'activation': 'identity', 'hidden_layer_sizes': (200, 100), 'learning_rate_init': 0.005,  'solver': 'adam'}</v>
      </c>
      <c r="E545" t="e">
        <f>_xlfn.RANK.EQ(B545,B$2:$B$479,0)</f>
        <v>#N/A</v>
      </c>
      <c r="H545" s="40" t="s">
        <v>609</v>
      </c>
      <c r="I545" s="31">
        <v>0.68818886789481903</v>
      </c>
    </row>
    <row r="546" spans="1:9" x14ac:dyDescent="0.2">
      <c r="A546" s="50" t="s">
        <v>614</v>
      </c>
      <c r="B546" s="63">
        <v>0.27278138528138501</v>
      </c>
      <c r="C546" s="50" t="s">
        <v>62</v>
      </c>
      <c r="D546" s="50" t="str">
        <f>SUBSTITUTE(SUBSTITUTE(SUBSTITUTE(A546, "'max_iter': 500,", ""), "'max_iter': 1000,", ""), "'max_iter': 1500,", "")</f>
        <v>{'activation': 'logistic', 'hidden_layer_sizes': (200, 100, 50), 'learning_rate_init': 0.001,  'solver': 'sgd'}</v>
      </c>
      <c r="E546" t="e">
        <f>_xlfn.RANK.EQ(B546,B$2:$B$479,0)</f>
        <v>#N/A</v>
      </c>
      <c r="H546" s="40" t="s">
        <v>247</v>
      </c>
      <c r="I546" s="31">
        <v>0.68818886789481903</v>
      </c>
    </row>
    <row r="547" spans="1:9" x14ac:dyDescent="0.2">
      <c r="A547" s="50" t="s">
        <v>251</v>
      </c>
      <c r="B547" s="63">
        <v>0.27278138528138501</v>
      </c>
      <c r="C547" s="50" t="s">
        <v>62</v>
      </c>
      <c r="D547" s="50" t="str">
        <f>SUBSTITUTE(SUBSTITUTE(SUBSTITUTE(A547, "'max_iter': 500,", ""), "'max_iter': 1000,", ""), "'max_iter': 1500,", "")</f>
        <v>{'activation': 'logistic', 'hidden_layer_sizes': (200, 100, 50), 'learning_rate_init': 0.001,  'solver': 'sgd'}</v>
      </c>
      <c r="E547" t="e">
        <f>_xlfn.RANK.EQ(B547,B$2:$B$479,0)</f>
        <v>#N/A</v>
      </c>
      <c r="H547" s="40" t="s">
        <v>610</v>
      </c>
      <c r="I547" s="31">
        <v>0.68818886789481903</v>
      </c>
    </row>
    <row r="548" spans="1:9" x14ac:dyDescent="0.2">
      <c r="A548" s="50" t="s">
        <v>613</v>
      </c>
      <c r="B548" s="63">
        <v>0.27278138528138501</v>
      </c>
      <c r="C548" s="50" t="s">
        <v>62</v>
      </c>
      <c r="D548" s="50" t="str">
        <f>SUBSTITUTE(SUBSTITUTE(SUBSTITUTE(A548, "'max_iter': 500,", ""), "'max_iter': 1000,", ""), "'max_iter': 1500,", "")</f>
        <v>{'activation': 'logistic', 'hidden_layer_sizes': (200, 100, 50), 'learning_rate_init': 0.001,  'solver': 'sgd'}</v>
      </c>
      <c r="E548" t="e">
        <f>_xlfn.RANK.EQ(B548,B$2:$B$479,0)</f>
        <v>#N/A</v>
      </c>
      <c r="H548" s="40" t="s">
        <v>249</v>
      </c>
      <c r="I548" s="31">
        <v>0.27278138528138501</v>
      </c>
    </row>
    <row r="549" spans="1:9" x14ac:dyDescent="0.2">
      <c r="A549" s="50" t="s">
        <v>618</v>
      </c>
      <c r="B549" s="63">
        <v>0.27278138528138501</v>
      </c>
      <c r="C549" s="50" t="s">
        <v>62</v>
      </c>
      <c r="D549" s="50" t="str">
        <f>SUBSTITUTE(SUBSTITUTE(SUBSTITUTE(A549, "'max_iter': 500,", ""), "'max_iter': 1000,", ""), "'max_iter': 1500,", "")</f>
        <v>{'activation': 'logistic', 'hidden_layer_sizes': (200, 100, 50), 'learning_rate_init': 0.005,  'solver': 'sgd'}</v>
      </c>
      <c r="E549" t="e">
        <f>_xlfn.RANK.EQ(B549,B$2:$B$479,0)</f>
        <v>#N/A</v>
      </c>
      <c r="H549" s="40" t="s">
        <v>248</v>
      </c>
      <c r="I549" s="31">
        <v>0.27278138528138501</v>
      </c>
    </row>
    <row r="550" spans="1:9" x14ac:dyDescent="0.2">
      <c r="A550" s="50" t="s">
        <v>249</v>
      </c>
      <c r="B550" s="63">
        <v>0.27278138528138501</v>
      </c>
      <c r="C550" s="50" t="s">
        <v>62</v>
      </c>
      <c r="D550" s="50" t="str">
        <f>SUBSTITUTE(SUBSTITUTE(SUBSTITUTE(A550, "'max_iter': 500,", ""), "'max_iter': 1000,", ""), "'max_iter': 1500,", "")</f>
        <v>{'activation': 'logistic', 'hidden_layer_sizes': (200, 100, 50), 'learning_rate_init': 0.005,  'solver': 'sgd'}</v>
      </c>
      <c r="E550" t="e">
        <f>_xlfn.RANK.EQ(B550,B$2:$B$479,0)</f>
        <v>#N/A</v>
      </c>
      <c r="H550" s="40" t="s">
        <v>618</v>
      </c>
      <c r="I550" s="31">
        <v>0.27278138528138501</v>
      </c>
    </row>
    <row r="551" spans="1:9" x14ac:dyDescent="0.2">
      <c r="A551" s="50" t="s">
        <v>617</v>
      </c>
      <c r="B551" s="63">
        <v>0.27278138528138501</v>
      </c>
      <c r="C551" s="50" t="s">
        <v>62</v>
      </c>
      <c r="D551" s="50" t="str">
        <f>SUBSTITUTE(SUBSTITUTE(SUBSTITUTE(A551, "'max_iter': 500,", ""), "'max_iter': 1000,", ""), "'max_iter': 1500,", "")</f>
        <v>{'activation': 'logistic', 'hidden_layer_sizes': (200, 100, 50), 'learning_rate_init': 0.005,  'solver': 'sgd'}</v>
      </c>
      <c r="E551" t="e">
        <f>_xlfn.RANK.EQ(B551,B$2:$B$479,0)</f>
        <v>#N/A</v>
      </c>
      <c r="H551" s="40" t="s">
        <v>617</v>
      </c>
      <c r="I551" s="31">
        <v>0.27278138528138501</v>
      </c>
    </row>
    <row r="552" spans="1:9" x14ac:dyDescent="0.2">
      <c r="A552" s="50" t="s">
        <v>615</v>
      </c>
      <c r="B552" s="63">
        <v>0.27278138528138501</v>
      </c>
      <c r="C552" s="50" t="s">
        <v>62</v>
      </c>
      <c r="D552" s="50" t="str">
        <f>SUBSTITUTE(SUBSTITUTE(SUBSTITUTE(A552, "'max_iter': 500,", ""), "'max_iter': 1000,", ""), "'max_iter': 1500,", "")</f>
        <v>{'activation': 'logistic', 'hidden_layer_sizes': (200, 75, 25), 'learning_rate_init': 0.001,  'solver': 'sgd'}</v>
      </c>
      <c r="E552" t="e">
        <f>_xlfn.RANK.EQ(B552,B$2:$B$479,0)</f>
        <v>#N/A</v>
      </c>
      <c r="H552" s="40" t="s">
        <v>612</v>
      </c>
      <c r="I552" s="31">
        <v>0.27278138528138501</v>
      </c>
    </row>
    <row r="553" spans="1:9" x14ac:dyDescent="0.2">
      <c r="A553" s="50" t="s">
        <v>250</v>
      </c>
      <c r="B553" s="63">
        <v>0.27278138528138501</v>
      </c>
      <c r="C553" s="50" t="s">
        <v>62</v>
      </c>
      <c r="D553" s="50" t="str">
        <f>SUBSTITUTE(SUBSTITUTE(SUBSTITUTE(A553, "'max_iter': 500,", ""), "'max_iter': 1000,", ""), "'max_iter': 1500,", "")</f>
        <v>{'activation': 'logistic', 'hidden_layer_sizes': (200, 75, 25), 'learning_rate_init': 0.001,  'solver': 'sgd'}</v>
      </c>
      <c r="E553" t="e">
        <f>_xlfn.RANK.EQ(B553,B$2:$B$479,0)</f>
        <v>#N/A</v>
      </c>
      <c r="H553" s="40" t="s">
        <v>614</v>
      </c>
      <c r="I553" s="31">
        <v>0.27278138528138501</v>
      </c>
    </row>
    <row r="554" spans="1:9" x14ac:dyDescent="0.2">
      <c r="A554" s="50" t="s">
        <v>616</v>
      </c>
      <c r="B554" s="63">
        <v>0.27278138528138501</v>
      </c>
      <c r="C554" s="50" t="s">
        <v>62</v>
      </c>
      <c r="D554" s="50" t="str">
        <f>SUBSTITUTE(SUBSTITUTE(SUBSTITUTE(A554, "'max_iter': 500,", ""), "'max_iter': 1000,", ""), "'max_iter': 1500,", "")</f>
        <v>{'activation': 'logistic', 'hidden_layer_sizes': (200, 75, 25), 'learning_rate_init': 0.001,  'solver': 'sgd'}</v>
      </c>
      <c r="E554" t="e">
        <f>_xlfn.RANK.EQ(B554,B$2:$B$479,0)</f>
        <v>#N/A</v>
      </c>
      <c r="H554" s="40" t="s">
        <v>251</v>
      </c>
      <c r="I554" s="31">
        <v>0.27278138528138501</v>
      </c>
    </row>
    <row r="555" spans="1:9" x14ac:dyDescent="0.2">
      <c r="A555" s="50" t="s">
        <v>612</v>
      </c>
      <c r="B555" s="63">
        <v>0.27278138528138501</v>
      </c>
      <c r="C555" s="50" t="s">
        <v>62</v>
      </c>
      <c r="D555" s="50" t="str">
        <f>SUBSTITUTE(SUBSTITUTE(SUBSTITUTE(A555, "'max_iter': 500,", ""), "'max_iter': 1000,", ""), "'max_iter': 1500,", "")</f>
        <v>{'activation': 'logistic', 'hidden_layer_sizes': (200, 75, 25), 'learning_rate_init': 0.005,  'solver': 'sgd'}</v>
      </c>
      <c r="E555" t="e">
        <f>_xlfn.RANK.EQ(B555,B$2:$B$479,0)</f>
        <v>#N/A</v>
      </c>
      <c r="H555" s="40" t="s">
        <v>615</v>
      </c>
      <c r="I555" s="31">
        <v>0.27278138528138501</v>
      </c>
    </row>
    <row r="556" spans="1:9" x14ac:dyDescent="0.2">
      <c r="A556" s="50" t="s">
        <v>248</v>
      </c>
      <c r="B556" s="63">
        <v>0.27278138528138501</v>
      </c>
      <c r="C556" s="50" t="s">
        <v>62</v>
      </c>
      <c r="D556" s="50" t="str">
        <f>SUBSTITUTE(SUBSTITUTE(SUBSTITUTE(A556, "'max_iter': 500,", ""), "'max_iter': 1000,", ""), "'max_iter': 1500,", "")</f>
        <v>{'activation': 'logistic', 'hidden_layer_sizes': (200, 75, 25), 'learning_rate_init': 0.005,  'solver': 'sgd'}</v>
      </c>
      <c r="E556" t="e">
        <f>_xlfn.RANK.EQ(B556,B$2:$B$479,0)</f>
        <v>#N/A</v>
      </c>
      <c r="H556" s="40" t="s">
        <v>613</v>
      </c>
      <c r="I556" s="31">
        <v>0.27278138528138501</v>
      </c>
    </row>
    <row r="557" spans="1:9" x14ac:dyDescent="0.2">
      <c r="A557" s="50" t="s">
        <v>611</v>
      </c>
      <c r="B557" s="63">
        <v>0.27278138528138501</v>
      </c>
      <c r="C557" s="50" t="s">
        <v>62</v>
      </c>
      <c r="D557" s="50" t="str">
        <f>SUBSTITUTE(SUBSTITUTE(SUBSTITUTE(A557, "'max_iter': 500,", ""), "'max_iter': 1000,", ""), "'max_iter': 1500,", "")</f>
        <v>{'activation': 'logistic', 'hidden_layer_sizes': (200, 75, 25), 'learning_rate_init': 0.005,  'solver': 'sgd'}</v>
      </c>
      <c r="E557" t="e">
        <f>_xlfn.RANK.EQ(B557,B$2:$B$479,0)</f>
        <v>#N/A</v>
      </c>
      <c r="H557" s="40" t="s">
        <v>616</v>
      </c>
      <c r="I557" s="31">
        <v>0.27278138528138501</v>
      </c>
    </row>
    <row r="558" spans="1:9" x14ac:dyDescent="0.2">
      <c r="H558" s="40" t="s">
        <v>250</v>
      </c>
      <c r="I558" s="31">
        <v>0.27278138528138501</v>
      </c>
    </row>
    <row r="559" spans="1:9" x14ac:dyDescent="0.2">
      <c r="H559" s="40" t="s">
        <v>611</v>
      </c>
      <c r="I559" s="31">
        <v>0.27278138528138501</v>
      </c>
    </row>
    <row r="560" spans="1:9" x14ac:dyDescent="0.2">
      <c r="H560" s="40" t="s">
        <v>630</v>
      </c>
      <c r="I560" s="31">
        <v>0.80683553122178997</v>
      </c>
    </row>
  </sheetData>
  <autoFilter ref="A1:D557" xr:uid="{9EBC4F67-AF0D-8B41-95CB-ADD6D6C536FA}">
    <sortState xmlns:xlrd2="http://schemas.microsoft.com/office/spreadsheetml/2017/richdata2" ref="A2:D557">
      <sortCondition descending="1" ref="B2:B557"/>
      <sortCondition ref="A2:A557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CA5E-3B2E-3446-A00C-273FD24DCCFE}">
  <dimension ref="A1:I482"/>
  <sheetViews>
    <sheetView workbookViewId="0">
      <selection activeCell="A31" sqref="A31:E31"/>
    </sheetView>
  </sheetViews>
  <sheetFormatPr baseColWidth="10" defaultRowHeight="16" x14ac:dyDescent="0.2"/>
  <cols>
    <col min="1" max="1" width="96.5" bestFit="1" customWidth="1"/>
    <col min="2" max="2" width="12.1640625" bestFit="1" customWidth="1"/>
    <col min="3" max="3" width="7.6640625" bestFit="1" customWidth="1"/>
    <col min="4" max="4" width="83" bestFit="1" customWidth="1"/>
    <col min="8" max="8" width="96.5" bestFit="1" customWidth="1"/>
    <col min="9" max="9" width="14.83203125" bestFit="1" customWidth="1"/>
  </cols>
  <sheetData>
    <row r="1" spans="1:9" ht="17" thickBot="1" x14ac:dyDescent="0.25">
      <c r="A1" t="s">
        <v>59</v>
      </c>
      <c r="B1" t="s">
        <v>60</v>
      </c>
      <c r="C1" t="s">
        <v>61</v>
      </c>
      <c r="D1" t="s">
        <v>619</v>
      </c>
      <c r="H1" s="39" t="s">
        <v>61</v>
      </c>
      <c r="I1" t="s">
        <v>631</v>
      </c>
    </row>
    <row r="2" spans="1:9" x14ac:dyDescent="0.2">
      <c r="A2" s="51" t="s">
        <v>564</v>
      </c>
      <c r="B2" s="64">
        <v>0.78163793103448198</v>
      </c>
      <c r="C2" s="52" t="s">
        <v>62</v>
      </c>
      <c r="D2" s="53" t="str">
        <f>SUBSTITUTE(SUBSTITUTE(SUBSTITUTE(A2, "'max_iter': 500,", ""), "'max_iter': 1000,", ""), "'max_iter': 1500,", "")</f>
        <v>{'activation': 'tanh', 'hidden_layer_sizes': (150, 75), 'learning_rate_init': 0.01,  'solver': 'adam'}</v>
      </c>
      <c r="E2">
        <f>_xlfn.RANK.EQ(B2,B$2:$B$479,0)</f>
        <v>1</v>
      </c>
    </row>
    <row r="3" spans="1:9" ht="17" thickBot="1" x14ac:dyDescent="0.25">
      <c r="A3" s="54" t="s">
        <v>222</v>
      </c>
      <c r="B3" s="65">
        <v>0.78163793103448198</v>
      </c>
      <c r="C3" s="55" t="s">
        <v>62</v>
      </c>
      <c r="D3" s="56" t="str">
        <f>SUBSTITUTE(SUBSTITUTE(SUBSTITUTE(A3, "'max_iter': 500,", ""), "'max_iter': 1000,", ""), "'max_iter': 1500,", "")</f>
        <v>{'activation': 'tanh', 'hidden_layer_sizes': (150, 75), 'learning_rate_init': 0.01,  'solver': 'adam'}</v>
      </c>
      <c r="E3">
        <f>_xlfn.RANK.EQ(B3,B$2:$B$479,0)</f>
        <v>1</v>
      </c>
      <c r="H3" s="39" t="s">
        <v>620</v>
      </c>
      <c r="I3" t="s">
        <v>650</v>
      </c>
    </row>
    <row r="4" spans="1:9" ht="17" thickBot="1" x14ac:dyDescent="0.25">
      <c r="A4" s="57" t="s">
        <v>560</v>
      </c>
      <c r="B4" s="66">
        <v>0.78163793103448198</v>
      </c>
      <c r="C4" s="58" t="s">
        <v>62</v>
      </c>
      <c r="D4" s="59" t="str">
        <f>SUBSTITUTE(SUBSTITUTE(SUBSTITUTE(A4, "'max_iter': 500,", ""), "'max_iter': 1000,", ""), "'max_iter': 1500,", "")</f>
        <v>{'activation': 'tanh', 'hidden_layer_sizes': (150, 75), 'learning_rate_init': 0.01,  'solver': 'adam'}</v>
      </c>
      <c r="E4">
        <f>_xlfn.RANK.EQ(B4,B$2:$B$479,0)</f>
        <v>1</v>
      </c>
      <c r="H4" s="43" t="s">
        <v>222</v>
      </c>
      <c r="I4" s="44">
        <v>0.78163793103448198</v>
      </c>
    </row>
    <row r="5" spans="1:9" x14ac:dyDescent="0.2">
      <c r="A5" s="51" t="s">
        <v>295</v>
      </c>
      <c r="B5" s="64">
        <v>0.77500000000000002</v>
      </c>
      <c r="C5" s="52" t="s">
        <v>62</v>
      </c>
      <c r="D5" s="53" t="str">
        <f>SUBSTITUTE(SUBSTITUTE(SUBSTITUTE(A5, "'max_iter': 500,", ""), "'max_iter': 1000,", ""), "'max_iter': 1500,", "")</f>
        <v>{'activation': 'relu', 'hidden_layer_sizes': (200, 100, 50), 'learning_rate_init': 0.001,  'solver': 'adam'}</v>
      </c>
      <c r="E5">
        <f>_xlfn.RANK.EQ(B5,B$2:$B$479,0)</f>
        <v>4</v>
      </c>
      <c r="H5" s="45" t="s">
        <v>564</v>
      </c>
      <c r="I5" s="46">
        <v>0.78163793103448198</v>
      </c>
    </row>
    <row r="6" spans="1:9" ht="17" thickBot="1" x14ac:dyDescent="0.25">
      <c r="A6" s="54" t="s">
        <v>84</v>
      </c>
      <c r="B6" s="65">
        <v>0.77500000000000002</v>
      </c>
      <c r="C6" s="55" t="s">
        <v>62</v>
      </c>
      <c r="D6" s="56" t="str">
        <f>SUBSTITUTE(SUBSTITUTE(SUBSTITUTE(A6, "'max_iter': 500,", ""), "'max_iter': 1000,", ""), "'max_iter': 1500,", "")</f>
        <v>{'activation': 'relu', 'hidden_layer_sizes': (200, 100, 50), 'learning_rate_init': 0.001,  'solver': 'adam'}</v>
      </c>
      <c r="E6">
        <f>_xlfn.RANK.EQ(B6,B$2:$B$479,0)</f>
        <v>4</v>
      </c>
      <c r="H6" s="47" t="s">
        <v>560</v>
      </c>
      <c r="I6" s="48">
        <v>0.78163793103448198</v>
      </c>
    </row>
    <row r="7" spans="1:9" ht="17" thickBot="1" x14ac:dyDescent="0.25">
      <c r="A7" s="57" t="s">
        <v>294</v>
      </c>
      <c r="B7" s="66">
        <v>0.77500000000000002</v>
      </c>
      <c r="C7" s="58" t="s">
        <v>62</v>
      </c>
      <c r="D7" s="59" t="str">
        <f>SUBSTITUTE(SUBSTITUTE(SUBSTITUTE(A7, "'max_iter': 500,", ""), "'max_iter': 1000,", ""), "'max_iter': 1500,", "")</f>
        <v>{'activation': 'relu', 'hidden_layer_sizes': (200, 100, 50), 'learning_rate_init': 0.001,  'solver': 'adam'}</v>
      </c>
      <c r="E7">
        <f>_xlfn.RANK.EQ(B7,B$2:$B$479,0)</f>
        <v>4</v>
      </c>
      <c r="H7" s="41" t="s">
        <v>295</v>
      </c>
      <c r="I7" s="42">
        <v>0.77500000000000002</v>
      </c>
    </row>
    <row r="8" spans="1:9" ht="17" thickBot="1" x14ac:dyDescent="0.25">
      <c r="A8" s="67" t="s">
        <v>220</v>
      </c>
      <c r="B8" s="68">
        <v>0.77500000000000002</v>
      </c>
      <c r="C8" s="69" t="s">
        <v>62</v>
      </c>
      <c r="D8" s="70" t="str">
        <f>SUBSTITUTE(SUBSTITUTE(SUBSTITUTE(A8, "'max_iter': 500,", ""), "'max_iter': 1000,", ""), "'max_iter': 1500,", "")</f>
        <v>{'activation': 'relu', 'hidden_layer_sizes': (200, 100), 'learning_rate_init': 0.001,  'solver': 'sgd'}</v>
      </c>
      <c r="E8">
        <f>_xlfn.RANK.EQ(B8,B$2:$B$479,0)</f>
        <v>4</v>
      </c>
      <c r="H8" s="41" t="s">
        <v>220</v>
      </c>
      <c r="I8" s="42">
        <v>0.77500000000000002</v>
      </c>
    </row>
    <row r="9" spans="1:9" x14ac:dyDescent="0.2">
      <c r="A9" s="51" t="s">
        <v>341</v>
      </c>
      <c r="B9" s="64">
        <v>0.77490353266476797</v>
      </c>
      <c r="C9" s="52" t="s">
        <v>62</v>
      </c>
      <c r="D9" s="53" t="str">
        <f>SUBSTITUTE(SUBSTITUTE(SUBSTITUTE(A9, "'max_iter': 500,", ""), "'max_iter': 1000,", ""), "'max_iter': 1500,", "")</f>
        <v>{'activation': 'tanh', 'hidden_layer_sizes': (200, 100, 50), 'learning_rate_init': 0.005,  'solver': 'adam'}</v>
      </c>
      <c r="E9">
        <f>_xlfn.RANK.EQ(B9,B$2:$B$479,0)</f>
        <v>8</v>
      </c>
      <c r="H9" s="41" t="s">
        <v>294</v>
      </c>
      <c r="I9" s="42">
        <v>0.77500000000000002</v>
      </c>
    </row>
    <row r="10" spans="1:9" x14ac:dyDescent="0.2">
      <c r="A10" s="54" t="s">
        <v>111</v>
      </c>
      <c r="B10" s="65">
        <v>0.77490353266476797</v>
      </c>
      <c r="C10" s="55" t="s">
        <v>62</v>
      </c>
      <c r="D10" s="56" t="str">
        <f>SUBSTITUTE(SUBSTITUTE(SUBSTITUTE(A10, "'max_iter': 500,", ""), "'max_iter': 1000,", ""), "'max_iter': 1500,", "")</f>
        <v>{'activation': 'tanh', 'hidden_layer_sizes': (200, 100, 50), 'learning_rate_init': 0.005,  'solver': 'adam'}</v>
      </c>
      <c r="E10">
        <f>_xlfn.RANK.EQ(B10,B$2:$B$479,0)</f>
        <v>8</v>
      </c>
      <c r="H10" s="41" t="s">
        <v>84</v>
      </c>
      <c r="I10" s="42">
        <v>0.77500000000000002</v>
      </c>
    </row>
    <row r="11" spans="1:9" ht="17" thickBot="1" x14ac:dyDescent="0.25">
      <c r="A11" s="57" t="s">
        <v>346</v>
      </c>
      <c r="B11" s="66">
        <v>0.77490353266476797</v>
      </c>
      <c r="C11" s="58" t="s">
        <v>62</v>
      </c>
      <c r="D11" s="59" t="str">
        <f>SUBSTITUTE(SUBSTITUTE(SUBSTITUTE(A11, "'max_iter': 500,", ""), "'max_iter': 1000,", ""), "'max_iter': 1500,", "")</f>
        <v>{'activation': 'tanh', 'hidden_layer_sizes': (200, 100, 50), 'learning_rate_init': 0.005,  'solver': 'adam'}</v>
      </c>
      <c r="E11">
        <f>_xlfn.RANK.EQ(B11,B$2:$B$479,0)</f>
        <v>8</v>
      </c>
      <c r="H11" s="41" t="s">
        <v>111</v>
      </c>
      <c r="I11" s="42">
        <v>0.77490353266476797</v>
      </c>
    </row>
    <row r="12" spans="1:9" x14ac:dyDescent="0.2">
      <c r="A12" s="51" t="s">
        <v>359</v>
      </c>
      <c r="B12" s="64">
        <v>0.77464285714285697</v>
      </c>
      <c r="C12" s="52" t="s">
        <v>62</v>
      </c>
      <c r="D12" s="53" t="str">
        <f>SUBSTITUTE(SUBSTITUTE(SUBSTITUTE(A12, "'max_iter': 500,", ""), "'max_iter': 1000,", ""), "'max_iter': 1500,", "")</f>
        <v>{'activation': 'identity', 'hidden_layer_sizes': (200, 100, 50), 'learning_rate_init': 0.001,  'solver': 'adam'}</v>
      </c>
      <c r="E12">
        <f>_xlfn.RANK.EQ(B12,B$2:$B$479,0)</f>
        <v>11</v>
      </c>
      <c r="H12" s="41" t="s">
        <v>346</v>
      </c>
      <c r="I12" s="42">
        <v>0.77490353266476797</v>
      </c>
    </row>
    <row r="13" spans="1:9" x14ac:dyDescent="0.2">
      <c r="A13" s="54" t="s">
        <v>116</v>
      </c>
      <c r="B13" s="65">
        <v>0.77464285714285697</v>
      </c>
      <c r="C13" s="55" t="s">
        <v>62</v>
      </c>
      <c r="D13" s="56" t="str">
        <f>SUBSTITUTE(SUBSTITUTE(SUBSTITUTE(A13, "'max_iter': 500,", ""), "'max_iter': 1000,", ""), "'max_iter': 1500,", "")</f>
        <v>{'activation': 'identity', 'hidden_layer_sizes': (200, 100, 50), 'learning_rate_init': 0.001,  'solver': 'adam'}</v>
      </c>
      <c r="E13">
        <f>_xlfn.RANK.EQ(B13,B$2:$B$479,0)</f>
        <v>11</v>
      </c>
      <c r="H13" s="41" t="s">
        <v>341</v>
      </c>
      <c r="I13" s="42">
        <v>0.77490353266476797</v>
      </c>
    </row>
    <row r="14" spans="1:9" ht="17" thickBot="1" x14ac:dyDescent="0.25">
      <c r="A14" s="57" t="s">
        <v>356</v>
      </c>
      <c r="B14" s="66">
        <v>0.77464285714285697</v>
      </c>
      <c r="C14" s="58" t="s">
        <v>62</v>
      </c>
      <c r="D14" s="59" t="str">
        <f>SUBSTITUTE(SUBSTITUTE(SUBSTITUTE(A14, "'max_iter': 500,", ""), "'max_iter': 1000,", ""), "'max_iter': 1500,", "")</f>
        <v>{'activation': 'identity', 'hidden_layer_sizes': (200, 100, 50), 'learning_rate_init': 0.001,  'solver': 'adam'}</v>
      </c>
      <c r="E14">
        <f>_xlfn.RANK.EQ(B14,B$2:$B$479,0)</f>
        <v>11</v>
      </c>
      <c r="H14" s="41" t="s">
        <v>116</v>
      </c>
      <c r="I14" s="42">
        <v>0.77464285714285697</v>
      </c>
    </row>
    <row r="15" spans="1:9" x14ac:dyDescent="0.2">
      <c r="A15" s="51" t="s">
        <v>456</v>
      </c>
      <c r="B15" s="64">
        <v>0.77370524296675103</v>
      </c>
      <c r="C15" s="52" t="s">
        <v>62</v>
      </c>
      <c r="D15" s="53" t="str">
        <f>SUBSTITUTE(SUBSTITUTE(SUBSTITUTE(A15, "'max_iter': 500,", ""), "'max_iter': 1000,", ""), "'max_iter': 1500,", "")</f>
        <v>{'activation': 'relu', 'hidden_layer_sizes': (150, 75), 'learning_rate_init': 0.005,  'solver': 'adam'}</v>
      </c>
      <c r="E15">
        <f>_xlfn.RANK.EQ(B15,B$2:$B$479,0)</f>
        <v>14</v>
      </c>
      <c r="H15" s="41" t="s">
        <v>356</v>
      </c>
      <c r="I15" s="42">
        <v>0.77464285714285697</v>
      </c>
    </row>
    <row r="16" spans="1:9" x14ac:dyDescent="0.2">
      <c r="A16" s="54" t="s">
        <v>169</v>
      </c>
      <c r="B16" s="65">
        <v>0.77370524296675103</v>
      </c>
      <c r="C16" s="55" t="s">
        <v>62</v>
      </c>
      <c r="D16" s="56" t="str">
        <f>SUBSTITUTE(SUBSTITUTE(SUBSTITUTE(A16, "'max_iter': 500,", ""), "'max_iter': 1000,", ""), "'max_iter': 1500,", "")</f>
        <v>{'activation': 'relu', 'hidden_layer_sizes': (150, 75), 'learning_rate_init': 0.005,  'solver': 'adam'}</v>
      </c>
      <c r="E16">
        <f>_xlfn.RANK.EQ(B16,B$2:$B$479,0)</f>
        <v>14</v>
      </c>
      <c r="H16" s="41" t="s">
        <v>359</v>
      </c>
      <c r="I16" s="42">
        <v>0.77464285714285697</v>
      </c>
    </row>
    <row r="17" spans="1:9" ht="17" thickBot="1" x14ac:dyDescent="0.25">
      <c r="A17" s="57" t="s">
        <v>459</v>
      </c>
      <c r="B17" s="66">
        <v>0.77370524296675103</v>
      </c>
      <c r="C17" s="58" t="s">
        <v>62</v>
      </c>
      <c r="D17" s="59" t="str">
        <f>SUBSTITUTE(SUBSTITUTE(SUBSTITUTE(A17, "'max_iter': 500,", ""), "'max_iter': 1000,", ""), "'max_iter': 1500,", "")</f>
        <v>{'activation': 'relu', 'hidden_layer_sizes': (150, 75), 'learning_rate_init': 0.005,  'solver': 'adam'}</v>
      </c>
      <c r="E17">
        <f>_xlfn.RANK.EQ(B17,B$2:$B$479,0)</f>
        <v>14</v>
      </c>
      <c r="H17" s="41" t="s">
        <v>459</v>
      </c>
      <c r="I17" s="42">
        <v>0.77370524296675103</v>
      </c>
    </row>
    <row r="18" spans="1:9" x14ac:dyDescent="0.2">
      <c r="A18" s="51" t="s">
        <v>315</v>
      </c>
      <c r="B18" s="64">
        <v>0.77172064777327898</v>
      </c>
      <c r="C18" s="52" t="s">
        <v>62</v>
      </c>
      <c r="D18" s="53" t="str">
        <f>SUBSTITUTE(SUBSTITUTE(SUBSTITUTE(A18, "'max_iter': 500,", ""), "'max_iter': 1000,", ""), "'max_iter': 1500,", "")</f>
        <v>{'activation': 'relu', 'hidden_layer_sizes': (200, 100, 50), 'learning_rate_init': 0.005,  'solver': 'adam'}</v>
      </c>
      <c r="E18">
        <f>_xlfn.RANK.EQ(B18,B$2:$B$479,0)</f>
        <v>17</v>
      </c>
      <c r="H18" s="41" t="s">
        <v>169</v>
      </c>
      <c r="I18" s="42">
        <v>0.77370524296675103</v>
      </c>
    </row>
    <row r="19" spans="1:9" x14ac:dyDescent="0.2">
      <c r="A19" s="54" t="s">
        <v>96</v>
      </c>
      <c r="B19" s="65">
        <v>0.77172064777327898</v>
      </c>
      <c r="C19" s="55" t="s">
        <v>62</v>
      </c>
      <c r="D19" s="56" t="str">
        <f>SUBSTITUTE(SUBSTITUTE(SUBSTITUTE(A19, "'max_iter': 500,", ""), "'max_iter': 1000,", ""), "'max_iter': 1500,", "")</f>
        <v>{'activation': 'relu', 'hidden_layer_sizes': (200, 100, 50), 'learning_rate_init': 0.005,  'solver': 'adam'}</v>
      </c>
      <c r="E19">
        <f>_xlfn.RANK.EQ(B19,B$2:$B$479,0)</f>
        <v>17</v>
      </c>
      <c r="H19" s="41" t="s">
        <v>456</v>
      </c>
      <c r="I19" s="42">
        <v>0.77370524296675103</v>
      </c>
    </row>
    <row r="20" spans="1:9" ht="17" thickBot="1" x14ac:dyDescent="0.25">
      <c r="A20" s="57" t="s">
        <v>314</v>
      </c>
      <c r="B20" s="66">
        <v>0.77172064777327898</v>
      </c>
      <c r="C20" s="58" t="s">
        <v>62</v>
      </c>
      <c r="D20" s="59" t="str">
        <f>SUBSTITUTE(SUBSTITUTE(SUBSTITUTE(A20, "'max_iter': 500,", ""), "'max_iter': 1000,", ""), "'max_iter': 1500,", "")</f>
        <v>{'activation': 'relu', 'hidden_layer_sizes': (200, 100, 50), 'learning_rate_init': 0.005,  'solver': 'adam'}</v>
      </c>
      <c r="E20">
        <f>_xlfn.RANK.EQ(B20,B$2:$B$479,0)</f>
        <v>17</v>
      </c>
      <c r="H20" s="41" t="s">
        <v>96</v>
      </c>
      <c r="I20" s="42">
        <v>0.77172064777327898</v>
      </c>
    </row>
    <row r="21" spans="1:9" x14ac:dyDescent="0.2">
      <c r="A21" s="51" t="s">
        <v>298</v>
      </c>
      <c r="B21" s="64">
        <v>0.76934106012347103</v>
      </c>
      <c r="C21" s="52" t="s">
        <v>62</v>
      </c>
      <c r="D21" s="53" t="str">
        <f>SUBSTITUTE(SUBSTITUTE(SUBSTITUTE(A21, "'max_iter': 500,", ""), "'max_iter': 1000,", ""), "'max_iter': 1500,", "")</f>
        <v>{'activation': 'relu', 'hidden_layer_sizes': (200, 100, 50), 'learning_rate_init': 0.001,  'solver': 'sgd'}</v>
      </c>
      <c r="E21">
        <f>_xlfn.RANK.EQ(B21,B$2:$B$479,0)</f>
        <v>20</v>
      </c>
      <c r="H21" s="41" t="s">
        <v>314</v>
      </c>
      <c r="I21" s="42">
        <v>0.77172064777327898</v>
      </c>
    </row>
    <row r="22" spans="1:9" ht="17" thickBot="1" x14ac:dyDescent="0.25">
      <c r="A22" s="57" t="s">
        <v>85</v>
      </c>
      <c r="B22" s="66">
        <v>0.76934106012347103</v>
      </c>
      <c r="C22" s="58" t="s">
        <v>62</v>
      </c>
      <c r="D22" s="59" t="str">
        <f>SUBSTITUTE(SUBSTITUTE(SUBSTITUTE(A22, "'max_iter': 500,", ""), "'max_iter': 1000,", ""), "'max_iter': 1500,", "")</f>
        <v>{'activation': 'relu', 'hidden_layer_sizes': (200, 100, 50), 'learning_rate_init': 0.001,  'solver': 'sgd'}</v>
      </c>
      <c r="E22">
        <f>_xlfn.RANK.EQ(B22,B$2:$B$479,0)</f>
        <v>20</v>
      </c>
      <c r="H22" s="41" t="s">
        <v>315</v>
      </c>
      <c r="I22" s="42">
        <v>0.77172064777327898</v>
      </c>
    </row>
    <row r="23" spans="1:9" x14ac:dyDescent="0.2">
      <c r="A23" s="51" t="s">
        <v>516</v>
      </c>
      <c r="B23" s="64">
        <v>0.76934106012347103</v>
      </c>
      <c r="C23" s="52" t="s">
        <v>62</v>
      </c>
      <c r="D23" s="53" t="str">
        <f>SUBSTITUTE(SUBSTITUTE(SUBSTITUTE(A23, "'max_iter': 500,", ""), "'max_iter': 1000,", ""), "'max_iter': 1500,", "")</f>
        <v>{'activation': 'relu', 'hidden_layer_sizes': 150, 'learning_rate_init': 0.01,  'solver': 'adam'}</v>
      </c>
      <c r="E23">
        <f>_xlfn.RANK.EQ(B23,B$2:$B$479,0)</f>
        <v>20</v>
      </c>
      <c r="H23" s="41" t="s">
        <v>85</v>
      </c>
      <c r="I23" s="42">
        <v>0.76934106012347103</v>
      </c>
    </row>
    <row r="24" spans="1:9" x14ac:dyDescent="0.2">
      <c r="A24" s="54" t="s">
        <v>198</v>
      </c>
      <c r="B24" s="65">
        <v>0.76934106012347103</v>
      </c>
      <c r="C24" s="55" t="s">
        <v>62</v>
      </c>
      <c r="D24" s="56" t="str">
        <f>SUBSTITUTE(SUBSTITUTE(SUBSTITUTE(A24, "'max_iter': 500,", ""), "'max_iter': 1000,", ""), "'max_iter': 1500,", "")</f>
        <v>{'activation': 'relu', 'hidden_layer_sizes': 150, 'learning_rate_init': 0.01,  'solver': 'adam'}</v>
      </c>
      <c r="E24">
        <f>_xlfn.RANK.EQ(B24,B$2:$B$479,0)</f>
        <v>20</v>
      </c>
      <c r="H24" s="41" t="s">
        <v>518</v>
      </c>
      <c r="I24" s="42">
        <v>0.76934106012347103</v>
      </c>
    </row>
    <row r="25" spans="1:9" ht="17" thickBot="1" x14ac:dyDescent="0.25">
      <c r="A25" s="57" t="s">
        <v>518</v>
      </c>
      <c r="B25" s="66">
        <v>0.76934106012347103</v>
      </c>
      <c r="C25" s="58" t="s">
        <v>62</v>
      </c>
      <c r="D25" s="59" t="str">
        <f>SUBSTITUTE(SUBSTITUTE(SUBSTITUTE(A25, "'max_iter': 500,", ""), "'max_iter': 1000,", ""), "'max_iter': 1500,", "")</f>
        <v>{'activation': 'relu', 'hidden_layer_sizes': 150, 'learning_rate_init': 0.01,  'solver': 'adam'}</v>
      </c>
      <c r="E25">
        <f>_xlfn.RANK.EQ(B25,B$2:$B$479,0)</f>
        <v>20</v>
      </c>
      <c r="H25" s="41" t="s">
        <v>516</v>
      </c>
      <c r="I25" s="42">
        <v>0.76934106012347103</v>
      </c>
    </row>
    <row r="26" spans="1:9" ht="17" thickBot="1" x14ac:dyDescent="0.25">
      <c r="A26" s="67" t="s">
        <v>217</v>
      </c>
      <c r="B26" s="68">
        <v>0.76890531784599503</v>
      </c>
      <c r="C26" s="69" t="s">
        <v>62</v>
      </c>
      <c r="D26" s="70" t="str">
        <f>SUBSTITUTE(SUBSTITUTE(SUBSTITUTE(A26, "'max_iter': 500,", ""), "'max_iter': 1000,", ""), "'max_iter': 1500,", "")</f>
        <v>{'activation': 'relu', 'hidden_layer_sizes': (150, 75), 'learning_rate_init': 0.001,  'solver': 'sgd'}</v>
      </c>
      <c r="E26">
        <f>_xlfn.RANK.EQ(B26,B$2:$B$479,0)</f>
        <v>25</v>
      </c>
      <c r="H26" s="41" t="s">
        <v>198</v>
      </c>
      <c r="I26" s="42">
        <v>0.76934106012347103</v>
      </c>
    </row>
    <row r="27" spans="1:9" x14ac:dyDescent="0.2">
      <c r="A27" s="51" t="s">
        <v>576</v>
      </c>
      <c r="B27" s="64">
        <v>0.76890531784599503</v>
      </c>
      <c r="C27" s="52" t="s">
        <v>62</v>
      </c>
      <c r="D27" s="53" t="str">
        <f>SUBSTITUTE(SUBSTITUTE(SUBSTITUTE(A27, "'max_iter': 500,", ""), "'max_iter': 1000,", ""), "'max_iter': 1500,", "")</f>
        <v>{'activation': 'relu', 'hidden_layer_sizes': (150, 75), 'learning_rate_init': 0.005,  'solver': 'sgd'}</v>
      </c>
      <c r="E27">
        <f>_xlfn.RANK.EQ(B27,B$2:$B$479,0)</f>
        <v>25</v>
      </c>
      <c r="H27" s="41" t="s">
        <v>298</v>
      </c>
      <c r="I27" s="42">
        <v>0.76934106012347103</v>
      </c>
    </row>
    <row r="28" spans="1:9" x14ac:dyDescent="0.2">
      <c r="A28" s="54" t="s">
        <v>230</v>
      </c>
      <c r="B28" s="65">
        <v>0.76890531784599503</v>
      </c>
      <c r="C28" s="55" t="s">
        <v>62</v>
      </c>
      <c r="D28" s="56" t="str">
        <f>SUBSTITUTE(SUBSTITUTE(SUBSTITUTE(A28, "'max_iter': 500,", ""), "'max_iter': 1000,", ""), "'max_iter': 1500,", "")</f>
        <v>{'activation': 'relu', 'hidden_layer_sizes': (150, 75), 'learning_rate_init': 0.005,  'solver': 'sgd'}</v>
      </c>
      <c r="E28">
        <f>_xlfn.RANK.EQ(B28,B$2:$B$479,0)</f>
        <v>25</v>
      </c>
      <c r="H28" s="41" t="s">
        <v>600</v>
      </c>
      <c r="I28" s="42">
        <v>0.76890531784599503</v>
      </c>
    </row>
    <row r="29" spans="1:9" ht="17" thickBot="1" x14ac:dyDescent="0.25">
      <c r="A29" s="57" t="s">
        <v>575</v>
      </c>
      <c r="B29" s="66">
        <v>0.76890531784599503</v>
      </c>
      <c r="C29" s="58" t="s">
        <v>62</v>
      </c>
      <c r="D29" s="59" t="str">
        <f>SUBSTITUTE(SUBSTITUTE(SUBSTITUTE(A29, "'max_iter': 500,", ""), "'max_iter': 1000,", ""), "'max_iter': 1500,", "")</f>
        <v>{'activation': 'relu', 'hidden_layer_sizes': (150, 75), 'learning_rate_init': 0.005,  'solver': 'sgd'}</v>
      </c>
      <c r="E29">
        <f>_xlfn.RANK.EQ(B29,B$2:$B$479,0)</f>
        <v>25</v>
      </c>
      <c r="H29" s="41" t="s">
        <v>472</v>
      </c>
      <c r="I29" s="42">
        <v>0.76890531784599503</v>
      </c>
    </row>
    <row r="30" spans="1:9" x14ac:dyDescent="0.2">
      <c r="A30" s="51" t="s">
        <v>472</v>
      </c>
      <c r="B30" s="64">
        <v>0.76890531784599503</v>
      </c>
      <c r="C30" s="52" t="s">
        <v>62</v>
      </c>
      <c r="D30" s="53" t="str">
        <f>SUBSTITUTE(SUBSTITUTE(SUBSTITUTE(A30, "'max_iter': 500,", ""), "'max_iter': 1000,", ""), "'max_iter': 1500,", "")</f>
        <v>{'activation': 'relu', 'hidden_layer_sizes': (200, 100), 'learning_rate_init': 0.001,  'solver': 'adam'}</v>
      </c>
      <c r="E30">
        <f>_xlfn.RANK.EQ(B30,B$2:$B$479,0)</f>
        <v>25</v>
      </c>
      <c r="H30" s="41" t="s">
        <v>599</v>
      </c>
      <c r="I30" s="42">
        <v>0.76890531784599503</v>
      </c>
    </row>
    <row r="31" spans="1:9" ht="17" thickBot="1" x14ac:dyDescent="0.25">
      <c r="A31" s="57" t="s">
        <v>175</v>
      </c>
      <c r="B31" s="66">
        <v>0.76890531784599503</v>
      </c>
      <c r="C31" s="58" t="s">
        <v>62</v>
      </c>
      <c r="D31" s="59" t="str">
        <f>SUBSTITUTE(SUBSTITUTE(SUBSTITUTE(A31, "'max_iter': 500,", ""), "'max_iter': 1000,", ""), "'max_iter': 1500,", "")</f>
        <v>{'activation': 'relu', 'hidden_layer_sizes': (200, 100), 'learning_rate_init': 0.001,  'solver': 'adam'}</v>
      </c>
      <c r="E31">
        <f>_xlfn.RANK.EQ(B31,B$2:$B$479,0)</f>
        <v>25</v>
      </c>
      <c r="H31" s="41" t="s">
        <v>217</v>
      </c>
      <c r="I31" s="42">
        <v>0.76890531784599503</v>
      </c>
    </row>
    <row r="32" spans="1:9" x14ac:dyDescent="0.2">
      <c r="A32" t="s">
        <v>473</v>
      </c>
      <c r="B32" s="49">
        <v>0.76890531784599503</v>
      </c>
      <c r="C32" t="s">
        <v>62</v>
      </c>
      <c r="D32" t="str">
        <f>SUBSTITUTE(SUBSTITUTE(SUBSTITUTE(A32, "'max_iter': 500,", ""), "'max_iter': 1000,", ""), "'max_iter': 1500,", "")</f>
        <v>{'activation': 'relu', 'hidden_layer_sizes': (200, 100), 'learning_rate_init': 0.001,  'solver': 'adam'}</v>
      </c>
      <c r="E32">
        <f>_xlfn.RANK.EQ(B32,B$2:$B$479,0)</f>
        <v>25</v>
      </c>
      <c r="H32" s="41" t="s">
        <v>175</v>
      </c>
      <c r="I32" s="42">
        <v>0.76890531784599503</v>
      </c>
    </row>
    <row r="33" spans="1:9" x14ac:dyDescent="0.2">
      <c r="A33" t="s">
        <v>600</v>
      </c>
      <c r="B33" s="49">
        <v>0.76890531784599503</v>
      </c>
      <c r="C33" t="s">
        <v>62</v>
      </c>
      <c r="D33" t="str">
        <f>SUBSTITUTE(SUBSTITUTE(SUBSTITUTE(A33, "'max_iter': 500,", ""), "'max_iter': 1000,", ""), "'max_iter': 1500,", "")</f>
        <v>{'activation': 'relu', 'hidden_layer_sizes': (200, 75, 25), 'learning_rate_init': 0.01,  'solver': 'adam'}</v>
      </c>
      <c r="E33">
        <f>_xlfn.RANK.EQ(B33,B$2:$B$479,0)</f>
        <v>25</v>
      </c>
      <c r="H33" s="41" t="s">
        <v>576</v>
      </c>
      <c r="I33" s="42">
        <v>0.76890531784599503</v>
      </c>
    </row>
    <row r="34" spans="1:9" x14ac:dyDescent="0.2">
      <c r="A34" t="s">
        <v>242</v>
      </c>
      <c r="B34" s="49">
        <v>0.76890531784599503</v>
      </c>
      <c r="C34" t="s">
        <v>62</v>
      </c>
      <c r="D34" t="str">
        <f>SUBSTITUTE(SUBSTITUTE(SUBSTITUTE(A34, "'max_iter': 500,", ""), "'max_iter': 1000,", ""), "'max_iter': 1500,", "")</f>
        <v>{'activation': 'relu', 'hidden_layer_sizes': (200, 75, 25), 'learning_rate_init': 0.01,  'solver': 'adam'}</v>
      </c>
      <c r="E34">
        <f>_xlfn.RANK.EQ(B34,B$2:$B$479,0)</f>
        <v>25</v>
      </c>
      <c r="H34" s="40" t="s">
        <v>242</v>
      </c>
      <c r="I34" s="31">
        <v>0.76890531784599503</v>
      </c>
    </row>
    <row r="35" spans="1:9" x14ac:dyDescent="0.2">
      <c r="A35" t="s">
        <v>599</v>
      </c>
      <c r="B35" s="49">
        <v>0.76890531784599503</v>
      </c>
      <c r="C35" t="s">
        <v>62</v>
      </c>
      <c r="D35" t="str">
        <f>SUBSTITUTE(SUBSTITUTE(SUBSTITUTE(A35, "'max_iter': 500,", ""), "'max_iter': 1000,", ""), "'max_iter': 1500,", "")</f>
        <v>{'activation': 'relu', 'hidden_layer_sizes': (200, 75, 25), 'learning_rate_init': 0.01,  'solver': 'adam'}</v>
      </c>
      <c r="E35">
        <f>_xlfn.RANK.EQ(B35,B$2:$B$479,0)</f>
        <v>25</v>
      </c>
      <c r="H35" s="40" t="s">
        <v>230</v>
      </c>
      <c r="I35" s="31">
        <v>0.76890531784599503</v>
      </c>
    </row>
    <row r="36" spans="1:9" x14ac:dyDescent="0.2">
      <c r="A36" t="s">
        <v>550</v>
      </c>
      <c r="B36" s="49">
        <v>0.76857591425967697</v>
      </c>
      <c r="C36" t="s">
        <v>62</v>
      </c>
      <c r="D36" t="str">
        <f>SUBSTITUTE(SUBSTITUTE(SUBSTITUTE(A36, "'max_iter': 500,", ""), "'max_iter': 1000,", ""), "'max_iter': 1500,", "")</f>
        <v>{'activation': 'relu', 'hidden_layer_sizes': (100, 50), 'learning_rate_init': 0.005,  'solver': 'adam'}</v>
      </c>
      <c r="E36">
        <f>_xlfn.RANK.EQ(B36,B$2:$B$479,0)</f>
        <v>35</v>
      </c>
      <c r="H36" s="40" t="s">
        <v>575</v>
      </c>
      <c r="I36" s="31">
        <v>0.76890531784599503</v>
      </c>
    </row>
    <row r="37" spans="1:9" x14ac:dyDescent="0.2">
      <c r="A37" t="s">
        <v>216</v>
      </c>
      <c r="B37" s="49">
        <v>0.76857591425967697</v>
      </c>
      <c r="C37" t="s">
        <v>62</v>
      </c>
      <c r="D37" t="str">
        <f>SUBSTITUTE(SUBSTITUTE(SUBSTITUTE(A37, "'max_iter': 500,", ""), "'max_iter': 1000,", ""), "'max_iter': 1500,", "")</f>
        <v>{'activation': 'relu', 'hidden_layer_sizes': (100, 50), 'learning_rate_init': 0.005,  'solver': 'adam'}</v>
      </c>
      <c r="E37">
        <f>_xlfn.RANK.EQ(B37,B$2:$B$479,0)</f>
        <v>35</v>
      </c>
      <c r="H37" s="40" t="s">
        <v>473</v>
      </c>
      <c r="I37" s="31">
        <v>0.76890531784599503</v>
      </c>
    </row>
    <row r="38" spans="1:9" x14ac:dyDescent="0.2">
      <c r="A38" t="s">
        <v>551</v>
      </c>
      <c r="B38" s="49">
        <v>0.76857591425967697</v>
      </c>
      <c r="C38" t="s">
        <v>62</v>
      </c>
      <c r="D38" t="str">
        <f>SUBSTITUTE(SUBSTITUTE(SUBSTITUTE(A38, "'max_iter': 500,", ""), "'max_iter': 1000,", ""), "'max_iter': 1500,", "")</f>
        <v>{'activation': 'relu', 'hidden_layer_sizes': (100, 50), 'learning_rate_init': 0.005,  'solver': 'adam'}</v>
      </c>
      <c r="E38">
        <f>_xlfn.RANK.EQ(B38,B$2:$B$479,0)</f>
        <v>35</v>
      </c>
      <c r="H38" s="40" t="s">
        <v>114</v>
      </c>
      <c r="I38" s="31">
        <v>0.76857591425967697</v>
      </c>
    </row>
    <row r="39" spans="1:9" x14ac:dyDescent="0.2">
      <c r="A39" t="s">
        <v>471</v>
      </c>
      <c r="B39" s="49">
        <v>0.76857591425967697</v>
      </c>
      <c r="C39" t="s">
        <v>62</v>
      </c>
      <c r="D39" t="str">
        <f>SUBSTITUTE(SUBSTITUTE(SUBSTITUTE(A39, "'max_iter': 500,", ""), "'max_iter': 1000,", ""), "'max_iter': 1500,", "")</f>
        <v>{'activation': 'relu', 'hidden_layer_sizes': (200, 100), 'learning_rate_init': 0.005,  'solver': 'sgd'}</v>
      </c>
      <c r="E39">
        <f>_xlfn.RANK.EQ(B39,B$2:$B$479,0)</f>
        <v>35</v>
      </c>
      <c r="H39" s="40" t="s">
        <v>468</v>
      </c>
      <c r="I39" s="31">
        <v>0.76857591425967697</v>
      </c>
    </row>
    <row r="40" spans="1:9" x14ac:dyDescent="0.2">
      <c r="A40" t="s">
        <v>177</v>
      </c>
      <c r="B40" s="49">
        <v>0.76857591425967697</v>
      </c>
      <c r="C40" t="s">
        <v>62</v>
      </c>
      <c r="D40" t="str">
        <f>SUBSTITUTE(SUBSTITUTE(SUBSTITUTE(A40, "'max_iter': 500,", ""), "'max_iter': 1000,", ""), "'max_iter': 1500,", "")</f>
        <v>{'activation': 'relu', 'hidden_layer_sizes': (200, 100), 'learning_rate_init': 0.005,  'solver': 'sgd'}</v>
      </c>
      <c r="E40">
        <f>_xlfn.RANK.EQ(B40,B$2:$B$479,0)</f>
        <v>35</v>
      </c>
      <c r="H40" s="40" t="s">
        <v>471</v>
      </c>
      <c r="I40" s="31">
        <v>0.76857591425967697</v>
      </c>
    </row>
    <row r="41" spans="1:9" x14ac:dyDescent="0.2">
      <c r="A41" t="s">
        <v>468</v>
      </c>
      <c r="B41" s="49">
        <v>0.76857591425967697</v>
      </c>
      <c r="C41" t="s">
        <v>62</v>
      </c>
      <c r="D41" t="str">
        <f>SUBSTITUTE(SUBSTITUTE(SUBSTITUTE(A41, "'max_iter': 500,", ""), "'max_iter': 1000,", ""), "'max_iter': 1500,", "")</f>
        <v>{'activation': 'relu', 'hidden_layer_sizes': (200, 100), 'learning_rate_init': 0.005,  'solver': 'sgd'}</v>
      </c>
      <c r="E41">
        <f>_xlfn.RANK.EQ(B41,B$2:$B$479,0)</f>
        <v>35</v>
      </c>
      <c r="H41" s="40" t="s">
        <v>550</v>
      </c>
      <c r="I41" s="31">
        <v>0.76857591425967697</v>
      </c>
    </row>
    <row r="42" spans="1:9" x14ac:dyDescent="0.2">
      <c r="A42" t="s">
        <v>352</v>
      </c>
      <c r="B42" s="49">
        <v>0.76857591425967697</v>
      </c>
      <c r="C42" t="s">
        <v>62</v>
      </c>
      <c r="D42" t="str">
        <f>SUBSTITUTE(SUBSTITUTE(SUBSTITUTE(A42, "'max_iter': 500,", ""), "'max_iter': 1000,", ""), "'max_iter': 1500,", "")</f>
        <v>{'activation': 'relu', 'hidden_layer_sizes': (200, 75, 25), 'learning_rate_init': 0.005,  'solver': 'adam'}</v>
      </c>
      <c r="E42">
        <f>_xlfn.RANK.EQ(B42,B$2:$B$479,0)</f>
        <v>35</v>
      </c>
      <c r="H42" s="40" t="s">
        <v>352</v>
      </c>
      <c r="I42" s="31">
        <v>0.76857591425967697</v>
      </c>
    </row>
    <row r="43" spans="1:9" x14ac:dyDescent="0.2">
      <c r="A43" t="s">
        <v>114</v>
      </c>
      <c r="B43" s="49">
        <v>0.76857591425967697</v>
      </c>
      <c r="C43" t="s">
        <v>62</v>
      </c>
      <c r="D43" t="str">
        <f>SUBSTITUTE(SUBSTITUTE(SUBSTITUTE(A43, "'max_iter': 500,", ""), "'max_iter': 1000,", ""), "'max_iter': 1500,", "")</f>
        <v>{'activation': 'relu', 'hidden_layer_sizes': (200, 75, 25), 'learning_rate_init': 0.005,  'solver': 'adam'}</v>
      </c>
      <c r="E43">
        <f>_xlfn.RANK.EQ(B43,B$2:$B$479,0)</f>
        <v>35</v>
      </c>
      <c r="H43" s="40" t="s">
        <v>216</v>
      </c>
      <c r="I43" s="31">
        <v>0.76857591425967697</v>
      </c>
    </row>
    <row r="44" spans="1:9" x14ac:dyDescent="0.2">
      <c r="A44" t="s">
        <v>351</v>
      </c>
      <c r="B44" s="49">
        <v>0.76857591425967697</v>
      </c>
      <c r="C44" t="s">
        <v>62</v>
      </c>
      <c r="D44" t="str">
        <f>SUBSTITUTE(SUBSTITUTE(SUBSTITUTE(A44, "'max_iter': 500,", ""), "'max_iter': 1000,", ""), "'max_iter': 1500,", "")</f>
        <v>{'activation': 'relu', 'hidden_layer_sizes': (200, 75, 25), 'learning_rate_init': 0.005,  'solver': 'adam'}</v>
      </c>
      <c r="E44">
        <f>_xlfn.RANK.EQ(B44,B$2:$B$479,0)</f>
        <v>35</v>
      </c>
      <c r="H44" s="40" t="s">
        <v>351</v>
      </c>
      <c r="I44" s="31">
        <v>0.76857591425967697</v>
      </c>
    </row>
    <row r="45" spans="1:9" x14ac:dyDescent="0.2">
      <c r="A45" t="s">
        <v>493</v>
      </c>
      <c r="B45" s="49">
        <v>0.76817093286696603</v>
      </c>
      <c r="C45" t="s">
        <v>62</v>
      </c>
      <c r="D45" t="str">
        <f>SUBSTITUTE(SUBSTITUTE(SUBSTITUTE(A45, "'max_iter': 500,", ""), "'max_iter': 1000,", ""), "'max_iter': 1500,", "")</f>
        <v>{'activation': 'relu', 'hidden_layer_sizes': 100, 'learning_rate_init': 0.01,  'solver': 'adam'}</v>
      </c>
      <c r="E45">
        <f>_xlfn.RANK.EQ(B45,B$2:$B$479,0)</f>
        <v>44</v>
      </c>
      <c r="H45" s="40" t="s">
        <v>551</v>
      </c>
      <c r="I45" s="31">
        <v>0.76857591425967697</v>
      </c>
    </row>
    <row r="46" spans="1:9" x14ac:dyDescent="0.2">
      <c r="A46" t="s">
        <v>190</v>
      </c>
      <c r="B46" s="49">
        <v>0.76817093286696603</v>
      </c>
      <c r="C46" t="s">
        <v>62</v>
      </c>
      <c r="D46" t="str">
        <f>SUBSTITUTE(SUBSTITUTE(SUBSTITUTE(A46, "'max_iter': 500,", ""), "'max_iter': 1000,", ""), "'max_iter': 1500,", "")</f>
        <v>{'activation': 'relu', 'hidden_layer_sizes': 100, 'learning_rate_init': 0.01,  'solver': 'adam'}</v>
      </c>
      <c r="E46">
        <f>_xlfn.RANK.EQ(B46,B$2:$B$479,0)</f>
        <v>44</v>
      </c>
      <c r="H46" s="40" t="s">
        <v>177</v>
      </c>
      <c r="I46" s="31">
        <v>0.76857591425967697</v>
      </c>
    </row>
    <row r="47" spans="1:9" x14ac:dyDescent="0.2">
      <c r="A47" t="s">
        <v>492</v>
      </c>
      <c r="B47" s="49">
        <v>0.76817093286696603</v>
      </c>
      <c r="C47" t="s">
        <v>62</v>
      </c>
      <c r="D47" t="str">
        <f>SUBSTITUTE(SUBSTITUTE(SUBSTITUTE(A47, "'max_iter': 500,", ""), "'max_iter': 1000,", ""), "'max_iter': 1500,", "")</f>
        <v>{'activation': 'relu', 'hidden_layer_sizes': 100, 'learning_rate_init': 0.01,  'solver': 'adam'}</v>
      </c>
      <c r="E47">
        <f>_xlfn.RANK.EQ(B47,B$2:$B$479,0)</f>
        <v>44</v>
      </c>
      <c r="H47" s="40" t="s">
        <v>492</v>
      </c>
      <c r="I47" s="31">
        <v>0.76817093286696603</v>
      </c>
    </row>
    <row r="48" spans="1:9" x14ac:dyDescent="0.2">
      <c r="A48" t="s">
        <v>354</v>
      </c>
      <c r="B48" s="49">
        <v>0.76817093286696603</v>
      </c>
      <c r="C48" t="s">
        <v>62</v>
      </c>
      <c r="D48" t="str">
        <f>SUBSTITUTE(SUBSTITUTE(SUBSTITUTE(A48, "'max_iter': 500,", ""), "'max_iter': 1000,", ""), "'max_iter': 1500,", "")</f>
        <v>{'activation': 'tanh', 'hidden_layer_sizes': (100, 50), 'learning_rate_init': 0.005,  'solver': 'adam'}</v>
      </c>
      <c r="E48">
        <f>_xlfn.RANK.EQ(B48,B$2:$B$479,0)</f>
        <v>44</v>
      </c>
      <c r="H48" s="40" t="s">
        <v>190</v>
      </c>
      <c r="I48" s="31">
        <v>0.76817093286696603</v>
      </c>
    </row>
    <row r="49" spans="1:9" x14ac:dyDescent="0.2">
      <c r="A49" t="s">
        <v>115</v>
      </c>
      <c r="B49" s="49">
        <v>0.76817093286696603</v>
      </c>
      <c r="C49" t="s">
        <v>62</v>
      </c>
      <c r="D49" t="str">
        <f>SUBSTITUTE(SUBSTITUTE(SUBSTITUTE(A49, "'max_iter': 500,", ""), "'max_iter': 1000,", ""), "'max_iter': 1500,", "")</f>
        <v>{'activation': 'tanh', 'hidden_layer_sizes': (100, 50), 'learning_rate_init': 0.005,  'solver': 'adam'}</v>
      </c>
      <c r="E49">
        <f>_xlfn.RANK.EQ(B49,B$2:$B$479,0)</f>
        <v>44</v>
      </c>
      <c r="H49" s="40" t="s">
        <v>493</v>
      </c>
      <c r="I49" s="31">
        <v>0.76817093286696603</v>
      </c>
    </row>
    <row r="50" spans="1:9" x14ac:dyDescent="0.2">
      <c r="A50" t="s">
        <v>353</v>
      </c>
      <c r="B50" s="49">
        <v>0.76817093286696603</v>
      </c>
      <c r="C50" t="s">
        <v>62</v>
      </c>
      <c r="D50" t="str">
        <f>SUBSTITUTE(SUBSTITUTE(SUBSTITUTE(A50, "'max_iter': 500,", ""), "'max_iter': 1000,", ""), "'max_iter': 1500,", "")</f>
        <v>{'activation': 'tanh', 'hidden_layer_sizes': (100, 50), 'learning_rate_init': 0.005,  'solver': 'adam'}</v>
      </c>
      <c r="E50">
        <f>_xlfn.RANK.EQ(B50,B$2:$B$479,0)</f>
        <v>44</v>
      </c>
      <c r="H50" s="40" t="s">
        <v>353</v>
      </c>
      <c r="I50" s="31">
        <v>0.76817093286696603</v>
      </c>
    </row>
    <row r="51" spans="1:9" x14ac:dyDescent="0.2">
      <c r="A51" t="s">
        <v>515</v>
      </c>
      <c r="B51" s="49">
        <v>0.76317174732872395</v>
      </c>
      <c r="C51" t="s">
        <v>62</v>
      </c>
      <c r="D51" t="str">
        <f>SUBSTITUTE(SUBSTITUTE(SUBSTITUTE(A51, "'max_iter': 500,", ""), "'max_iter': 1000,", ""), "'max_iter': 1500,", "")</f>
        <v>{'activation': 'identity', 'hidden_layer_sizes': (200, 100, 50), 'learning_rate_init': 0.005,  'solver': 'adam'}</v>
      </c>
      <c r="E51">
        <f>_xlfn.RANK.EQ(B51,B$2:$B$479,0)</f>
        <v>50</v>
      </c>
      <c r="H51" s="40" t="s">
        <v>354</v>
      </c>
      <c r="I51" s="31">
        <v>0.76817093286696603</v>
      </c>
    </row>
    <row r="52" spans="1:9" x14ac:dyDescent="0.2">
      <c r="A52" t="s">
        <v>200</v>
      </c>
      <c r="B52" s="49">
        <v>0.76317174732872395</v>
      </c>
      <c r="C52" t="s">
        <v>62</v>
      </c>
      <c r="D52" t="str">
        <f>SUBSTITUTE(SUBSTITUTE(SUBSTITUTE(A52, "'max_iter': 500,", ""), "'max_iter': 1000,", ""), "'max_iter': 1500,", "")</f>
        <v>{'activation': 'identity', 'hidden_layer_sizes': (200, 100, 50), 'learning_rate_init': 0.005,  'solver': 'adam'}</v>
      </c>
      <c r="E52">
        <f>_xlfn.RANK.EQ(B52,B$2:$B$479,0)</f>
        <v>50</v>
      </c>
      <c r="H52" s="40" t="s">
        <v>115</v>
      </c>
      <c r="I52" s="31">
        <v>0.76817093286696603</v>
      </c>
    </row>
    <row r="53" spans="1:9" x14ac:dyDescent="0.2">
      <c r="A53" t="s">
        <v>514</v>
      </c>
      <c r="B53" s="49">
        <v>0.76317174732872395</v>
      </c>
      <c r="C53" t="s">
        <v>62</v>
      </c>
      <c r="D53" t="str">
        <f>SUBSTITUTE(SUBSTITUTE(SUBSTITUTE(A53, "'max_iter': 500,", ""), "'max_iter': 1000,", ""), "'max_iter': 1500,", "")</f>
        <v>{'activation': 'identity', 'hidden_layer_sizes': (200, 100, 50), 'learning_rate_init': 0.005,  'solver': 'adam'}</v>
      </c>
      <c r="E53">
        <f>_xlfn.RANK.EQ(B53,B$2:$B$479,0)</f>
        <v>50</v>
      </c>
      <c r="H53" s="40" t="s">
        <v>174</v>
      </c>
      <c r="I53" s="31">
        <v>0.76317174732872395</v>
      </c>
    </row>
    <row r="54" spans="1:9" x14ac:dyDescent="0.2">
      <c r="A54" t="s">
        <v>466</v>
      </c>
      <c r="B54" s="49">
        <v>0.76317174732872395</v>
      </c>
      <c r="C54" t="s">
        <v>62</v>
      </c>
      <c r="D54" t="str">
        <f>SUBSTITUTE(SUBSTITUTE(SUBSTITUTE(A54, "'max_iter': 500,", ""), "'max_iter': 1000,", ""), "'max_iter': 1500,", "")</f>
        <v>{'activation': 'relu', 'hidden_layer_sizes': (200, 75, 25), 'learning_rate_init': 0.01,  'solver': 'sgd'}</v>
      </c>
      <c r="E54">
        <f>_xlfn.RANK.EQ(B54,B$2:$B$479,0)</f>
        <v>50</v>
      </c>
      <c r="H54" s="40" t="s">
        <v>515</v>
      </c>
      <c r="I54" s="31">
        <v>0.76317174732872395</v>
      </c>
    </row>
    <row r="55" spans="1:9" x14ac:dyDescent="0.2">
      <c r="A55" t="s">
        <v>174</v>
      </c>
      <c r="B55" s="49">
        <v>0.76317174732872395</v>
      </c>
      <c r="C55" t="s">
        <v>62</v>
      </c>
      <c r="D55" t="str">
        <f>SUBSTITUTE(SUBSTITUTE(SUBSTITUTE(A55, "'max_iter': 500,", ""), "'max_iter': 1000,", ""), "'max_iter': 1500,", "")</f>
        <v>{'activation': 'relu', 'hidden_layer_sizes': (200, 75, 25), 'learning_rate_init': 0.01,  'solver': 'sgd'}</v>
      </c>
      <c r="E55">
        <f>_xlfn.RANK.EQ(B55,B$2:$B$479,0)</f>
        <v>50</v>
      </c>
      <c r="H55" s="40" t="s">
        <v>464</v>
      </c>
      <c r="I55" s="31">
        <v>0.76317174732872395</v>
      </c>
    </row>
    <row r="56" spans="1:9" x14ac:dyDescent="0.2">
      <c r="A56" t="s">
        <v>464</v>
      </c>
      <c r="B56" s="49">
        <v>0.76317174732872395</v>
      </c>
      <c r="C56" t="s">
        <v>62</v>
      </c>
      <c r="D56" t="str">
        <f>SUBSTITUTE(SUBSTITUTE(SUBSTITUTE(A56, "'max_iter': 500,", ""), "'max_iter': 1000,", ""), "'max_iter': 1500,", "")</f>
        <v>{'activation': 'relu', 'hidden_layer_sizes': (200, 75, 25), 'learning_rate_init': 0.01,  'solver': 'sgd'}</v>
      </c>
      <c r="E56">
        <f>_xlfn.RANK.EQ(B56,B$2:$B$479,0)</f>
        <v>50</v>
      </c>
      <c r="H56" s="40" t="s">
        <v>466</v>
      </c>
      <c r="I56" s="31">
        <v>0.76317174732872395</v>
      </c>
    </row>
    <row r="57" spans="1:9" x14ac:dyDescent="0.2">
      <c r="A57" t="s">
        <v>342</v>
      </c>
      <c r="B57" s="49">
        <v>0.76310512820512799</v>
      </c>
      <c r="C57" t="s">
        <v>62</v>
      </c>
      <c r="D57" t="str">
        <f>SUBSTITUTE(SUBSTITUTE(SUBSTITUTE(A57, "'max_iter': 500,", ""), "'max_iter': 1000,", ""), "'max_iter': 1500,", "")</f>
        <v>{'activation': 'identity', 'hidden_layer_sizes': (200, 100), 'learning_rate_init': 0.01,  'solver': 'adam'}</v>
      </c>
      <c r="E57">
        <f>_xlfn.RANK.EQ(B57,B$2:$B$479,0)</f>
        <v>56</v>
      </c>
      <c r="H57" s="40" t="s">
        <v>200</v>
      </c>
      <c r="I57" s="31">
        <v>0.76317174732872395</v>
      </c>
    </row>
    <row r="58" spans="1:9" x14ac:dyDescent="0.2">
      <c r="A58" t="s">
        <v>110</v>
      </c>
      <c r="B58" s="49">
        <v>0.76310512820512799</v>
      </c>
      <c r="C58" t="s">
        <v>62</v>
      </c>
      <c r="D58" t="str">
        <f>SUBSTITUTE(SUBSTITUTE(SUBSTITUTE(A58, "'max_iter': 500,", ""), "'max_iter': 1000,", ""), "'max_iter': 1500,", "")</f>
        <v>{'activation': 'identity', 'hidden_layer_sizes': (200, 100), 'learning_rate_init': 0.01,  'solver': 'adam'}</v>
      </c>
      <c r="E58">
        <f>_xlfn.RANK.EQ(B58,B$2:$B$479,0)</f>
        <v>56</v>
      </c>
      <c r="H58" s="40" t="s">
        <v>514</v>
      </c>
      <c r="I58" s="31">
        <v>0.76317174732872395</v>
      </c>
    </row>
    <row r="59" spans="1:9" x14ac:dyDescent="0.2">
      <c r="A59" t="s">
        <v>343</v>
      </c>
      <c r="B59" s="49">
        <v>0.76310512820512799</v>
      </c>
      <c r="C59" t="s">
        <v>62</v>
      </c>
      <c r="D59" t="str">
        <f>SUBSTITUTE(SUBSTITUTE(SUBSTITUTE(A59, "'max_iter': 500,", ""), "'max_iter': 1000,", ""), "'max_iter': 1500,", "")</f>
        <v>{'activation': 'identity', 'hidden_layer_sizes': (200, 100), 'learning_rate_init': 0.01,  'solver': 'adam'}</v>
      </c>
      <c r="E59">
        <f>_xlfn.RANK.EQ(B59,B$2:$B$479,0)</f>
        <v>56</v>
      </c>
      <c r="H59" s="40" t="s">
        <v>343</v>
      </c>
      <c r="I59" s="31">
        <v>0.76310512820512799</v>
      </c>
    </row>
    <row r="60" spans="1:9" x14ac:dyDescent="0.2">
      <c r="A60" t="s">
        <v>126</v>
      </c>
      <c r="B60" s="49">
        <v>0.76302353960006297</v>
      </c>
      <c r="C60" t="s">
        <v>62</v>
      </c>
      <c r="D60" t="str">
        <f>SUBSTITUTE(SUBSTITUTE(SUBSTITUTE(A60, "'max_iter': 500,", ""), "'max_iter': 1000,", ""), "'max_iter': 1500,", "")</f>
        <v>{'activation': 'identity', 'hidden_layer_sizes': (100, 50), 'learning_rate_init': 0.001,  'solver': 'sgd'}</v>
      </c>
      <c r="E60">
        <f>_xlfn.RANK.EQ(B60,B$2:$B$479,0)</f>
        <v>59</v>
      </c>
      <c r="H60" s="40" t="s">
        <v>342</v>
      </c>
      <c r="I60" s="31">
        <v>0.76310512820512799</v>
      </c>
    </row>
    <row r="61" spans="1:9" x14ac:dyDescent="0.2">
      <c r="A61" t="s">
        <v>76</v>
      </c>
      <c r="B61" s="49">
        <v>0.76302353960006297</v>
      </c>
      <c r="C61" t="s">
        <v>62</v>
      </c>
      <c r="D61" t="str">
        <f>SUBSTITUTE(SUBSTITUTE(SUBSTITUTE(A61, "'max_iter': 500,", ""), "'max_iter': 1000,", ""), "'max_iter': 1500,", "")</f>
        <v>{'activation': 'tanh', 'hidden_layer_sizes': (100, 50), 'learning_rate_init': 0.001,  'solver': 'sgd'}</v>
      </c>
      <c r="E61">
        <f>_xlfn.RANK.EQ(B61,B$2:$B$479,0)</f>
        <v>59</v>
      </c>
      <c r="H61" s="40" t="s">
        <v>110</v>
      </c>
      <c r="I61" s="31">
        <v>0.76310512820512799</v>
      </c>
    </row>
    <row r="62" spans="1:9" x14ac:dyDescent="0.2">
      <c r="A62" t="s">
        <v>570</v>
      </c>
      <c r="B62" s="49">
        <v>0.76279987373737301</v>
      </c>
      <c r="C62" t="s">
        <v>62</v>
      </c>
      <c r="D62" t="str">
        <f>SUBSTITUTE(SUBSTITUTE(SUBSTITUTE(A62, "'max_iter': 500,", ""), "'max_iter': 1000,", ""), "'max_iter': 1500,", "")</f>
        <v>{'activation': 'relu', 'hidden_layer_sizes': (150, 75), 'learning_rate_init': 0.01,  'solver': 'sgd'}</v>
      </c>
      <c r="E62">
        <f>_xlfn.RANK.EQ(B62,B$2:$B$479,0)</f>
        <v>61</v>
      </c>
      <c r="H62" s="40" t="s">
        <v>126</v>
      </c>
      <c r="I62" s="31">
        <v>0.76302353960006297</v>
      </c>
    </row>
    <row r="63" spans="1:9" x14ac:dyDescent="0.2">
      <c r="A63" t="s">
        <v>227</v>
      </c>
      <c r="B63" s="49">
        <v>0.76279987373737301</v>
      </c>
      <c r="C63" t="s">
        <v>62</v>
      </c>
      <c r="D63" t="str">
        <f>SUBSTITUTE(SUBSTITUTE(SUBSTITUTE(A63, "'max_iter': 500,", ""), "'max_iter': 1000,", ""), "'max_iter': 1500,", "")</f>
        <v>{'activation': 'relu', 'hidden_layer_sizes': (150, 75), 'learning_rate_init': 0.01,  'solver': 'sgd'}</v>
      </c>
      <c r="E63">
        <f>_xlfn.RANK.EQ(B63,B$2:$B$479,0)</f>
        <v>61</v>
      </c>
      <c r="H63" s="40" t="s">
        <v>76</v>
      </c>
      <c r="I63" s="31">
        <v>0.76302353960006297</v>
      </c>
    </row>
    <row r="64" spans="1:9" x14ac:dyDescent="0.2">
      <c r="A64" t="s">
        <v>569</v>
      </c>
      <c r="B64" s="49">
        <v>0.76279987373737301</v>
      </c>
      <c r="C64" t="s">
        <v>62</v>
      </c>
      <c r="D64" t="str">
        <f>SUBSTITUTE(SUBSTITUTE(SUBSTITUTE(A64, "'max_iter': 500,", ""), "'max_iter': 1000,", ""), "'max_iter': 1500,", "")</f>
        <v>{'activation': 'relu', 'hidden_layer_sizes': (150, 75), 'learning_rate_init': 0.01,  'solver': 'sgd'}</v>
      </c>
      <c r="E64">
        <f>_xlfn.RANK.EQ(B64,B$2:$B$479,0)</f>
        <v>61</v>
      </c>
      <c r="H64" s="40" t="s">
        <v>570</v>
      </c>
      <c r="I64" s="31">
        <v>0.76279987373737301</v>
      </c>
    </row>
    <row r="65" spans="1:9" x14ac:dyDescent="0.2">
      <c r="A65" t="s">
        <v>266</v>
      </c>
      <c r="B65" s="49">
        <v>0.76279987373737301</v>
      </c>
      <c r="C65" t="s">
        <v>62</v>
      </c>
      <c r="D65" t="str">
        <f>SUBSTITUTE(SUBSTITUTE(SUBSTITUTE(A65, "'max_iter': 500,", ""), "'max_iter': 1000,", ""), "'max_iter': 1500,", "")</f>
        <v>{'activation': 'relu', 'hidden_layer_sizes': (200, 100), 'learning_rate_init': 0.01,  'solver': 'adam'}</v>
      </c>
      <c r="E65">
        <f>_xlfn.RANK.EQ(B65,B$2:$B$479,0)</f>
        <v>61</v>
      </c>
      <c r="H65" s="40" t="s">
        <v>569</v>
      </c>
      <c r="I65" s="31">
        <v>0.76279987373737301</v>
      </c>
    </row>
    <row r="66" spans="1:9" x14ac:dyDescent="0.2">
      <c r="A66" t="s">
        <v>70</v>
      </c>
      <c r="B66" s="49">
        <v>0.76279987373737301</v>
      </c>
      <c r="C66" t="s">
        <v>62</v>
      </c>
      <c r="D66" t="str">
        <f>SUBSTITUTE(SUBSTITUTE(SUBSTITUTE(A66, "'max_iter': 500,", ""), "'max_iter': 1000,", ""), "'max_iter': 1500,", "")</f>
        <v>{'activation': 'relu', 'hidden_layer_sizes': (200, 100), 'learning_rate_init': 0.01,  'solver': 'adam'}</v>
      </c>
      <c r="E66">
        <f>_xlfn.RANK.EQ(B66,B$2:$B$479,0)</f>
        <v>61</v>
      </c>
      <c r="H66" s="40" t="s">
        <v>266</v>
      </c>
      <c r="I66" s="31">
        <v>0.76279987373737301</v>
      </c>
    </row>
    <row r="67" spans="1:9" x14ac:dyDescent="0.2">
      <c r="A67" t="s">
        <v>267</v>
      </c>
      <c r="B67" s="49">
        <v>0.76279987373737301</v>
      </c>
      <c r="C67" t="s">
        <v>62</v>
      </c>
      <c r="D67" t="str">
        <f>SUBSTITUTE(SUBSTITUTE(SUBSTITUTE(A67, "'max_iter': 500,", ""), "'max_iter': 1000,", ""), "'max_iter': 1500,", "")</f>
        <v>{'activation': 'relu', 'hidden_layer_sizes': (200, 100), 'learning_rate_init': 0.01,  'solver': 'adam'}</v>
      </c>
      <c r="E67">
        <f>_xlfn.RANK.EQ(B67,B$2:$B$479,0)</f>
        <v>61</v>
      </c>
      <c r="H67" s="40" t="s">
        <v>227</v>
      </c>
      <c r="I67" s="31">
        <v>0.76279987373737301</v>
      </c>
    </row>
    <row r="68" spans="1:9" x14ac:dyDescent="0.2">
      <c r="A68" t="s">
        <v>462</v>
      </c>
      <c r="B68" s="49">
        <v>0.76249999999999996</v>
      </c>
      <c r="C68" t="s">
        <v>62</v>
      </c>
      <c r="D68" t="str">
        <f>SUBSTITUTE(SUBSTITUTE(SUBSTITUTE(A68, "'max_iter': 500,", ""), "'max_iter': 1000,", ""), "'max_iter': 1500,", "")</f>
        <v>{'activation': 'logistic', 'hidden_layer_sizes': (100, 50), 'learning_rate_init': 0.005,  'solver': 'adam'}</v>
      </c>
      <c r="E68">
        <f>_xlfn.RANK.EQ(B68,B$2:$B$479,0)</f>
        <v>67</v>
      </c>
      <c r="H68" s="40" t="s">
        <v>267</v>
      </c>
      <c r="I68" s="31">
        <v>0.76279987373737301</v>
      </c>
    </row>
    <row r="69" spans="1:9" x14ac:dyDescent="0.2">
      <c r="A69" t="s">
        <v>172</v>
      </c>
      <c r="B69" s="49">
        <v>0.76249999999999996</v>
      </c>
      <c r="C69" t="s">
        <v>62</v>
      </c>
      <c r="D69" t="str">
        <f>SUBSTITUTE(SUBSTITUTE(SUBSTITUTE(A69, "'max_iter': 500,", ""), "'max_iter': 1000,", ""), "'max_iter': 1500,", "")</f>
        <v>{'activation': 'logistic', 'hidden_layer_sizes': (100, 50), 'learning_rate_init': 0.005,  'solver': 'adam'}</v>
      </c>
      <c r="E69">
        <f>_xlfn.RANK.EQ(B69,B$2:$B$479,0)</f>
        <v>67</v>
      </c>
      <c r="H69" s="40" t="s">
        <v>70</v>
      </c>
      <c r="I69" s="31">
        <v>0.76279987373737301</v>
      </c>
    </row>
    <row r="70" spans="1:9" x14ac:dyDescent="0.2">
      <c r="A70" t="s">
        <v>463</v>
      </c>
      <c r="B70" s="49">
        <v>0.76249999999999996</v>
      </c>
      <c r="C70" t="s">
        <v>62</v>
      </c>
      <c r="D70" t="str">
        <f>SUBSTITUTE(SUBSTITUTE(SUBSTITUTE(A70, "'max_iter': 500,", ""), "'max_iter': 1000,", ""), "'max_iter': 1500,", "")</f>
        <v>{'activation': 'logistic', 'hidden_layer_sizes': (100, 50), 'learning_rate_init': 0.005,  'solver': 'adam'}</v>
      </c>
      <c r="E70">
        <f>_xlfn.RANK.EQ(B70,B$2:$B$479,0)</f>
        <v>67</v>
      </c>
      <c r="H70" s="40" t="s">
        <v>463</v>
      </c>
      <c r="I70" s="31">
        <v>0.76249999999999996</v>
      </c>
    </row>
    <row r="71" spans="1:9" x14ac:dyDescent="0.2">
      <c r="A71" t="s">
        <v>502</v>
      </c>
      <c r="B71" s="49">
        <v>0.76249999999999996</v>
      </c>
      <c r="C71" t="s">
        <v>62</v>
      </c>
      <c r="D71" t="str">
        <f>SUBSTITUTE(SUBSTITUTE(SUBSTITUTE(A71, "'max_iter': 500,", ""), "'max_iter': 1000,", ""), "'max_iter': 1500,", "")</f>
        <v>{'activation': 'logistic', 'hidden_layer_sizes': (150, 75), 'learning_rate_init': 0.005,  'solver': 'adam'}</v>
      </c>
      <c r="E71">
        <f>_xlfn.RANK.EQ(B71,B$2:$B$479,0)</f>
        <v>67</v>
      </c>
      <c r="H71" s="40" t="s">
        <v>502</v>
      </c>
      <c r="I71" s="31">
        <v>0.76249999999999996</v>
      </c>
    </row>
    <row r="72" spans="1:9" x14ac:dyDescent="0.2">
      <c r="A72" t="s">
        <v>194</v>
      </c>
      <c r="B72" s="49">
        <v>0.76249999999999996</v>
      </c>
      <c r="C72" t="s">
        <v>62</v>
      </c>
      <c r="D72" t="str">
        <f>SUBSTITUTE(SUBSTITUTE(SUBSTITUTE(A72, "'max_iter': 500,", ""), "'max_iter': 1000,", ""), "'max_iter': 1500,", "")</f>
        <v>{'activation': 'logistic', 'hidden_layer_sizes': (150, 75), 'learning_rate_init': 0.005,  'solver': 'adam'}</v>
      </c>
      <c r="E72">
        <f>_xlfn.RANK.EQ(B72,B$2:$B$479,0)</f>
        <v>67</v>
      </c>
      <c r="H72" s="40" t="s">
        <v>172</v>
      </c>
      <c r="I72" s="31">
        <v>0.76249999999999996</v>
      </c>
    </row>
    <row r="73" spans="1:9" x14ac:dyDescent="0.2">
      <c r="A73" t="s">
        <v>501</v>
      </c>
      <c r="B73" s="49">
        <v>0.76249999999999996</v>
      </c>
      <c r="C73" t="s">
        <v>62</v>
      </c>
      <c r="D73" t="str">
        <f>SUBSTITUTE(SUBSTITUTE(SUBSTITUTE(A73, "'max_iter': 500,", ""), "'max_iter': 1000,", ""), "'max_iter': 1500,", "")</f>
        <v>{'activation': 'logistic', 'hidden_layer_sizes': (150, 75), 'learning_rate_init': 0.005,  'solver': 'adam'}</v>
      </c>
      <c r="E73">
        <f>_xlfn.RANK.EQ(B73,B$2:$B$479,0)</f>
        <v>67</v>
      </c>
      <c r="H73" s="40" t="s">
        <v>402</v>
      </c>
      <c r="I73" s="31">
        <v>0.76249999999999996</v>
      </c>
    </row>
    <row r="74" spans="1:9" x14ac:dyDescent="0.2">
      <c r="A74" t="s">
        <v>399</v>
      </c>
      <c r="B74" s="49">
        <v>0.76249999999999996</v>
      </c>
      <c r="C74" t="s">
        <v>62</v>
      </c>
      <c r="D74" t="str">
        <f>SUBSTITUTE(SUBSTITUTE(SUBSTITUTE(A74, "'max_iter': 500,", ""), "'max_iter': 1000,", ""), "'max_iter': 1500,", "")</f>
        <v>{'activation': 'relu', 'hidden_layer_sizes': (200, 100), 'learning_rate_init': 0.01,  'solver': 'sgd'}</v>
      </c>
      <c r="E74">
        <f>_xlfn.RANK.EQ(B74,B$2:$B$479,0)</f>
        <v>67</v>
      </c>
      <c r="H74" s="40" t="s">
        <v>462</v>
      </c>
      <c r="I74" s="31">
        <v>0.76249999999999996</v>
      </c>
    </row>
    <row r="75" spans="1:9" x14ac:dyDescent="0.2">
      <c r="A75" t="s">
        <v>141</v>
      </c>
      <c r="B75" s="49">
        <v>0.76249999999999996</v>
      </c>
      <c r="C75" t="s">
        <v>62</v>
      </c>
      <c r="D75" t="str">
        <f>SUBSTITUTE(SUBSTITUTE(SUBSTITUTE(A75, "'max_iter': 500,", ""), "'max_iter': 1000,", ""), "'max_iter': 1500,", "")</f>
        <v>{'activation': 'relu', 'hidden_layer_sizes': (200, 100), 'learning_rate_init': 0.01,  'solver': 'sgd'}</v>
      </c>
      <c r="E75">
        <f>_xlfn.RANK.EQ(B75,B$2:$B$479,0)</f>
        <v>67</v>
      </c>
      <c r="H75" s="40" t="s">
        <v>194</v>
      </c>
      <c r="I75" s="31">
        <v>0.76249999999999996</v>
      </c>
    </row>
    <row r="76" spans="1:9" x14ac:dyDescent="0.2">
      <c r="A76" t="s">
        <v>402</v>
      </c>
      <c r="B76" s="49">
        <v>0.76249999999999996</v>
      </c>
      <c r="C76" t="s">
        <v>62</v>
      </c>
      <c r="D76" t="str">
        <f>SUBSTITUTE(SUBSTITUTE(SUBSTITUTE(A76, "'max_iter': 500,", ""), "'max_iter': 1000,", ""), "'max_iter': 1500,", "")</f>
        <v>{'activation': 'relu', 'hidden_layer_sizes': (200, 100), 'learning_rate_init': 0.01,  'solver': 'sgd'}</v>
      </c>
      <c r="E76">
        <f>_xlfn.RANK.EQ(B76,B$2:$B$479,0)</f>
        <v>67</v>
      </c>
      <c r="H76" s="40" t="s">
        <v>501</v>
      </c>
      <c r="I76" s="31">
        <v>0.76249999999999996</v>
      </c>
    </row>
    <row r="77" spans="1:9" x14ac:dyDescent="0.2">
      <c r="A77" t="s">
        <v>263</v>
      </c>
      <c r="B77" s="49">
        <v>0.76212301587301501</v>
      </c>
      <c r="C77" t="s">
        <v>62</v>
      </c>
      <c r="D77" t="str">
        <f>SUBSTITUTE(SUBSTITUTE(SUBSTITUTE(A77, "'max_iter': 500,", ""), "'max_iter': 1000,", ""), "'max_iter': 1500,", "")</f>
        <v>{'activation': 'relu', 'hidden_layer_sizes': 50, 'learning_rate_init': 0.01,  'solver': 'adam'}</v>
      </c>
      <c r="E77">
        <f>_xlfn.RANK.EQ(B77,B$2:$B$479,0)</f>
        <v>76</v>
      </c>
      <c r="H77" s="40" t="s">
        <v>141</v>
      </c>
      <c r="I77" s="31">
        <v>0.76249999999999996</v>
      </c>
    </row>
    <row r="78" spans="1:9" x14ac:dyDescent="0.2">
      <c r="A78" t="s">
        <v>68</v>
      </c>
      <c r="B78" s="49">
        <v>0.76212301587301501</v>
      </c>
      <c r="C78" t="s">
        <v>62</v>
      </c>
      <c r="D78" t="str">
        <f>SUBSTITUTE(SUBSTITUTE(SUBSTITUTE(A78, "'max_iter': 500,", ""), "'max_iter': 1000,", ""), "'max_iter': 1500,", "")</f>
        <v>{'activation': 'relu', 'hidden_layer_sizes': 50, 'learning_rate_init': 0.01,  'solver': 'adam'}</v>
      </c>
      <c r="E78">
        <f>_xlfn.RANK.EQ(B78,B$2:$B$479,0)</f>
        <v>76</v>
      </c>
      <c r="H78" s="40" t="s">
        <v>399</v>
      </c>
      <c r="I78" s="31">
        <v>0.76249999999999996</v>
      </c>
    </row>
    <row r="79" spans="1:9" x14ac:dyDescent="0.2">
      <c r="A79" t="s">
        <v>262</v>
      </c>
      <c r="B79" s="49">
        <v>0.76212301587301501</v>
      </c>
      <c r="C79" t="s">
        <v>62</v>
      </c>
      <c r="D79" t="str">
        <f>SUBSTITUTE(SUBSTITUTE(SUBSTITUTE(A79, "'max_iter': 500,", ""), "'max_iter': 1000,", ""), "'max_iter': 1500,", "")</f>
        <v>{'activation': 'relu', 'hidden_layer_sizes': 50, 'learning_rate_init': 0.01,  'solver': 'adam'}</v>
      </c>
      <c r="E79">
        <f>_xlfn.RANK.EQ(B79,B$2:$B$479,0)</f>
        <v>76</v>
      </c>
      <c r="H79" s="40" t="s">
        <v>263</v>
      </c>
      <c r="I79" s="31">
        <v>0.76212301587301501</v>
      </c>
    </row>
    <row r="80" spans="1:9" x14ac:dyDescent="0.2">
      <c r="A80" t="s">
        <v>270</v>
      </c>
      <c r="B80" s="49">
        <v>0.756984560291182</v>
      </c>
      <c r="C80" t="s">
        <v>62</v>
      </c>
      <c r="D80" t="str">
        <f>SUBSTITUTE(SUBSTITUTE(SUBSTITUTE(A80, "'max_iter': 500,", ""), "'max_iter': 1000,", ""), "'max_iter': 1500,", "")</f>
        <v>{'activation': 'tanh', 'hidden_layer_sizes': (200, 100, 50), 'learning_rate_init': 0.01,  'solver': 'sgd'}</v>
      </c>
      <c r="E80">
        <f>_xlfn.RANK.EQ(B80,B$2:$B$479,0)</f>
        <v>79</v>
      </c>
      <c r="H80" s="40" t="s">
        <v>262</v>
      </c>
      <c r="I80" s="31">
        <v>0.76212301587301501</v>
      </c>
    </row>
    <row r="81" spans="1:9" x14ac:dyDescent="0.2">
      <c r="A81" t="s">
        <v>72</v>
      </c>
      <c r="B81" s="49">
        <v>0.756984560291182</v>
      </c>
      <c r="C81" t="s">
        <v>62</v>
      </c>
      <c r="D81" t="str">
        <f>SUBSTITUTE(SUBSTITUTE(SUBSTITUTE(A81, "'max_iter': 500,", ""), "'max_iter': 1000,", ""), "'max_iter': 1500,", "")</f>
        <v>{'activation': 'tanh', 'hidden_layer_sizes': (200, 100, 50), 'learning_rate_init': 0.01,  'solver': 'sgd'}</v>
      </c>
      <c r="E81">
        <f>_xlfn.RANK.EQ(B81,B$2:$B$479,0)</f>
        <v>79</v>
      </c>
      <c r="H81" s="40" t="s">
        <v>68</v>
      </c>
      <c r="I81" s="31">
        <v>0.76212301587301501</v>
      </c>
    </row>
    <row r="82" spans="1:9" x14ac:dyDescent="0.2">
      <c r="A82" t="s">
        <v>271</v>
      </c>
      <c r="B82" s="49">
        <v>0.756984560291182</v>
      </c>
      <c r="C82" t="s">
        <v>62</v>
      </c>
      <c r="D82" t="str">
        <f>SUBSTITUTE(SUBSTITUTE(SUBSTITUTE(A82, "'max_iter': 500,", ""), "'max_iter': 1000,", ""), "'max_iter': 1500,", "")</f>
        <v>{'activation': 'tanh', 'hidden_layer_sizes': (200, 100, 50), 'learning_rate_init': 0.01,  'solver': 'sgd'}</v>
      </c>
      <c r="E82">
        <f>_xlfn.RANK.EQ(B82,B$2:$B$479,0)</f>
        <v>79</v>
      </c>
      <c r="H82" s="40" t="s">
        <v>270</v>
      </c>
      <c r="I82" s="31">
        <v>0.756984560291182</v>
      </c>
    </row>
    <row r="83" spans="1:9" x14ac:dyDescent="0.2">
      <c r="A83" t="s">
        <v>509</v>
      </c>
      <c r="B83" s="49">
        <v>0.75687300931933399</v>
      </c>
      <c r="C83" t="s">
        <v>62</v>
      </c>
      <c r="D83" t="str">
        <f>SUBSTITUTE(SUBSTITUTE(SUBSTITUTE(A83, "'max_iter': 500,", ""), "'max_iter': 1000,", ""), "'max_iter': 1500,", "")</f>
        <v>{'activation': 'identity', 'hidden_layer_sizes': (100, 50), 'learning_rate_init': 0.005,  'solver': 'sgd'}</v>
      </c>
      <c r="E83">
        <f>_xlfn.RANK.EQ(B83,B$2:$B$479,0)</f>
        <v>82</v>
      </c>
      <c r="H83" s="40" t="s">
        <v>271</v>
      </c>
      <c r="I83" s="31">
        <v>0.756984560291182</v>
      </c>
    </row>
    <row r="84" spans="1:9" x14ac:dyDescent="0.2">
      <c r="A84" t="s">
        <v>191</v>
      </c>
      <c r="B84" s="49">
        <v>0.75687300931933399</v>
      </c>
      <c r="C84" t="s">
        <v>62</v>
      </c>
      <c r="D84" t="str">
        <f>SUBSTITUTE(SUBSTITUTE(SUBSTITUTE(A84, "'max_iter': 500,", ""), "'max_iter': 1000,", ""), "'max_iter': 1500,", "")</f>
        <v>{'activation': 'identity', 'hidden_layer_sizes': (100, 50), 'learning_rate_init': 0.005,  'solver': 'sgd'}</v>
      </c>
      <c r="E84">
        <f>_xlfn.RANK.EQ(B84,B$2:$B$479,0)</f>
        <v>82</v>
      </c>
      <c r="H84" s="40" t="s">
        <v>72</v>
      </c>
      <c r="I84" s="31">
        <v>0.756984560291182</v>
      </c>
    </row>
    <row r="85" spans="1:9" x14ac:dyDescent="0.2">
      <c r="A85" t="s">
        <v>507</v>
      </c>
      <c r="B85" s="49">
        <v>0.75687300931933399</v>
      </c>
      <c r="C85" t="s">
        <v>62</v>
      </c>
      <c r="D85" t="str">
        <f>SUBSTITUTE(SUBSTITUTE(SUBSTITUTE(A85, "'max_iter': 500,", ""), "'max_iter': 1000,", ""), "'max_iter': 1500,", "")</f>
        <v>{'activation': 'identity', 'hidden_layer_sizes': (100, 50), 'learning_rate_init': 0.005,  'solver': 'sgd'}</v>
      </c>
      <c r="E85">
        <f>_xlfn.RANK.EQ(B85,B$2:$B$479,0)</f>
        <v>82</v>
      </c>
      <c r="H85" s="40" t="s">
        <v>272</v>
      </c>
      <c r="I85" s="31">
        <v>0.75687300931933399</v>
      </c>
    </row>
    <row r="86" spans="1:9" x14ac:dyDescent="0.2">
      <c r="A86" t="s">
        <v>578</v>
      </c>
      <c r="B86" s="49">
        <v>0.75687300931933399</v>
      </c>
      <c r="C86" t="s">
        <v>62</v>
      </c>
      <c r="D86" t="str">
        <f>SUBSTITUTE(SUBSTITUTE(SUBSTITUTE(A86, "'max_iter': 500,", ""), "'max_iter': 1000,", ""), "'max_iter': 1500,", "")</f>
        <v>{'activation': 'identity', 'hidden_layer_sizes': (100, 50), 'learning_rate_init': 0.01,  'solver': 'sgd'}</v>
      </c>
      <c r="E86">
        <f>_xlfn.RANK.EQ(B86,B$2:$B$479,0)</f>
        <v>82</v>
      </c>
      <c r="H86" s="40" t="s">
        <v>264</v>
      </c>
      <c r="I86" s="31">
        <v>0.75687300931933399</v>
      </c>
    </row>
    <row r="87" spans="1:9" x14ac:dyDescent="0.2">
      <c r="A87" t="s">
        <v>232</v>
      </c>
      <c r="B87" s="49">
        <v>0.75687300931933399</v>
      </c>
      <c r="C87" t="s">
        <v>62</v>
      </c>
      <c r="D87" t="str">
        <f>SUBSTITUTE(SUBSTITUTE(SUBSTITUTE(A87, "'max_iter': 500,", ""), "'max_iter': 1000,", ""), "'max_iter': 1500,", "")</f>
        <v>{'activation': 'identity', 'hidden_layer_sizes': (100, 50), 'learning_rate_init': 0.01,  'solver': 'sgd'}</v>
      </c>
      <c r="E87">
        <f>_xlfn.RANK.EQ(B87,B$2:$B$479,0)</f>
        <v>82</v>
      </c>
      <c r="H87" s="40" t="s">
        <v>578</v>
      </c>
      <c r="I87" s="31">
        <v>0.75687300931933399</v>
      </c>
    </row>
    <row r="88" spans="1:9" x14ac:dyDescent="0.2">
      <c r="A88" t="s">
        <v>577</v>
      </c>
      <c r="B88" s="49">
        <v>0.75687300931933399</v>
      </c>
      <c r="C88" t="s">
        <v>62</v>
      </c>
      <c r="D88" t="str">
        <f>SUBSTITUTE(SUBSTITUTE(SUBSTITUTE(A88, "'max_iter': 500,", ""), "'max_iter': 1000,", ""), "'max_iter': 1500,", "")</f>
        <v>{'activation': 'identity', 'hidden_layer_sizes': (100, 50), 'learning_rate_init': 0.01,  'solver': 'sgd'}</v>
      </c>
      <c r="E88">
        <f>_xlfn.RANK.EQ(B88,B$2:$B$479,0)</f>
        <v>82</v>
      </c>
      <c r="H88" s="40" t="s">
        <v>73</v>
      </c>
      <c r="I88" s="31">
        <v>0.75687300931933399</v>
      </c>
    </row>
    <row r="89" spans="1:9" x14ac:dyDescent="0.2">
      <c r="A89" t="s">
        <v>563</v>
      </c>
      <c r="B89" s="49">
        <v>0.75687300931933399</v>
      </c>
      <c r="C89" t="s">
        <v>62</v>
      </c>
      <c r="D89" t="str">
        <f>SUBSTITUTE(SUBSTITUTE(SUBSTITUTE(A89, "'max_iter': 500,", ""), "'max_iter': 1000,", ""), "'max_iter': 1500,", "")</f>
        <v>{'activation': 'identity', 'hidden_layer_sizes': (200, 100), 'learning_rate_init': 0.005,  'solver': 'sgd'}</v>
      </c>
      <c r="E89">
        <f>_xlfn.RANK.EQ(B89,B$2:$B$479,0)</f>
        <v>82</v>
      </c>
      <c r="H89" s="40" t="s">
        <v>265</v>
      </c>
      <c r="I89" s="31">
        <v>0.75687300931933399</v>
      </c>
    </row>
    <row r="90" spans="1:9" x14ac:dyDescent="0.2">
      <c r="A90" t="s">
        <v>223</v>
      </c>
      <c r="B90" s="49">
        <v>0.75687300931933399</v>
      </c>
      <c r="C90" t="s">
        <v>62</v>
      </c>
      <c r="D90" t="str">
        <f>SUBSTITUTE(SUBSTITUTE(SUBSTITUTE(A90, "'max_iter': 500,", ""), "'max_iter': 1000,", ""), "'max_iter': 1500,", "")</f>
        <v>{'activation': 'identity', 'hidden_layer_sizes': (200, 100), 'learning_rate_init': 0.005,  'solver': 'sgd'}</v>
      </c>
      <c r="E90">
        <f>_xlfn.RANK.EQ(B90,B$2:$B$479,0)</f>
        <v>82</v>
      </c>
      <c r="H90" s="40" t="s">
        <v>273</v>
      </c>
      <c r="I90" s="31">
        <v>0.75687300931933399</v>
      </c>
    </row>
    <row r="91" spans="1:9" x14ac:dyDescent="0.2">
      <c r="A91" t="s">
        <v>559</v>
      </c>
      <c r="B91" s="49">
        <v>0.75687300931933399</v>
      </c>
      <c r="C91" t="s">
        <v>62</v>
      </c>
      <c r="D91" t="str">
        <f>SUBSTITUTE(SUBSTITUTE(SUBSTITUTE(A91, "'max_iter': 500,", ""), "'max_iter': 1000,", ""), "'max_iter': 1500,", "")</f>
        <v>{'activation': 'identity', 'hidden_layer_sizes': (200, 100), 'learning_rate_init': 0.005,  'solver': 'sgd'}</v>
      </c>
      <c r="E91">
        <f>_xlfn.RANK.EQ(B91,B$2:$B$479,0)</f>
        <v>82</v>
      </c>
      <c r="H91" s="40" t="s">
        <v>572</v>
      </c>
      <c r="I91" s="31">
        <v>0.75687300931933399</v>
      </c>
    </row>
    <row r="92" spans="1:9" x14ac:dyDescent="0.2">
      <c r="A92" t="s">
        <v>481</v>
      </c>
      <c r="B92" s="49">
        <v>0.75687300931933399</v>
      </c>
      <c r="C92" t="s">
        <v>62</v>
      </c>
      <c r="D92" t="str">
        <f>SUBSTITUTE(SUBSTITUTE(SUBSTITUTE(A92, "'max_iter': 500,", ""), "'max_iter': 1000,", ""), "'max_iter': 1500,", "")</f>
        <v>{'activation': 'identity', 'hidden_layer_sizes': (200, 100), 'learning_rate_init': 0.01,  'solver': 'sgd'}</v>
      </c>
      <c r="E92">
        <f>_xlfn.RANK.EQ(B92,B$2:$B$479,0)</f>
        <v>82</v>
      </c>
      <c r="H92" s="40" t="s">
        <v>563</v>
      </c>
      <c r="I92" s="31">
        <v>0.75687300931933399</v>
      </c>
    </row>
    <row r="93" spans="1:9" x14ac:dyDescent="0.2">
      <c r="A93" t="s">
        <v>179</v>
      </c>
      <c r="B93" s="49">
        <v>0.75687300931933399</v>
      </c>
      <c r="C93" t="s">
        <v>62</v>
      </c>
      <c r="D93" t="str">
        <f>SUBSTITUTE(SUBSTITUTE(SUBSTITUTE(A93, "'max_iter': 500,", ""), "'max_iter': 1000,", ""), "'max_iter': 1500,", "")</f>
        <v>{'activation': 'identity', 'hidden_layer_sizes': (200, 100), 'learning_rate_init': 0.01,  'solver': 'sgd'}</v>
      </c>
      <c r="E93">
        <f>_xlfn.RANK.EQ(B93,B$2:$B$479,0)</f>
        <v>82</v>
      </c>
      <c r="H93" s="40" t="s">
        <v>102</v>
      </c>
      <c r="I93" s="31">
        <v>0.75687300931933399</v>
      </c>
    </row>
    <row r="94" spans="1:9" x14ac:dyDescent="0.2">
      <c r="A94" t="s">
        <v>476</v>
      </c>
      <c r="B94" s="49">
        <v>0.75687300931933399</v>
      </c>
      <c r="C94" t="s">
        <v>62</v>
      </c>
      <c r="D94" t="str">
        <f>SUBSTITUTE(SUBSTITUTE(SUBSTITUTE(A94, "'max_iter': 500,", ""), "'max_iter': 1000,", ""), "'max_iter': 1500,", "")</f>
        <v>{'activation': 'identity', 'hidden_layer_sizes': (200, 100), 'learning_rate_init': 0.01,  'solver': 'sgd'}</v>
      </c>
      <c r="E94">
        <f>_xlfn.RANK.EQ(B94,B$2:$B$479,0)</f>
        <v>82</v>
      </c>
      <c r="H94" s="40" t="s">
        <v>223</v>
      </c>
      <c r="I94" s="31">
        <v>0.75687300931933399</v>
      </c>
    </row>
    <row r="95" spans="1:9" x14ac:dyDescent="0.2">
      <c r="A95" t="s">
        <v>508</v>
      </c>
      <c r="B95" s="49">
        <v>0.75687300931933399</v>
      </c>
      <c r="C95" t="s">
        <v>62</v>
      </c>
      <c r="D95" t="str">
        <f>SUBSTITUTE(SUBSTITUTE(SUBSTITUTE(A95, "'max_iter': 500,", ""), "'max_iter': 1000,", ""), "'max_iter': 1500,", "")</f>
        <v>{'activation': 'logistic', 'hidden_layer_sizes': 150, 'learning_rate_init': 0.005,  'solver': 'adam'}</v>
      </c>
      <c r="E95">
        <f>_xlfn.RANK.EQ(B95,B$2:$B$479,0)</f>
        <v>82</v>
      </c>
      <c r="H95" s="40" t="s">
        <v>69</v>
      </c>
      <c r="I95" s="31">
        <v>0.75687300931933399</v>
      </c>
    </row>
    <row r="96" spans="1:9" x14ac:dyDescent="0.2">
      <c r="A96" t="s">
        <v>192</v>
      </c>
      <c r="B96" s="49">
        <v>0.75687300931933399</v>
      </c>
      <c r="C96" t="s">
        <v>62</v>
      </c>
      <c r="D96" t="str">
        <f>SUBSTITUTE(SUBSTITUTE(SUBSTITUTE(A96, "'max_iter': 500,", ""), "'max_iter': 1000,", ""), "'max_iter': 1500,", "")</f>
        <v>{'activation': 'logistic', 'hidden_layer_sizes': 150, 'learning_rate_init': 0.005,  'solver': 'adam'}</v>
      </c>
      <c r="E96">
        <f>_xlfn.RANK.EQ(B96,B$2:$B$479,0)</f>
        <v>82</v>
      </c>
      <c r="H96" s="40" t="s">
        <v>369</v>
      </c>
      <c r="I96" s="31">
        <v>0.75687300931933399</v>
      </c>
    </row>
    <row r="97" spans="1:9" x14ac:dyDescent="0.2">
      <c r="A97" t="s">
        <v>506</v>
      </c>
      <c r="B97" s="49">
        <v>0.75687300931933399</v>
      </c>
      <c r="C97" t="s">
        <v>62</v>
      </c>
      <c r="D97" t="str">
        <f>SUBSTITUTE(SUBSTITUTE(SUBSTITUTE(A97, "'max_iter': 500,", ""), "'max_iter': 1000,", ""), "'max_iter': 1500,", "")</f>
        <v>{'activation': 'logistic', 'hidden_layer_sizes': 150, 'learning_rate_init': 0.005,  'solver': 'adam'}</v>
      </c>
      <c r="E97">
        <f>_xlfn.RANK.EQ(B97,B$2:$B$479,0)</f>
        <v>82</v>
      </c>
      <c r="H97" s="40" t="s">
        <v>66</v>
      </c>
      <c r="I97" s="31">
        <v>0.75687300931933399</v>
      </c>
    </row>
    <row r="98" spans="1:9" x14ac:dyDescent="0.2">
      <c r="A98" t="s">
        <v>326</v>
      </c>
      <c r="B98" s="49">
        <v>0.75687300931933399</v>
      </c>
      <c r="C98" t="s">
        <v>62</v>
      </c>
      <c r="D98" t="str">
        <f>SUBSTITUTE(SUBSTITUTE(SUBSTITUTE(A98, "'max_iter': 500,", ""), "'max_iter': 1000,", ""), "'max_iter': 1500,", "")</f>
        <v>{'activation': 'relu', 'hidden_layer_sizes': (200, 100, 50), 'learning_rate_init': 0.005,  'solver': 'sgd'}</v>
      </c>
      <c r="E98">
        <f>_xlfn.RANK.EQ(B98,B$2:$B$479,0)</f>
        <v>82</v>
      </c>
      <c r="H98" s="40" t="s">
        <v>508</v>
      </c>
      <c r="I98" s="31">
        <v>0.75687300931933399</v>
      </c>
    </row>
    <row r="99" spans="1:9" x14ac:dyDescent="0.2">
      <c r="A99" t="s">
        <v>102</v>
      </c>
      <c r="B99" s="49">
        <v>0.75687300931933399</v>
      </c>
      <c r="C99" t="s">
        <v>62</v>
      </c>
      <c r="D99" t="str">
        <f>SUBSTITUTE(SUBSTITUTE(SUBSTITUTE(A99, "'max_iter': 500,", ""), "'max_iter': 1000,", ""), "'max_iter': 1500,", "")</f>
        <v>{'activation': 'relu', 'hidden_layer_sizes': (200, 100, 50), 'learning_rate_init': 0.005,  'solver': 'sgd'}</v>
      </c>
      <c r="E99">
        <f>_xlfn.RANK.EQ(B99,B$2:$B$479,0)</f>
        <v>82</v>
      </c>
      <c r="H99" s="40" t="s">
        <v>509</v>
      </c>
      <c r="I99" s="31">
        <v>0.75687300931933399</v>
      </c>
    </row>
    <row r="100" spans="1:9" x14ac:dyDescent="0.2">
      <c r="A100" t="s">
        <v>329</v>
      </c>
      <c r="B100" s="49">
        <v>0.75687300931933399</v>
      </c>
      <c r="C100" t="s">
        <v>62</v>
      </c>
      <c r="D100" t="str">
        <f>SUBSTITUTE(SUBSTITUTE(SUBSTITUTE(A100, "'max_iter': 500,", ""), "'max_iter': 1000,", ""), "'max_iter': 1500,", "")</f>
        <v>{'activation': 'relu', 'hidden_layer_sizes': (200, 100, 50), 'learning_rate_init': 0.005,  'solver': 'sgd'}</v>
      </c>
      <c r="E100">
        <f>_xlfn.RANK.EQ(B100,B$2:$B$479,0)</f>
        <v>82</v>
      </c>
      <c r="H100" s="40" t="s">
        <v>192</v>
      </c>
      <c r="I100" s="31">
        <v>0.75687300931933399</v>
      </c>
    </row>
    <row r="101" spans="1:9" x14ac:dyDescent="0.2">
      <c r="A101" t="s">
        <v>272</v>
      </c>
      <c r="B101" s="49">
        <v>0.75687300931933399</v>
      </c>
      <c r="C101" t="s">
        <v>62</v>
      </c>
      <c r="D101" t="str">
        <f>SUBSTITUTE(SUBSTITUTE(SUBSTITUTE(A101, "'max_iter': 500,", ""), "'max_iter': 1000,", ""), "'max_iter': 1500,", "")</f>
        <v>{'activation': 'relu', 'hidden_layer_sizes': (200, 100, 50), 'learning_rate_init': 0.01,  'solver': 'sgd'}</v>
      </c>
      <c r="E101">
        <f>_xlfn.RANK.EQ(B101,B$2:$B$479,0)</f>
        <v>82</v>
      </c>
      <c r="H101" s="40" t="s">
        <v>123</v>
      </c>
      <c r="I101" s="31">
        <v>0.75687300931933399</v>
      </c>
    </row>
    <row r="102" spans="1:9" x14ac:dyDescent="0.2">
      <c r="A102" t="s">
        <v>73</v>
      </c>
      <c r="B102" s="49">
        <v>0.75687300931933399</v>
      </c>
      <c r="C102" t="s">
        <v>62</v>
      </c>
      <c r="D102" t="str">
        <f>SUBSTITUTE(SUBSTITUTE(SUBSTITUTE(A102, "'max_iter': 500,", ""), "'max_iter': 1000,", ""), "'max_iter': 1500,", "")</f>
        <v>{'activation': 'relu', 'hidden_layer_sizes': (200, 100, 50), 'learning_rate_init': 0.01,  'solver': 'sgd'}</v>
      </c>
      <c r="E102">
        <f>_xlfn.RANK.EQ(B102,B$2:$B$479,0)</f>
        <v>82</v>
      </c>
      <c r="H102" s="40" t="s">
        <v>506</v>
      </c>
      <c r="I102" s="31">
        <v>0.75687300931933399</v>
      </c>
    </row>
    <row r="103" spans="1:9" x14ac:dyDescent="0.2">
      <c r="A103" t="s">
        <v>273</v>
      </c>
      <c r="B103" s="49">
        <v>0.75687300931933399</v>
      </c>
      <c r="C103" t="s">
        <v>62</v>
      </c>
      <c r="D103" t="str">
        <f>SUBSTITUTE(SUBSTITUTE(SUBSTITUTE(A103, "'max_iter': 500,", ""), "'max_iter': 1000,", ""), "'max_iter': 1500,", "")</f>
        <v>{'activation': 'relu', 'hidden_layer_sizes': (200, 100, 50), 'learning_rate_init': 0.01,  'solver': 'sgd'}</v>
      </c>
      <c r="E103">
        <f>_xlfn.RANK.EQ(B103,B$2:$B$479,0)</f>
        <v>82</v>
      </c>
      <c r="H103" s="40" t="s">
        <v>577</v>
      </c>
      <c r="I103" s="31">
        <v>0.75687300931933399</v>
      </c>
    </row>
    <row r="104" spans="1:9" x14ac:dyDescent="0.2">
      <c r="A104" t="s">
        <v>401</v>
      </c>
      <c r="B104" s="49">
        <v>0.75687300931933399</v>
      </c>
      <c r="C104" t="s">
        <v>62</v>
      </c>
      <c r="D104" t="str">
        <f>SUBSTITUTE(SUBSTITUTE(SUBSTITUTE(A104, "'max_iter': 500,", ""), "'max_iter': 1000,", ""), "'max_iter': 1500,", "")</f>
        <v>{'activation': 'relu', 'hidden_layer_sizes': (200, 75, 25), 'learning_rate_init': 0.005,  'solver': 'sgd'}</v>
      </c>
      <c r="E104">
        <f>_xlfn.RANK.EQ(B104,B$2:$B$479,0)</f>
        <v>82</v>
      </c>
      <c r="H104" s="40" t="s">
        <v>476</v>
      </c>
      <c r="I104" s="31">
        <v>0.75687300931933399</v>
      </c>
    </row>
    <row r="105" spans="1:9" x14ac:dyDescent="0.2">
      <c r="A105" t="s">
        <v>140</v>
      </c>
      <c r="B105" s="49">
        <v>0.75687300931933399</v>
      </c>
      <c r="C105" t="s">
        <v>62</v>
      </c>
      <c r="D105" t="str">
        <f>SUBSTITUTE(SUBSTITUTE(SUBSTITUTE(A105, "'max_iter': 500,", ""), "'max_iter': 1000,", ""), "'max_iter': 1500,", "")</f>
        <v>{'activation': 'relu', 'hidden_layer_sizes': (200, 75, 25), 'learning_rate_init': 0.005,  'solver': 'sgd'}</v>
      </c>
      <c r="E105">
        <f>_xlfn.RANK.EQ(B105,B$2:$B$479,0)</f>
        <v>82</v>
      </c>
      <c r="H105" s="40" t="s">
        <v>329</v>
      </c>
      <c r="I105" s="31">
        <v>0.75687300931933399</v>
      </c>
    </row>
    <row r="106" spans="1:9" x14ac:dyDescent="0.2">
      <c r="A106" t="s">
        <v>403</v>
      </c>
      <c r="B106" s="49">
        <v>0.75687300931933399</v>
      </c>
      <c r="C106" t="s">
        <v>62</v>
      </c>
      <c r="D106" t="str">
        <f>SUBSTITUTE(SUBSTITUTE(SUBSTITUTE(A106, "'max_iter': 500,", ""), "'max_iter': 1000,", ""), "'max_iter': 1500,", "")</f>
        <v>{'activation': 'relu', 'hidden_layer_sizes': (200, 75, 25), 'learning_rate_init': 0.005,  'solver': 'sgd'}</v>
      </c>
      <c r="E106">
        <f>_xlfn.RANK.EQ(B106,B$2:$B$479,0)</f>
        <v>82</v>
      </c>
      <c r="H106" s="40" t="s">
        <v>401</v>
      </c>
      <c r="I106" s="31">
        <v>0.75687300931933399</v>
      </c>
    </row>
    <row r="107" spans="1:9" x14ac:dyDescent="0.2">
      <c r="A107" t="s">
        <v>264</v>
      </c>
      <c r="B107" s="49">
        <v>0.75687300931933399</v>
      </c>
      <c r="C107" t="s">
        <v>62</v>
      </c>
      <c r="D107" t="str">
        <f>SUBSTITUTE(SUBSTITUTE(SUBSTITUTE(A107, "'max_iter': 500,", ""), "'max_iter': 1000,", ""), "'max_iter': 1500,", "")</f>
        <v>{'activation': 'tanh', 'hidden_layer_sizes': (100, 50), 'learning_rate_init': 0.005,  'solver': 'sgd'}</v>
      </c>
      <c r="E107">
        <f>_xlfn.RANK.EQ(B107,B$2:$B$479,0)</f>
        <v>82</v>
      </c>
      <c r="H107" s="40" t="s">
        <v>191</v>
      </c>
      <c r="I107" s="31">
        <v>0.75687300931933399</v>
      </c>
    </row>
    <row r="108" spans="1:9" x14ac:dyDescent="0.2">
      <c r="A108" t="s">
        <v>69</v>
      </c>
      <c r="B108" s="49">
        <v>0.75687300931933399</v>
      </c>
      <c r="C108" t="s">
        <v>62</v>
      </c>
      <c r="D108" t="str">
        <f>SUBSTITUTE(SUBSTITUTE(SUBSTITUTE(A108, "'max_iter': 500,", ""), "'max_iter': 1000,", ""), "'max_iter': 1500,", "")</f>
        <v>{'activation': 'tanh', 'hidden_layer_sizes': (100, 50), 'learning_rate_init': 0.005,  'solver': 'sgd'}</v>
      </c>
      <c r="E108">
        <f>_xlfn.RANK.EQ(B108,B$2:$B$479,0)</f>
        <v>82</v>
      </c>
      <c r="H108" s="40" t="s">
        <v>140</v>
      </c>
      <c r="I108" s="31">
        <v>0.75687300931933399</v>
      </c>
    </row>
    <row r="109" spans="1:9" x14ac:dyDescent="0.2">
      <c r="A109" t="s">
        <v>265</v>
      </c>
      <c r="B109" s="49">
        <v>0.75687300931933399</v>
      </c>
      <c r="C109" t="s">
        <v>62</v>
      </c>
      <c r="D109" t="str">
        <f>SUBSTITUTE(SUBSTITUTE(SUBSTITUTE(A109, "'max_iter': 500,", ""), "'max_iter': 1000,", ""), "'max_iter': 1500,", "")</f>
        <v>{'activation': 'tanh', 'hidden_layer_sizes': (100, 50), 'learning_rate_init': 0.005,  'solver': 'sgd'}</v>
      </c>
      <c r="E109">
        <f>_xlfn.RANK.EQ(B109,B$2:$B$479,0)</f>
        <v>82</v>
      </c>
      <c r="H109" s="40" t="s">
        <v>507</v>
      </c>
      <c r="I109" s="31">
        <v>0.75687300931933399</v>
      </c>
    </row>
    <row r="110" spans="1:9" x14ac:dyDescent="0.2">
      <c r="A110" t="s">
        <v>257</v>
      </c>
      <c r="B110" s="49">
        <v>0.75687300931933399</v>
      </c>
      <c r="C110" t="s">
        <v>62</v>
      </c>
      <c r="D110" t="str">
        <f>SUBSTITUTE(SUBSTITUTE(SUBSTITUTE(A110, "'max_iter': 500,", ""), "'max_iter': 1000,", ""), "'max_iter': 1500,", "")</f>
        <v>{'activation': 'tanh', 'hidden_layer_sizes': (100, 50), 'learning_rate_init': 0.01,  'solver': 'sgd'}</v>
      </c>
      <c r="E110">
        <f>_xlfn.RANK.EQ(B110,B$2:$B$479,0)</f>
        <v>82</v>
      </c>
      <c r="H110" s="40" t="s">
        <v>232</v>
      </c>
      <c r="I110" s="31">
        <v>0.75687300931933399</v>
      </c>
    </row>
    <row r="111" spans="1:9" x14ac:dyDescent="0.2">
      <c r="A111" t="s">
        <v>66</v>
      </c>
      <c r="B111" s="49">
        <v>0.75687300931933399</v>
      </c>
      <c r="C111" t="s">
        <v>62</v>
      </c>
      <c r="D111" t="str">
        <f>SUBSTITUTE(SUBSTITUTE(SUBSTITUTE(A111, "'max_iter': 500,", ""), "'max_iter': 1000,", ""), "'max_iter': 1500,", "")</f>
        <v>{'activation': 'tanh', 'hidden_layer_sizes': (100, 50), 'learning_rate_init': 0.01,  'solver': 'sgd'}</v>
      </c>
      <c r="E111">
        <f>_xlfn.RANK.EQ(B111,B$2:$B$479,0)</f>
        <v>82</v>
      </c>
      <c r="H111" s="40" t="s">
        <v>257</v>
      </c>
      <c r="I111" s="31">
        <v>0.75687300931933399</v>
      </c>
    </row>
    <row r="112" spans="1:9" x14ac:dyDescent="0.2">
      <c r="A112" t="s">
        <v>256</v>
      </c>
      <c r="B112" s="49">
        <v>0.75687300931933399</v>
      </c>
      <c r="C112" t="s">
        <v>62</v>
      </c>
      <c r="D112" t="str">
        <f>SUBSTITUTE(SUBSTITUTE(SUBSTITUTE(A112, "'max_iter': 500,", ""), "'max_iter': 1000,", ""), "'max_iter': 1500,", "")</f>
        <v>{'activation': 'tanh', 'hidden_layer_sizes': (100, 50), 'learning_rate_init': 0.01,  'solver': 'sgd'}</v>
      </c>
      <c r="E112">
        <f>_xlfn.RANK.EQ(B112,B$2:$B$479,0)</f>
        <v>82</v>
      </c>
      <c r="H112" s="40" t="s">
        <v>326</v>
      </c>
      <c r="I112" s="31">
        <v>0.75687300931933399</v>
      </c>
    </row>
    <row r="113" spans="1:9" x14ac:dyDescent="0.2">
      <c r="A113" t="s">
        <v>593</v>
      </c>
      <c r="B113" s="49">
        <v>0.75687300931933399</v>
      </c>
      <c r="C113" t="s">
        <v>62</v>
      </c>
      <c r="D113" t="str">
        <f>SUBSTITUTE(SUBSTITUTE(SUBSTITUTE(A113, "'max_iter': 500,", ""), "'max_iter': 1000,", ""), "'max_iter': 1500,", "")</f>
        <v>{'activation': 'tanh', 'hidden_layer_sizes': (200, 100), 'learning_rate_init': 0.005,  'solver': 'sgd'}</v>
      </c>
      <c r="E113">
        <f>_xlfn.RANK.EQ(B113,B$2:$B$479,0)</f>
        <v>82</v>
      </c>
      <c r="H113" s="40" t="s">
        <v>256</v>
      </c>
      <c r="I113" s="31">
        <v>0.75687300931933399</v>
      </c>
    </row>
    <row r="114" spans="1:9" x14ac:dyDescent="0.2">
      <c r="A114" t="s">
        <v>238</v>
      </c>
      <c r="B114" s="49">
        <v>0.75687300931933399</v>
      </c>
      <c r="C114" t="s">
        <v>62</v>
      </c>
      <c r="D114" t="str">
        <f>SUBSTITUTE(SUBSTITUTE(SUBSTITUTE(A114, "'max_iter': 500,", ""), "'max_iter': 1000,", ""), "'max_iter': 1500,", "")</f>
        <v>{'activation': 'tanh', 'hidden_layer_sizes': (200, 100), 'learning_rate_init': 0.005,  'solver': 'sgd'}</v>
      </c>
      <c r="E114">
        <f>_xlfn.RANK.EQ(B114,B$2:$B$479,0)</f>
        <v>82</v>
      </c>
      <c r="H114" s="40" t="s">
        <v>238</v>
      </c>
      <c r="I114" s="31">
        <v>0.75687300931933399</v>
      </c>
    </row>
    <row r="115" spans="1:9" x14ac:dyDescent="0.2">
      <c r="A115" t="s">
        <v>592</v>
      </c>
      <c r="B115" s="49">
        <v>0.75687300931933399</v>
      </c>
      <c r="C115" t="s">
        <v>62</v>
      </c>
      <c r="D115" t="str">
        <f>SUBSTITUTE(SUBSTITUTE(SUBSTITUTE(A115, "'max_iter': 500,", ""), "'max_iter': 1000,", ""), "'max_iter': 1500,", "")</f>
        <v>{'activation': 'tanh', 'hidden_layer_sizes': (200, 100), 'learning_rate_init': 0.005,  'solver': 'sgd'}</v>
      </c>
      <c r="E115">
        <f>_xlfn.RANK.EQ(B115,B$2:$B$479,0)</f>
        <v>82</v>
      </c>
      <c r="H115" s="40" t="s">
        <v>571</v>
      </c>
      <c r="I115" s="31">
        <v>0.75687300931933399</v>
      </c>
    </row>
    <row r="116" spans="1:9" x14ac:dyDescent="0.2">
      <c r="A116" t="s">
        <v>571</v>
      </c>
      <c r="B116" s="49">
        <v>0.75687300931933399</v>
      </c>
      <c r="C116" t="s">
        <v>62</v>
      </c>
      <c r="D116" t="str">
        <f>SUBSTITUTE(SUBSTITUTE(SUBSTITUTE(A116, "'max_iter': 500,", ""), "'max_iter': 1000,", ""), "'max_iter': 1500,", "")</f>
        <v>{'activation': 'tanh', 'hidden_layer_sizes': (200, 100), 'learning_rate_init': 0.01,  'solver': 'sgd'}</v>
      </c>
      <c r="E116">
        <f>_xlfn.RANK.EQ(B116,B$2:$B$479,0)</f>
        <v>82</v>
      </c>
      <c r="H116" s="40" t="s">
        <v>403</v>
      </c>
      <c r="I116" s="31">
        <v>0.75687300931933399</v>
      </c>
    </row>
    <row r="117" spans="1:9" x14ac:dyDescent="0.2">
      <c r="A117" t="s">
        <v>228</v>
      </c>
      <c r="B117" s="49">
        <v>0.75687300931933399</v>
      </c>
      <c r="C117" t="s">
        <v>62</v>
      </c>
      <c r="D117" t="str">
        <f>SUBSTITUTE(SUBSTITUTE(SUBSTITUTE(A117, "'max_iter': 500,", ""), "'max_iter': 1000,", ""), "'max_iter': 1500,", "")</f>
        <v>{'activation': 'tanh', 'hidden_layer_sizes': (200, 100), 'learning_rate_init': 0.01,  'solver': 'sgd'}</v>
      </c>
      <c r="E117">
        <f>_xlfn.RANK.EQ(B117,B$2:$B$479,0)</f>
        <v>82</v>
      </c>
      <c r="H117" s="40" t="s">
        <v>593</v>
      </c>
      <c r="I117" s="31">
        <v>0.75687300931933399</v>
      </c>
    </row>
    <row r="118" spans="1:9" x14ac:dyDescent="0.2">
      <c r="A118" t="s">
        <v>572</v>
      </c>
      <c r="B118" s="49">
        <v>0.75687300931933399</v>
      </c>
      <c r="C118" t="s">
        <v>62</v>
      </c>
      <c r="D118" t="str">
        <f>SUBSTITUTE(SUBSTITUTE(SUBSTITUTE(A118, "'max_iter': 500,", ""), "'max_iter': 1000,", ""), "'max_iter': 1500,", "")</f>
        <v>{'activation': 'tanh', 'hidden_layer_sizes': (200, 100), 'learning_rate_init': 0.01,  'solver': 'sgd'}</v>
      </c>
      <c r="E118">
        <f>_xlfn.RANK.EQ(B118,B$2:$B$479,0)</f>
        <v>82</v>
      </c>
      <c r="H118" s="40" t="s">
        <v>559</v>
      </c>
      <c r="I118" s="31">
        <v>0.75687300931933399</v>
      </c>
    </row>
    <row r="119" spans="1:9" x14ac:dyDescent="0.2">
      <c r="A119" t="s">
        <v>368</v>
      </c>
      <c r="B119" s="49">
        <v>0.75687300931933399</v>
      </c>
      <c r="C119" t="s">
        <v>62</v>
      </c>
      <c r="D119" t="str">
        <f>SUBSTITUTE(SUBSTITUTE(SUBSTITUTE(A119, "'max_iter': 500,", ""), "'max_iter': 1000,", ""), "'max_iter': 1500,", "")</f>
        <v>{'activation': 'tanh', 'hidden_layer_sizes': (200, 75, 25), 'learning_rate_init': 0.01,  'solver': 'sgd'}</v>
      </c>
      <c r="E119">
        <f>_xlfn.RANK.EQ(B119,B$2:$B$479,0)</f>
        <v>82</v>
      </c>
      <c r="H119" s="40" t="s">
        <v>592</v>
      </c>
      <c r="I119" s="31">
        <v>0.75687300931933399</v>
      </c>
    </row>
    <row r="120" spans="1:9" x14ac:dyDescent="0.2">
      <c r="A120" t="s">
        <v>123</v>
      </c>
      <c r="B120" s="49">
        <v>0.75687300931933399</v>
      </c>
      <c r="C120" t="s">
        <v>62</v>
      </c>
      <c r="D120" t="str">
        <f>SUBSTITUTE(SUBSTITUTE(SUBSTITUTE(A120, "'max_iter': 500,", ""), "'max_iter': 1000,", ""), "'max_iter': 1500,", "")</f>
        <v>{'activation': 'tanh', 'hidden_layer_sizes': (200, 75, 25), 'learning_rate_init': 0.01,  'solver': 'sgd'}</v>
      </c>
      <c r="E120">
        <f>_xlfn.RANK.EQ(B120,B$2:$B$479,0)</f>
        <v>82</v>
      </c>
      <c r="H120" s="40" t="s">
        <v>179</v>
      </c>
      <c r="I120" s="31">
        <v>0.75687300931933399</v>
      </c>
    </row>
    <row r="121" spans="1:9" x14ac:dyDescent="0.2">
      <c r="A121" t="s">
        <v>369</v>
      </c>
      <c r="B121" s="49">
        <v>0.75687300931933399</v>
      </c>
      <c r="C121" t="s">
        <v>62</v>
      </c>
      <c r="D121" t="str">
        <f>SUBSTITUTE(SUBSTITUTE(SUBSTITUTE(A121, "'max_iter': 500,", ""), "'max_iter': 1000,", ""), "'max_iter': 1500,", "")</f>
        <v>{'activation': 'tanh', 'hidden_layer_sizes': (200, 75, 25), 'learning_rate_init': 0.01,  'solver': 'sgd'}</v>
      </c>
      <c r="E121">
        <f>_xlfn.RANK.EQ(B121,B$2:$B$479,0)</f>
        <v>82</v>
      </c>
      <c r="H121" s="40" t="s">
        <v>228</v>
      </c>
      <c r="I121" s="31">
        <v>0.75687300931933399</v>
      </c>
    </row>
    <row r="122" spans="1:9" x14ac:dyDescent="0.2">
      <c r="A122" t="s">
        <v>531</v>
      </c>
      <c r="B122" s="49">
        <v>0.756682266009852</v>
      </c>
      <c r="C122" t="s">
        <v>62</v>
      </c>
      <c r="D122" t="str">
        <f>SUBSTITUTE(SUBSTITUTE(SUBSTITUTE(A122, "'max_iter': 500,", ""), "'max_iter': 1000,", ""), "'max_iter': 1500,", "")</f>
        <v>{'activation': 'identity', 'hidden_layer_sizes': (150, 75), 'learning_rate_init': 0.01,  'solver': 'sgd'}</v>
      </c>
      <c r="E122">
        <f>_xlfn.RANK.EQ(B122,B$2:$B$479,0)</f>
        <v>121</v>
      </c>
      <c r="H122" s="40" t="s">
        <v>481</v>
      </c>
      <c r="I122" s="31">
        <v>0.75687300931933399</v>
      </c>
    </row>
    <row r="123" spans="1:9" x14ac:dyDescent="0.2">
      <c r="A123" t="s">
        <v>209</v>
      </c>
      <c r="B123" s="49">
        <v>0.756682266009852</v>
      </c>
      <c r="C123" t="s">
        <v>62</v>
      </c>
      <c r="D123" t="str">
        <f>SUBSTITUTE(SUBSTITUTE(SUBSTITUTE(A123, "'max_iter': 500,", ""), "'max_iter': 1000,", ""), "'max_iter': 1500,", "")</f>
        <v>{'activation': 'identity', 'hidden_layer_sizes': (150, 75), 'learning_rate_init': 0.01,  'solver': 'sgd'}</v>
      </c>
      <c r="E123">
        <f>_xlfn.RANK.EQ(B123,B$2:$B$479,0)</f>
        <v>121</v>
      </c>
      <c r="H123" s="40" t="s">
        <v>368</v>
      </c>
      <c r="I123" s="31">
        <v>0.75687300931933399</v>
      </c>
    </row>
    <row r="124" spans="1:9" x14ac:dyDescent="0.2">
      <c r="A124" t="s">
        <v>535</v>
      </c>
      <c r="B124" s="49">
        <v>0.756682266009852</v>
      </c>
      <c r="C124" t="s">
        <v>62</v>
      </c>
      <c r="D124" t="str">
        <f>SUBSTITUTE(SUBSTITUTE(SUBSTITUTE(A124, "'max_iter': 500,", ""), "'max_iter': 1000,", ""), "'max_iter': 1500,", "")</f>
        <v>{'activation': 'identity', 'hidden_layer_sizes': (150, 75), 'learning_rate_init': 0.01,  'solver': 'sgd'}</v>
      </c>
      <c r="E124">
        <f>_xlfn.RANK.EQ(B124,B$2:$B$479,0)</f>
        <v>121</v>
      </c>
      <c r="H124" s="40" t="s">
        <v>139</v>
      </c>
      <c r="I124" s="31">
        <v>0.756682266009852</v>
      </c>
    </row>
    <row r="125" spans="1:9" x14ac:dyDescent="0.2">
      <c r="A125" t="s">
        <v>487</v>
      </c>
      <c r="B125" s="49">
        <v>0.756682266009852</v>
      </c>
      <c r="C125" t="s">
        <v>62</v>
      </c>
      <c r="D125" t="str">
        <f>SUBSTITUTE(SUBSTITUTE(SUBSTITUTE(A125, "'max_iter': 500,", ""), "'max_iter': 1000,", ""), "'max_iter': 1500,", "")</f>
        <v>{'activation': 'logistic', 'hidden_layer_sizes': (150, 75), 'learning_rate_init': 0.001,  'solver': 'adam'}</v>
      </c>
      <c r="E125">
        <f>_xlfn.RANK.EQ(B125,B$2:$B$479,0)</f>
        <v>121</v>
      </c>
      <c r="H125" s="40" t="s">
        <v>234</v>
      </c>
      <c r="I125" s="31">
        <v>0.756682266009852</v>
      </c>
    </row>
    <row r="126" spans="1:9" x14ac:dyDescent="0.2">
      <c r="A126" t="s">
        <v>183</v>
      </c>
      <c r="B126" s="49">
        <v>0.756682266009852</v>
      </c>
      <c r="C126" t="s">
        <v>62</v>
      </c>
      <c r="D126" t="str">
        <f>SUBSTITUTE(SUBSTITUTE(SUBSTITUTE(A126, "'max_iter': 500,", ""), "'max_iter': 1000,", ""), "'max_iter': 1500,", "")</f>
        <v>{'activation': 'logistic', 'hidden_layer_sizes': (150, 75), 'learning_rate_init': 0.001,  'solver': 'adam'}</v>
      </c>
      <c r="E126">
        <f>_xlfn.RANK.EQ(B126,B$2:$B$479,0)</f>
        <v>121</v>
      </c>
      <c r="H126" s="40" t="s">
        <v>487</v>
      </c>
      <c r="I126" s="31">
        <v>0.756682266009852</v>
      </c>
    </row>
    <row r="127" spans="1:9" x14ac:dyDescent="0.2">
      <c r="A127" t="s">
        <v>488</v>
      </c>
      <c r="B127" s="49">
        <v>0.756682266009852</v>
      </c>
      <c r="C127" t="s">
        <v>62</v>
      </c>
      <c r="D127" t="str">
        <f>SUBSTITUTE(SUBSTITUTE(SUBSTITUTE(A127, "'max_iter': 500,", ""), "'max_iter': 1000,", ""), "'max_iter': 1500,", "")</f>
        <v>{'activation': 'logistic', 'hidden_layer_sizes': (150, 75), 'learning_rate_init': 0.001,  'solver': 'adam'}</v>
      </c>
      <c r="E127">
        <f>_xlfn.RANK.EQ(B127,B$2:$B$479,0)</f>
        <v>121</v>
      </c>
      <c r="H127" s="40" t="s">
        <v>583</v>
      </c>
      <c r="I127" s="31">
        <v>0.756682266009852</v>
      </c>
    </row>
    <row r="128" spans="1:9" x14ac:dyDescent="0.2">
      <c r="A128" t="s">
        <v>398</v>
      </c>
      <c r="B128" s="49">
        <v>0.756682266009852</v>
      </c>
      <c r="C128" t="s">
        <v>62</v>
      </c>
      <c r="D128" t="str">
        <f>SUBSTITUTE(SUBSTITUTE(SUBSTITUTE(A128, "'max_iter': 500,", ""), "'max_iter': 1000,", ""), "'max_iter': 1500,", "")</f>
        <v>{'activation': 'relu', 'hidden_layer_sizes': (200, 75, 25), 'learning_rate_init': 0.001,  'solver': 'sgd'}</v>
      </c>
      <c r="E128">
        <f>_xlfn.RANK.EQ(B128,B$2:$B$479,0)</f>
        <v>121</v>
      </c>
      <c r="H128" s="40" t="s">
        <v>398</v>
      </c>
      <c r="I128" s="31">
        <v>0.756682266009852</v>
      </c>
    </row>
    <row r="129" spans="1:9" x14ac:dyDescent="0.2">
      <c r="A129" t="s">
        <v>139</v>
      </c>
      <c r="B129" s="49">
        <v>0.756682266009852</v>
      </c>
      <c r="C129" t="s">
        <v>62</v>
      </c>
      <c r="D129" t="str">
        <f>SUBSTITUTE(SUBSTITUTE(SUBSTITUTE(A129, "'max_iter': 500,", ""), "'max_iter': 1000,", ""), "'max_iter': 1500,", "")</f>
        <v>{'activation': 'relu', 'hidden_layer_sizes': (200, 75, 25), 'learning_rate_init': 0.001,  'solver': 'sgd'}</v>
      </c>
      <c r="E129">
        <f>_xlfn.RANK.EQ(B129,B$2:$B$479,0)</f>
        <v>121</v>
      </c>
      <c r="H129" s="40" t="s">
        <v>209</v>
      </c>
      <c r="I129" s="31">
        <v>0.756682266009852</v>
      </c>
    </row>
    <row r="130" spans="1:9" x14ac:dyDescent="0.2">
      <c r="A130" t="s">
        <v>303</v>
      </c>
      <c r="B130" s="49">
        <v>0.756682266009852</v>
      </c>
      <c r="C130" t="s">
        <v>62</v>
      </c>
      <c r="D130" t="str">
        <f>SUBSTITUTE(SUBSTITUTE(SUBSTITUTE(A130, "'max_iter': 500,", ""), "'max_iter': 1000,", ""), "'max_iter': 1500,", "")</f>
        <v>{'activation': 'relu', 'hidden_layer_sizes': 100, 'learning_rate_init': 0.005,  'solver': 'sgd'}</v>
      </c>
      <c r="E130">
        <f>_xlfn.RANK.EQ(B130,B$2:$B$479,0)</f>
        <v>121</v>
      </c>
      <c r="H130" s="40" t="s">
        <v>488</v>
      </c>
      <c r="I130" s="31">
        <v>0.756682266009852</v>
      </c>
    </row>
    <row r="131" spans="1:9" x14ac:dyDescent="0.2">
      <c r="A131" t="s">
        <v>87</v>
      </c>
      <c r="B131" s="49">
        <v>0.756682266009852</v>
      </c>
      <c r="C131" t="s">
        <v>62</v>
      </c>
      <c r="D131" t="str">
        <f>SUBSTITUTE(SUBSTITUTE(SUBSTITUTE(A131, "'max_iter': 500,", ""), "'max_iter': 1000,", ""), "'max_iter': 1500,", "")</f>
        <v>{'activation': 'relu', 'hidden_layer_sizes': 100, 'learning_rate_init': 0.005,  'solver': 'sgd'}</v>
      </c>
      <c r="E131">
        <f>_xlfn.RANK.EQ(B131,B$2:$B$479,0)</f>
        <v>121</v>
      </c>
      <c r="H131" s="40" t="s">
        <v>535</v>
      </c>
      <c r="I131" s="31">
        <v>0.756682266009852</v>
      </c>
    </row>
    <row r="132" spans="1:9" x14ac:dyDescent="0.2">
      <c r="A132" t="s">
        <v>235</v>
      </c>
      <c r="B132" s="49">
        <v>0.756682266009852</v>
      </c>
      <c r="C132" t="s">
        <v>62</v>
      </c>
      <c r="D132" t="str">
        <f>SUBSTITUTE(SUBSTITUTE(SUBSTITUTE(A132, "'max_iter': 500,", ""), "'max_iter': 1000,", ""), "'max_iter': 1500,", "")</f>
        <v>{'activation': 'relu', 'hidden_layer_sizes': 150, 'learning_rate_init': 0.005,  'solver': 'sgd'}</v>
      </c>
      <c r="E132">
        <f>_xlfn.RANK.EQ(B132,B$2:$B$479,0)</f>
        <v>121</v>
      </c>
      <c r="H132" s="40" t="s">
        <v>584</v>
      </c>
      <c r="I132" s="31">
        <v>0.756682266009852</v>
      </c>
    </row>
    <row r="133" spans="1:9" x14ac:dyDescent="0.2">
      <c r="A133" t="s">
        <v>584</v>
      </c>
      <c r="B133" s="49">
        <v>0.756682266009852</v>
      </c>
      <c r="C133" t="s">
        <v>62</v>
      </c>
      <c r="D133" t="str">
        <f>SUBSTITUTE(SUBSTITUTE(SUBSTITUTE(A133, "'max_iter': 500,", ""), "'max_iter': 1000,", ""), "'max_iter': 1500,", "")</f>
        <v>{'activation': 'tanh', 'hidden_layer_sizes': (150, 75), 'learning_rate_init': 0.01,  'solver': 'sgd'}</v>
      </c>
      <c r="E133">
        <f>_xlfn.RANK.EQ(B133,B$2:$B$479,0)</f>
        <v>121</v>
      </c>
      <c r="H133" s="40" t="s">
        <v>235</v>
      </c>
      <c r="I133" s="31">
        <v>0.756682266009852</v>
      </c>
    </row>
    <row r="134" spans="1:9" x14ac:dyDescent="0.2">
      <c r="A134" t="s">
        <v>234</v>
      </c>
      <c r="B134" s="49">
        <v>0.756682266009852</v>
      </c>
      <c r="C134" t="s">
        <v>62</v>
      </c>
      <c r="D134" t="str">
        <f>SUBSTITUTE(SUBSTITUTE(SUBSTITUTE(A134, "'max_iter': 500,", ""), "'max_iter': 1000,", ""), "'max_iter': 1500,", "")</f>
        <v>{'activation': 'tanh', 'hidden_layer_sizes': (150, 75), 'learning_rate_init': 0.01,  'solver': 'sgd'}</v>
      </c>
      <c r="E134">
        <f>_xlfn.RANK.EQ(B134,B$2:$B$479,0)</f>
        <v>121</v>
      </c>
      <c r="H134" s="40" t="s">
        <v>531</v>
      </c>
      <c r="I134" s="31">
        <v>0.756682266009852</v>
      </c>
    </row>
    <row r="135" spans="1:9" x14ac:dyDescent="0.2">
      <c r="A135" t="s">
        <v>583</v>
      </c>
      <c r="B135" s="49">
        <v>0.756682266009852</v>
      </c>
      <c r="C135" t="s">
        <v>62</v>
      </c>
      <c r="D135" t="str">
        <f>SUBSTITUTE(SUBSTITUTE(SUBSTITUTE(A135, "'max_iter': 500,", ""), "'max_iter': 1000,", ""), "'max_iter': 1500,", "")</f>
        <v>{'activation': 'tanh', 'hidden_layer_sizes': (150, 75), 'learning_rate_init': 0.01,  'solver': 'sgd'}</v>
      </c>
      <c r="E135">
        <f>_xlfn.RANK.EQ(B135,B$2:$B$479,0)</f>
        <v>121</v>
      </c>
      <c r="H135" s="40" t="s">
        <v>183</v>
      </c>
      <c r="I135" s="31">
        <v>0.756682266009852</v>
      </c>
    </row>
    <row r="136" spans="1:9" x14ac:dyDescent="0.2">
      <c r="A136" t="s">
        <v>597</v>
      </c>
      <c r="B136" s="49">
        <v>0.756413713405238</v>
      </c>
      <c r="C136" t="s">
        <v>62</v>
      </c>
      <c r="D136" t="str">
        <f>SUBSTITUTE(SUBSTITUTE(SUBSTITUTE(A136, "'max_iter': 500,", ""), "'max_iter': 1000,", ""), "'max_iter': 1500,", "")</f>
        <v>{'activation': 'relu', 'hidden_layer_sizes': 150, 'learning_rate_init': 0.01,  'solver': 'sgd'}</v>
      </c>
      <c r="E136">
        <f>_xlfn.RANK.EQ(B136,B$2:$B$479,0)</f>
        <v>135</v>
      </c>
      <c r="H136" s="40" t="s">
        <v>303</v>
      </c>
      <c r="I136" s="31">
        <v>0.756682266009852</v>
      </c>
    </row>
    <row r="137" spans="1:9" x14ac:dyDescent="0.2">
      <c r="A137" t="s">
        <v>241</v>
      </c>
      <c r="B137" s="49">
        <v>0.756413713405238</v>
      </c>
      <c r="C137" t="s">
        <v>62</v>
      </c>
      <c r="D137" t="str">
        <f>SUBSTITUTE(SUBSTITUTE(SUBSTITUTE(A137, "'max_iter': 500,", ""), "'max_iter': 1000,", ""), "'max_iter': 1500,", "")</f>
        <v>{'activation': 'relu', 'hidden_layer_sizes': 150, 'learning_rate_init': 0.01,  'solver': 'sgd'}</v>
      </c>
      <c r="E137">
        <f>_xlfn.RANK.EQ(B137,B$2:$B$479,0)</f>
        <v>135</v>
      </c>
      <c r="H137" s="40" t="s">
        <v>87</v>
      </c>
      <c r="I137" s="31">
        <v>0.756682266009852</v>
      </c>
    </row>
    <row r="138" spans="1:9" x14ac:dyDescent="0.2">
      <c r="A138" t="s">
        <v>98</v>
      </c>
      <c r="B138" s="49">
        <v>0.756413713405238</v>
      </c>
      <c r="C138" t="s">
        <v>62</v>
      </c>
      <c r="D138" t="str">
        <f>SUBSTITUTE(SUBSTITUTE(SUBSTITUTE(A138, "'max_iter': 500,", ""), "'max_iter': 1000,", ""), "'max_iter': 1500,", "")</f>
        <v>{'activation': 'relu', 'hidden_layer_sizes': 50, 'learning_rate_init': 0.005,  'solver': 'sgd'}</v>
      </c>
      <c r="E138">
        <f>_xlfn.RANK.EQ(B138,B$2:$B$479,0)</f>
        <v>135</v>
      </c>
      <c r="H138" s="40" t="s">
        <v>597</v>
      </c>
      <c r="I138" s="31">
        <v>0.756413713405238</v>
      </c>
    </row>
    <row r="139" spans="1:9" x14ac:dyDescent="0.2">
      <c r="A139" t="s">
        <v>579</v>
      </c>
      <c r="B139" s="49">
        <v>0.75606650421966004</v>
      </c>
      <c r="C139" t="s">
        <v>62</v>
      </c>
      <c r="D139" t="str">
        <f>SUBSTITUTE(SUBSTITUTE(SUBSTITUTE(A139, "'max_iter': 500,", ""), "'max_iter': 1000,", ""), "'max_iter': 1500,", "")</f>
        <v>{'activation': 'relu', 'hidden_layer_sizes': (150, 75), 'learning_rate_init': 0.001,  'solver': 'adam'}</v>
      </c>
      <c r="E139">
        <f>_xlfn.RANK.EQ(B139,B$2:$B$479,0)</f>
        <v>138</v>
      </c>
      <c r="H139" s="40" t="s">
        <v>241</v>
      </c>
      <c r="I139" s="31">
        <v>0.756413713405238</v>
      </c>
    </row>
    <row r="140" spans="1:9" x14ac:dyDescent="0.2">
      <c r="A140" t="s">
        <v>231</v>
      </c>
      <c r="B140" s="49">
        <v>0.75606650421966004</v>
      </c>
      <c r="C140" t="s">
        <v>62</v>
      </c>
      <c r="D140" t="str">
        <f>SUBSTITUTE(SUBSTITUTE(SUBSTITUTE(A140, "'max_iter': 500,", ""), "'max_iter': 1000,", ""), "'max_iter': 1500,", "")</f>
        <v>{'activation': 'relu', 'hidden_layer_sizes': (150, 75), 'learning_rate_init': 0.001,  'solver': 'adam'}</v>
      </c>
      <c r="E140">
        <f>_xlfn.RANK.EQ(B140,B$2:$B$479,0)</f>
        <v>138</v>
      </c>
      <c r="H140" s="40" t="s">
        <v>98</v>
      </c>
      <c r="I140" s="31">
        <v>0.756413713405238</v>
      </c>
    </row>
    <row r="141" spans="1:9" x14ac:dyDescent="0.2">
      <c r="A141" t="s">
        <v>580</v>
      </c>
      <c r="B141" s="49">
        <v>0.75606650421966004</v>
      </c>
      <c r="C141" t="s">
        <v>62</v>
      </c>
      <c r="D141" t="str">
        <f>SUBSTITUTE(SUBSTITUTE(SUBSTITUTE(A141, "'max_iter': 500,", ""), "'max_iter': 1000,", ""), "'max_iter': 1500,", "")</f>
        <v>{'activation': 'relu', 'hidden_layer_sizes': (150, 75), 'learning_rate_init': 0.001,  'solver': 'adam'}</v>
      </c>
      <c r="E141">
        <f>_xlfn.RANK.EQ(B141,B$2:$B$479,0)</f>
        <v>138</v>
      </c>
      <c r="H141" s="40" t="s">
        <v>229</v>
      </c>
      <c r="I141" s="31">
        <v>0.75606650421966004</v>
      </c>
    </row>
    <row r="142" spans="1:9" x14ac:dyDescent="0.2">
      <c r="A142" t="s">
        <v>574</v>
      </c>
      <c r="B142" s="49">
        <v>0.75606650421966004</v>
      </c>
      <c r="C142" t="s">
        <v>62</v>
      </c>
      <c r="D142" t="str">
        <f>SUBSTITUTE(SUBSTITUTE(SUBSTITUTE(A142, "'max_iter': 500,", ""), "'max_iter': 1000,", ""), "'max_iter': 1500,", "")</f>
        <v>{'activation': 'relu', 'hidden_layer_sizes': 150, 'learning_rate_init': 0.005,  'solver': 'adam'}</v>
      </c>
      <c r="E142">
        <f>_xlfn.RANK.EQ(B142,B$2:$B$479,0)</f>
        <v>138</v>
      </c>
      <c r="H142" s="40" t="s">
        <v>231</v>
      </c>
      <c r="I142" s="31">
        <v>0.75606650421966004</v>
      </c>
    </row>
    <row r="143" spans="1:9" x14ac:dyDescent="0.2">
      <c r="A143" t="s">
        <v>229</v>
      </c>
      <c r="B143" s="49">
        <v>0.75606650421966004</v>
      </c>
      <c r="C143" t="s">
        <v>62</v>
      </c>
      <c r="D143" t="str">
        <f>SUBSTITUTE(SUBSTITUTE(SUBSTITUTE(A143, "'max_iter': 500,", ""), "'max_iter': 1000,", ""), "'max_iter': 1500,", "")</f>
        <v>{'activation': 'relu', 'hidden_layer_sizes': 150, 'learning_rate_init': 0.005,  'solver': 'adam'}</v>
      </c>
      <c r="E143">
        <f>_xlfn.RANK.EQ(B143,B$2:$B$479,0)</f>
        <v>138</v>
      </c>
      <c r="H143" s="40" t="s">
        <v>579</v>
      </c>
      <c r="I143" s="31">
        <v>0.75606650421966004</v>
      </c>
    </row>
    <row r="144" spans="1:9" x14ac:dyDescent="0.2">
      <c r="A144" t="s">
        <v>573</v>
      </c>
      <c r="B144" s="49">
        <v>0.75606650421966004</v>
      </c>
      <c r="C144" t="s">
        <v>62</v>
      </c>
      <c r="D144" t="str">
        <f>SUBSTITUTE(SUBSTITUTE(SUBSTITUTE(A144, "'max_iter': 500,", ""), "'max_iter': 1000,", ""), "'max_iter': 1500,", "")</f>
        <v>{'activation': 'relu', 'hidden_layer_sizes': 150, 'learning_rate_init': 0.005,  'solver': 'adam'}</v>
      </c>
      <c r="E144">
        <f>_xlfn.RANK.EQ(B144,B$2:$B$479,0)</f>
        <v>138</v>
      </c>
      <c r="H144" s="40" t="s">
        <v>573</v>
      </c>
      <c r="I144" s="31">
        <v>0.75606650421966004</v>
      </c>
    </row>
    <row r="145" spans="1:9" x14ac:dyDescent="0.2">
      <c r="A145" t="s">
        <v>546</v>
      </c>
      <c r="B145" s="49">
        <v>0.75563963194085604</v>
      </c>
      <c r="C145" t="s">
        <v>62</v>
      </c>
      <c r="D145" t="str">
        <f>SUBSTITUTE(SUBSTITUTE(SUBSTITUTE(A145, "'max_iter': 500,", ""), "'max_iter': 1000,", ""), "'max_iter': 1500,", "")</f>
        <v>{'activation': 'logistic', 'hidden_layer_sizes': (150, 75), 'learning_rate_init': 0.01,  'solver': 'adam'}</v>
      </c>
      <c r="E145">
        <f>_xlfn.RANK.EQ(B145,B$2:$B$479,0)</f>
        <v>144</v>
      </c>
      <c r="H145" s="40" t="s">
        <v>574</v>
      </c>
      <c r="I145" s="31">
        <v>0.75606650421966004</v>
      </c>
    </row>
    <row r="146" spans="1:9" x14ac:dyDescent="0.2">
      <c r="A146" t="s">
        <v>215</v>
      </c>
      <c r="B146" s="49">
        <v>0.75563963194085604</v>
      </c>
      <c r="C146" t="s">
        <v>62</v>
      </c>
      <c r="D146" t="str">
        <f>SUBSTITUTE(SUBSTITUTE(SUBSTITUTE(A146, "'max_iter': 500,", ""), "'max_iter': 1000,", ""), "'max_iter': 1500,", "")</f>
        <v>{'activation': 'logistic', 'hidden_layer_sizes': (150, 75), 'learning_rate_init': 0.01,  'solver': 'adam'}</v>
      </c>
      <c r="E146">
        <f>_xlfn.RANK.EQ(B146,B$2:$B$479,0)</f>
        <v>144</v>
      </c>
      <c r="H146" s="40" t="s">
        <v>580</v>
      </c>
      <c r="I146" s="31">
        <v>0.75606650421966004</v>
      </c>
    </row>
    <row r="147" spans="1:9" x14ac:dyDescent="0.2">
      <c r="A147" t="s">
        <v>547</v>
      </c>
      <c r="B147" s="49">
        <v>0.75563963194085604</v>
      </c>
      <c r="C147" t="s">
        <v>62</v>
      </c>
      <c r="D147" t="str">
        <f>SUBSTITUTE(SUBSTITUTE(SUBSTITUTE(A147, "'max_iter': 500,", ""), "'max_iter': 1000,", ""), "'max_iter': 1500,", "")</f>
        <v>{'activation': 'logistic', 'hidden_layer_sizes': (150, 75), 'learning_rate_init': 0.01,  'solver': 'adam'}</v>
      </c>
      <c r="E147">
        <f>_xlfn.RANK.EQ(B147,B$2:$B$479,0)</f>
        <v>144</v>
      </c>
      <c r="H147" s="40" t="s">
        <v>397</v>
      </c>
      <c r="I147" s="31">
        <v>0.75563963194085604</v>
      </c>
    </row>
    <row r="148" spans="1:9" x14ac:dyDescent="0.2">
      <c r="A148" t="s">
        <v>443</v>
      </c>
      <c r="B148" s="49">
        <v>0.75563963194085604</v>
      </c>
      <c r="C148" t="s">
        <v>62</v>
      </c>
      <c r="D148" t="str">
        <f>SUBSTITUTE(SUBSTITUTE(SUBSTITUTE(A148, "'max_iter': 500,", ""), "'max_iter': 1000,", ""), "'max_iter': 1500,", "")</f>
        <v>{'activation': 'logistic', 'hidden_layer_sizes': (200, 75, 25), 'learning_rate_init': 0.01,  'solver': 'adam'}</v>
      </c>
      <c r="E148">
        <f>_xlfn.RANK.EQ(B148,B$2:$B$479,0)</f>
        <v>144</v>
      </c>
      <c r="H148" s="40" t="s">
        <v>442</v>
      </c>
      <c r="I148" s="31">
        <v>0.75563963194085604</v>
      </c>
    </row>
    <row r="149" spans="1:9" x14ac:dyDescent="0.2">
      <c r="A149" t="s">
        <v>166</v>
      </c>
      <c r="B149" s="49">
        <v>0.75563963194085604</v>
      </c>
      <c r="C149" t="s">
        <v>62</v>
      </c>
      <c r="D149" t="str">
        <f>SUBSTITUTE(SUBSTITUTE(SUBSTITUTE(A149, "'max_iter': 500,", ""), "'max_iter': 1000,", ""), "'max_iter': 1500,", "")</f>
        <v>{'activation': 'logistic', 'hidden_layer_sizes': (200, 75, 25), 'learning_rate_init': 0.01,  'solver': 'adam'}</v>
      </c>
      <c r="E149">
        <f>_xlfn.RANK.EQ(B149,B$2:$B$479,0)</f>
        <v>144</v>
      </c>
      <c r="H149" s="40" t="s">
        <v>215</v>
      </c>
      <c r="I149" s="31">
        <v>0.75563963194085604</v>
      </c>
    </row>
    <row r="150" spans="1:9" x14ac:dyDescent="0.2">
      <c r="A150" t="s">
        <v>442</v>
      </c>
      <c r="B150" s="49">
        <v>0.75563963194085604</v>
      </c>
      <c r="C150" t="s">
        <v>62</v>
      </c>
      <c r="D150" t="str">
        <f>SUBSTITUTE(SUBSTITUTE(SUBSTITUTE(A150, "'max_iter': 500,", ""), "'max_iter': 1000,", ""), "'max_iter': 1500,", "")</f>
        <v>{'activation': 'logistic', 'hidden_layer_sizes': (200, 75, 25), 'learning_rate_init': 0.01,  'solver': 'adam'}</v>
      </c>
      <c r="E150">
        <f>_xlfn.RANK.EQ(B150,B$2:$B$479,0)</f>
        <v>144</v>
      </c>
      <c r="H150" s="40" t="s">
        <v>547</v>
      </c>
      <c r="I150" s="31">
        <v>0.75563963194085604</v>
      </c>
    </row>
    <row r="151" spans="1:9" x14ac:dyDescent="0.2">
      <c r="A151" t="s">
        <v>397</v>
      </c>
      <c r="B151" s="49">
        <v>0.75563963194085604</v>
      </c>
      <c r="C151" t="s">
        <v>62</v>
      </c>
      <c r="D151" t="str">
        <f>SUBSTITUTE(SUBSTITUTE(SUBSTITUTE(A151, "'max_iter': 500,", ""), "'max_iter': 1000,", ""), "'max_iter': 1500,", "")</f>
        <v>{'activation': 'relu', 'hidden_layer_sizes': (100, 50), 'learning_rate_init': 0.01,  'solver': 'adam'}</v>
      </c>
      <c r="E151">
        <f>_xlfn.RANK.EQ(B151,B$2:$B$479,0)</f>
        <v>144</v>
      </c>
      <c r="H151" s="40" t="s">
        <v>331</v>
      </c>
      <c r="I151" s="31">
        <v>0.75563963194085604</v>
      </c>
    </row>
    <row r="152" spans="1:9" x14ac:dyDescent="0.2">
      <c r="A152" t="s">
        <v>138</v>
      </c>
      <c r="B152" s="49">
        <v>0.75563963194085604</v>
      </c>
      <c r="C152" t="s">
        <v>62</v>
      </c>
      <c r="D152" t="str">
        <f>SUBSTITUTE(SUBSTITUTE(SUBSTITUTE(A152, "'max_iter': 500,", ""), "'max_iter': 1000,", ""), "'max_iter': 1500,", "")</f>
        <v>{'activation': 'relu', 'hidden_layer_sizes': (100, 50), 'learning_rate_init': 0.01,  'solver': 'adam'}</v>
      </c>
      <c r="E152">
        <f>_xlfn.RANK.EQ(B152,B$2:$B$479,0)</f>
        <v>144</v>
      </c>
      <c r="H152" s="40" t="s">
        <v>396</v>
      </c>
      <c r="I152" s="31">
        <v>0.75563963194085604</v>
      </c>
    </row>
    <row r="153" spans="1:9" x14ac:dyDescent="0.2">
      <c r="A153" t="s">
        <v>396</v>
      </c>
      <c r="B153" s="49">
        <v>0.75563963194085604</v>
      </c>
      <c r="C153" t="s">
        <v>62</v>
      </c>
      <c r="D153" t="str">
        <f>SUBSTITUTE(SUBSTITUTE(SUBSTITUTE(A153, "'max_iter': 500,", ""), "'max_iter': 1000,", ""), "'max_iter': 1500,", "")</f>
        <v>{'activation': 'relu', 'hidden_layer_sizes': (100, 50), 'learning_rate_init': 0.01,  'solver': 'adam'}</v>
      </c>
      <c r="E153">
        <f>_xlfn.RANK.EQ(B153,B$2:$B$479,0)</f>
        <v>144</v>
      </c>
      <c r="H153" s="40" t="s">
        <v>138</v>
      </c>
      <c r="I153" s="31">
        <v>0.75563963194085604</v>
      </c>
    </row>
    <row r="154" spans="1:9" x14ac:dyDescent="0.2">
      <c r="A154" t="s">
        <v>331</v>
      </c>
      <c r="B154" s="49">
        <v>0.75563963194085604</v>
      </c>
      <c r="C154" t="s">
        <v>62</v>
      </c>
      <c r="D154" t="str">
        <f>SUBSTITUTE(SUBSTITUTE(SUBSTITUTE(A154, "'max_iter': 500,", ""), "'max_iter': 1000,", ""), "'max_iter': 1500,", "")</f>
        <v>{'activation': 'relu', 'hidden_layer_sizes': (200, 100, 50), 'learning_rate_init': 0.01,  'solver': 'adam'}</v>
      </c>
      <c r="E154">
        <f>_xlfn.RANK.EQ(B154,B$2:$B$479,0)</f>
        <v>144</v>
      </c>
      <c r="H154" s="40" t="s">
        <v>443</v>
      </c>
      <c r="I154" s="31">
        <v>0.75563963194085604</v>
      </c>
    </row>
    <row r="155" spans="1:9" x14ac:dyDescent="0.2">
      <c r="A155" t="s">
        <v>104</v>
      </c>
      <c r="B155" s="49">
        <v>0.75563963194085604</v>
      </c>
      <c r="C155" t="s">
        <v>62</v>
      </c>
      <c r="D155" t="str">
        <f>SUBSTITUTE(SUBSTITUTE(SUBSTITUTE(A155, "'max_iter': 500,", ""), "'max_iter': 1000,", ""), "'max_iter': 1500,", "")</f>
        <v>{'activation': 'relu', 'hidden_layer_sizes': (200, 100, 50), 'learning_rate_init': 0.01,  'solver': 'adam'}</v>
      </c>
      <c r="E155">
        <f>_xlfn.RANK.EQ(B155,B$2:$B$479,0)</f>
        <v>144</v>
      </c>
      <c r="H155" s="40" t="s">
        <v>166</v>
      </c>
      <c r="I155" s="31">
        <v>0.75563963194085604</v>
      </c>
    </row>
    <row r="156" spans="1:9" x14ac:dyDescent="0.2">
      <c r="A156" t="s">
        <v>330</v>
      </c>
      <c r="B156" s="49">
        <v>0.75563963194085604</v>
      </c>
      <c r="C156" t="s">
        <v>62</v>
      </c>
      <c r="D156" t="str">
        <f>SUBSTITUTE(SUBSTITUTE(SUBSTITUTE(A156, "'max_iter': 500,", ""), "'max_iter': 1000,", ""), "'max_iter': 1500,", "")</f>
        <v>{'activation': 'relu', 'hidden_layer_sizes': (200, 100, 50), 'learning_rate_init': 0.01,  'solver': 'adam'}</v>
      </c>
      <c r="E156">
        <f>_xlfn.RANK.EQ(B156,B$2:$B$479,0)</f>
        <v>144</v>
      </c>
      <c r="H156" s="40" t="s">
        <v>330</v>
      </c>
      <c r="I156" s="31">
        <v>0.75563963194085604</v>
      </c>
    </row>
    <row r="157" spans="1:9" x14ac:dyDescent="0.2">
      <c r="A157" t="s">
        <v>307</v>
      </c>
      <c r="B157" s="49">
        <v>0.75386846126010199</v>
      </c>
      <c r="C157" t="s">
        <v>62</v>
      </c>
      <c r="D157" t="str">
        <f>SUBSTITUTE(SUBSTITUTE(SUBSTITUTE(A157, "'max_iter': 500,", ""), "'max_iter': 1000,", ""), "'max_iter': 1500,", "")</f>
        <v>{'activation': 'logistic', 'hidden_layer_sizes': (200, 100, 50), 'learning_rate_init': 0.01,  'solver': 'adam'}</v>
      </c>
      <c r="E157">
        <f>_xlfn.RANK.EQ(B157,B$2:$B$479,0)</f>
        <v>156</v>
      </c>
      <c r="H157" s="40" t="s">
        <v>546</v>
      </c>
      <c r="I157" s="31">
        <v>0.75563963194085604</v>
      </c>
    </row>
    <row r="158" spans="1:9" x14ac:dyDescent="0.2">
      <c r="A158" t="s">
        <v>88</v>
      </c>
      <c r="B158" s="49">
        <v>0.75386846126010199</v>
      </c>
      <c r="C158" t="s">
        <v>62</v>
      </c>
      <c r="D158" t="str">
        <f>SUBSTITUTE(SUBSTITUTE(SUBSTITUTE(A158, "'max_iter': 500,", ""), "'max_iter': 1000,", ""), "'max_iter': 1500,", "")</f>
        <v>{'activation': 'logistic', 'hidden_layer_sizes': (200, 100, 50), 'learning_rate_init': 0.01,  'solver': 'adam'}</v>
      </c>
      <c r="E158">
        <f>_xlfn.RANK.EQ(B158,B$2:$B$479,0)</f>
        <v>156</v>
      </c>
      <c r="H158" s="40" t="s">
        <v>104</v>
      </c>
      <c r="I158" s="31">
        <v>0.75563963194085604</v>
      </c>
    </row>
    <row r="159" spans="1:9" x14ac:dyDescent="0.2">
      <c r="A159" t="s">
        <v>308</v>
      </c>
      <c r="B159" s="49">
        <v>0.75386846126010199</v>
      </c>
      <c r="C159" t="s">
        <v>62</v>
      </c>
      <c r="D159" t="str">
        <f>SUBSTITUTE(SUBSTITUTE(SUBSTITUTE(A159, "'max_iter': 500,", ""), "'max_iter': 1000,", ""), "'max_iter': 1500,", "")</f>
        <v>{'activation': 'logistic', 'hidden_layer_sizes': (200, 100, 50), 'learning_rate_init': 0.01,  'solver': 'adam'}</v>
      </c>
      <c r="E159">
        <f>_xlfn.RANK.EQ(B159,B$2:$B$479,0)</f>
        <v>156</v>
      </c>
      <c r="H159" s="40" t="s">
        <v>88</v>
      </c>
      <c r="I159" s="31">
        <v>0.75386846126010199</v>
      </c>
    </row>
    <row r="160" spans="1:9" x14ac:dyDescent="0.2">
      <c r="A160" t="s">
        <v>413</v>
      </c>
      <c r="B160" s="49">
        <v>0.75078431372549004</v>
      </c>
      <c r="C160" t="s">
        <v>62</v>
      </c>
      <c r="D160" t="str">
        <f>SUBSTITUTE(SUBSTITUTE(SUBSTITUTE(A160, "'max_iter': 500,", ""), "'max_iter': 1000,", ""), "'max_iter': 1500,", "")</f>
        <v>{'activation': 'identity', 'hidden_layer_sizes': 50, 'learning_rate_init': 0.01,  'solver': 'adam'}</v>
      </c>
      <c r="E160">
        <f>_xlfn.RANK.EQ(B160,B$2:$B$479,0)</f>
        <v>159</v>
      </c>
      <c r="H160" s="40" t="s">
        <v>307</v>
      </c>
      <c r="I160" s="31">
        <v>0.75386846126010199</v>
      </c>
    </row>
    <row r="161" spans="1:9" x14ac:dyDescent="0.2">
      <c r="A161" t="s">
        <v>152</v>
      </c>
      <c r="B161" s="49">
        <v>0.75078431372549004</v>
      </c>
      <c r="C161" t="s">
        <v>62</v>
      </c>
      <c r="D161" t="str">
        <f>SUBSTITUTE(SUBSTITUTE(SUBSTITUTE(A161, "'max_iter': 500,", ""), "'max_iter': 1000,", ""), "'max_iter': 1500,", "")</f>
        <v>{'activation': 'identity', 'hidden_layer_sizes': 50, 'learning_rate_init': 0.01,  'solver': 'adam'}</v>
      </c>
      <c r="E161">
        <f>_xlfn.RANK.EQ(B161,B$2:$B$479,0)</f>
        <v>159</v>
      </c>
      <c r="H161" s="40" t="s">
        <v>308</v>
      </c>
      <c r="I161" s="31">
        <v>0.75386846126010199</v>
      </c>
    </row>
    <row r="162" spans="1:9" x14ac:dyDescent="0.2">
      <c r="A162" t="s">
        <v>429</v>
      </c>
      <c r="B162" s="49">
        <v>0.75078431372549004</v>
      </c>
      <c r="C162" t="s">
        <v>62</v>
      </c>
      <c r="D162" t="str">
        <f>SUBSTITUTE(SUBSTITUTE(SUBSTITUTE(A162, "'max_iter': 500,", ""), "'max_iter': 1000,", ""), "'max_iter': 1500,", "")</f>
        <v>{'activation': 'identity', 'hidden_layer_sizes': 50, 'learning_rate_init': 0.01,  'solver': 'adam'}</v>
      </c>
      <c r="E162">
        <f>_xlfn.RANK.EQ(B162,B$2:$B$479,0)</f>
        <v>159</v>
      </c>
      <c r="H162" s="40" t="s">
        <v>413</v>
      </c>
      <c r="I162" s="31">
        <v>0.75078431372549004</v>
      </c>
    </row>
    <row r="163" spans="1:9" x14ac:dyDescent="0.2">
      <c r="A163" t="s">
        <v>302</v>
      </c>
      <c r="B163" s="49">
        <v>0.75070710245128802</v>
      </c>
      <c r="C163" t="s">
        <v>62</v>
      </c>
      <c r="D163" t="str">
        <f>SUBSTITUTE(SUBSTITUTE(SUBSTITUTE(A163, "'max_iter': 500,", ""), "'max_iter': 1000,", ""), "'max_iter': 1500,", "")</f>
        <v>{'activation': 'identity', 'hidden_layer_sizes': (200, 100, 50), 'learning_rate_init': 0.005,  'solver': 'sgd'}</v>
      </c>
      <c r="E163">
        <f>_xlfn.RANK.EQ(B163,B$2:$B$479,0)</f>
        <v>162</v>
      </c>
      <c r="H163" s="40" t="s">
        <v>152</v>
      </c>
      <c r="I163" s="31">
        <v>0.75078431372549004</v>
      </c>
    </row>
    <row r="164" spans="1:9" x14ac:dyDescent="0.2">
      <c r="A164" t="s">
        <v>89</v>
      </c>
      <c r="B164" s="49">
        <v>0.75070710245128802</v>
      </c>
      <c r="C164" t="s">
        <v>62</v>
      </c>
      <c r="D164" t="str">
        <f>SUBSTITUTE(SUBSTITUTE(SUBSTITUTE(A164, "'max_iter': 500,", ""), "'max_iter': 1000,", ""), "'max_iter': 1500,", "")</f>
        <v>{'activation': 'identity', 'hidden_layer_sizes': (200, 100, 50), 'learning_rate_init': 0.005,  'solver': 'sgd'}</v>
      </c>
      <c r="E164">
        <f>_xlfn.RANK.EQ(B164,B$2:$B$479,0)</f>
        <v>162</v>
      </c>
      <c r="H164" s="40" t="s">
        <v>429</v>
      </c>
      <c r="I164" s="31">
        <v>0.75078431372549004</v>
      </c>
    </row>
    <row r="165" spans="1:9" x14ac:dyDescent="0.2">
      <c r="A165" t="s">
        <v>305</v>
      </c>
      <c r="B165" s="49">
        <v>0.75070710245128802</v>
      </c>
      <c r="C165" t="s">
        <v>62</v>
      </c>
      <c r="D165" t="str">
        <f>SUBSTITUTE(SUBSTITUTE(SUBSTITUTE(A165, "'max_iter': 500,", ""), "'max_iter': 1000,", ""), "'max_iter': 1500,", "")</f>
        <v>{'activation': 'identity', 'hidden_layer_sizes': (200, 100, 50), 'learning_rate_init': 0.005,  'solver': 'sgd'}</v>
      </c>
      <c r="E165">
        <f>_xlfn.RANK.EQ(B165,B$2:$B$479,0)</f>
        <v>162</v>
      </c>
      <c r="H165" s="40" t="s">
        <v>311</v>
      </c>
      <c r="I165" s="31">
        <v>0.75070710245128802</v>
      </c>
    </row>
    <row r="166" spans="1:9" x14ac:dyDescent="0.2">
      <c r="A166" t="s">
        <v>423</v>
      </c>
      <c r="B166" s="49">
        <v>0.75070710245128802</v>
      </c>
      <c r="C166" t="s">
        <v>62</v>
      </c>
      <c r="D166" t="str">
        <f>SUBSTITUTE(SUBSTITUTE(SUBSTITUTE(A166, "'max_iter': 500,", ""), "'max_iter': 1000,", ""), "'max_iter': 1500,", "")</f>
        <v>{'activation': 'identity', 'hidden_layer_sizes': (200, 100, 50), 'learning_rate_init': 0.01,  'solver': 'sgd'}</v>
      </c>
      <c r="E166">
        <f>_xlfn.RANK.EQ(B166,B$2:$B$479,0)</f>
        <v>162</v>
      </c>
      <c r="H166" s="40" t="s">
        <v>310</v>
      </c>
      <c r="I166" s="31">
        <v>0.75070710245128802</v>
      </c>
    </row>
    <row r="167" spans="1:9" x14ac:dyDescent="0.2">
      <c r="A167" t="s">
        <v>149</v>
      </c>
      <c r="B167" s="49">
        <v>0.75070710245128802</v>
      </c>
      <c r="C167" t="s">
        <v>62</v>
      </c>
      <c r="D167" t="str">
        <f>SUBSTITUTE(SUBSTITUTE(SUBSTITUTE(A167, "'max_iter': 500,", ""), "'max_iter': 1000,", ""), "'max_iter': 1500,", "")</f>
        <v>{'activation': 'identity', 'hidden_layer_sizes': (200, 100, 50), 'learning_rate_init': 0.01,  'solver': 'sgd'}</v>
      </c>
      <c r="E167">
        <f>_xlfn.RANK.EQ(B167,B$2:$B$479,0)</f>
        <v>162</v>
      </c>
      <c r="H167" s="40" t="s">
        <v>422</v>
      </c>
      <c r="I167" s="31">
        <v>0.75070710245128802</v>
      </c>
    </row>
    <row r="168" spans="1:9" x14ac:dyDescent="0.2">
      <c r="A168" t="s">
        <v>422</v>
      </c>
      <c r="B168" s="49">
        <v>0.75070710245128802</v>
      </c>
      <c r="C168" t="s">
        <v>62</v>
      </c>
      <c r="D168" t="str">
        <f>SUBSTITUTE(SUBSTITUTE(SUBSTITUTE(A168, "'max_iter': 500,", ""), "'max_iter': 1000,", ""), "'max_iter': 1500,", "")</f>
        <v>{'activation': 'identity', 'hidden_layer_sizes': (200, 100, 50), 'learning_rate_init': 0.01,  'solver': 'sgd'}</v>
      </c>
      <c r="E168">
        <f>_xlfn.RANK.EQ(B168,B$2:$B$479,0)</f>
        <v>162</v>
      </c>
      <c r="H168" s="40" t="s">
        <v>292</v>
      </c>
      <c r="I168" s="31">
        <v>0.75070710245128802</v>
      </c>
    </row>
    <row r="169" spans="1:9" x14ac:dyDescent="0.2">
      <c r="A169" t="s">
        <v>530</v>
      </c>
      <c r="B169" s="49">
        <v>0.75070710245128802</v>
      </c>
      <c r="C169" t="s">
        <v>62</v>
      </c>
      <c r="D169" t="str">
        <f>SUBSTITUTE(SUBSTITUTE(SUBSTITUTE(A169, "'max_iter': 500,", ""), "'max_iter': 1000,", ""), "'max_iter': 1500,", "")</f>
        <v>{'activation': 'logistic', 'hidden_layer_sizes': 150, 'learning_rate_init': 0.001,  'solver': 'adam'}</v>
      </c>
      <c r="E169">
        <f>_xlfn.RANK.EQ(B169,B$2:$B$479,0)</f>
        <v>162</v>
      </c>
      <c r="H169" s="40" t="s">
        <v>530</v>
      </c>
      <c r="I169" s="31">
        <v>0.75070710245128802</v>
      </c>
    </row>
    <row r="170" spans="1:9" x14ac:dyDescent="0.2">
      <c r="A170" t="s">
        <v>205</v>
      </c>
      <c r="B170" s="49">
        <v>0.75070710245128802</v>
      </c>
      <c r="C170" t="s">
        <v>62</v>
      </c>
      <c r="D170" t="str">
        <f>SUBSTITUTE(SUBSTITUTE(SUBSTITUTE(A170, "'max_iter': 500,", ""), "'max_iter': 1000,", ""), "'max_iter': 1500,", "")</f>
        <v>{'activation': 'logistic', 'hidden_layer_sizes': 150, 'learning_rate_init': 0.001,  'solver': 'adam'}</v>
      </c>
      <c r="E170">
        <f>_xlfn.RANK.EQ(B170,B$2:$B$479,0)</f>
        <v>162</v>
      </c>
      <c r="H170" s="40" t="s">
        <v>302</v>
      </c>
      <c r="I170" s="31">
        <v>0.75070710245128802</v>
      </c>
    </row>
    <row r="171" spans="1:9" x14ac:dyDescent="0.2">
      <c r="A171" t="s">
        <v>527</v>
      </c>
      <c r="B171" s="49">
        <v>0.75070710245128802</v>
      </c>
      <c r="C171" t="s">
        <v>62</v>
      </c>
      <c r="D171" t="str">
        <f>SUBSTITUTE(SUBSTITUTE(SUBSTITUTE(A171, "'max_iter': 500,", ""), "'max_iter': 1000,", ""), "'max_iter': 1500,", "")</f>
        <v>{'activation': 'logistic', 'hidden_layer_sizes': 150, 'learning_rate_init': 0.001,  'solver': 'adam'}</v>
      </c>
      <c r="E171">
        <f>_xlfn.RANK.EQ(B171,B$2:$B$479,0)</f>
        <v>162</v>
      </c>
      <c r="H171" s="40" t="s">
        <v>527</v>
      </c>
      <c r="I171" s="31">
        <v>0.75070710245128802</v>
      </c>
    </row>
    <row r="172" spans="1:9" x14ac:dyDescent="0.2">
      <c r="A172" t="s">
        <v>292</v>
      </c>
      <c r="B172" s="49">
        <v>0.75070710245128802</v>
      </c>
      <c r="C172" t="s">
        <v>62</v>
      </c>
      <c r="D172" t="str">
        <f>SUBSTITUTE(SUBSTITUTE(SUBSTITUTE(A172, "'max_iter': 500,", ""), "'max_iter': 1000,", ""), "'max_iter': 1500,", "")</f>
        <v>{'activation': 'tanh', 'hidden_layer_sizes': (200, 100, 50), 'learning_rate_init': 0.001,  'solver': 'sgd'}</v>
      </c>
      <c r="E172">
        <f>_xlfn.RANK.EQ(B172,B$2:$B$479,0)</f>
        <v>162</v>
      </c>
      <c r="H172" s="40" t="s">
        <v>89</v>
      </c>
      <c r="I172" s="31">
        <v>0.75070710245128802</v>
      </c>
    </row>
    <row r="173" spans="1:9" x14ac:dyDescent="0.2">
      <c r="A173" t="s">
        <v>83</v>
      </c>
      <c r="B173" s="49">
        <v>0.75070710245128802</v>
      </c>
      <c r="C173" t="s">
        <v>62</v>
      </c>
      <c r="D173" t="str">
        <f>SUBSTITUTE(SUBSTITUTE(SUBSTITUTE(A173, "'max_iter': 500,", ""), "'max_iter': 1000,", ""), "'max_iter': 1500,", "")</f>
        <v>{'activation': 'tanh', 'hidden_layer_sizes': (200, 100, 50), 'learning_rate_init': 0.001,  'solver': 'sgd'}</v>
      </c>
      <c r="E173">
        <f>_xlfn.RANK.EQ(B173,B$2:$B$479,0)</f>
        <v>162</v>
      </c>
      <c r="H173" s="40" t="s">
        <v>83</v>
      </c>
      <c r="I173" s="31">
        <v>0.75070710245128802</v>
      </c>
    </row>
    <row r="174" spans="1:9" x14ac:dyDescent="0.2">
      <c r="A174" t="s">
        <v>310</v>
      </c>
      <c r="B174" s="49">
        <v>0.75070710245128802</v>
      </c>
      <c r="C174" t="s">
        <v>62</v>
      </c>
      <c r="D174" t="str">
        <f>SUBSTITUTE(SUBSTITUTE(SUBSTITUTE(A174, "'max_iter': 500,", ""), "'max_iter': 1000,", ""), "'max_iter': 1500,", "")</f>
        <v>{'activation': 'tanh', 'hidden_layer_sizes': 100, 'learning_rate_init': 0.001,  'solver': 'adam'}</v>
      </c>
      <c r="E174">
        <f>_xlfn.RANK.EQ(B174,B$2:$B$479,0)</f>
        <v>162</v>
      </c>
      <c r="H174" s="40" t="s">
        <v>305</v>
      </c>
      <c r="I174" s="31">
        <v>0.75070710245128802</v>
      </c>
    </row>
    <row r="175" spans="1:9" x14ac:dyDescent="0.2">
      <c r="A175" t="s">
        <v>93</v>
      </c>
      <c r="B175" s="49">
        <v>0.75070710245128802</v>
      </c>
      <c r="C175" t="s">
        <v>62</v>
      </c>
      <c r="D175" t="str">
        <f>SUBSTITUTE(SUBSTITUTE(SUBSTITUTE(A175, "'max_iter': 500,", ""), "'max_iter': 1000,", ""), "'max_iter': 1500,", "")</f>
        <v>{'activation': 'tanh', 'hidden_layer_sizes': 100, 'learning_rate_init': 0.001,  'solver': 'adam'}</v>
      </c>
      <c r="E175">
        <f>_xlfn.RANK.EQ(B175,B$2:$B$479,0)</f>
        <v>162</v>
      </c>
      <c r="H175" s="40" t="s">
        <v>93</v>
      </c>
      <c r="I175" s="31">
        <v>0.75070710245128802</v>
      </c>
    </row>
    <row r="176" spans="1:9" x14ac:dyDescent="0.2">
      <c r="A176" t="s">
        <v>311</v>
      </c>
      <c r="B176" s="49">
        <v>0.75070710245128802</v>
      </c>
      <c r="C176" t="s">
        <v>62</v>
      </c>
      <c r="D176" t="str">
        <f>SUBSTITUTE(SUBSTITUTE(SUBSTITUTE(A176, "'max_iter': 500,", ""), "'max_iter': 1000,", ""), "'max_iter': 1500,", "")</f>
        <v>{'activation': 'tanh', 'hidden_layer_sizes': 100, 'learning_rate_init': 0.001,  'solver': 'adam'}</v>
      </c>
      <c r="E176">
        <f>_xlfn.RANK.EQ(B176,B$2:$B$479,0)</f>
        <v>162</v>
      </c>
      <c r="H176" s="40" t="s">
        <v>423</v>
      </c>
      <c r="I176" s="31">
        <v>0.75070710245128802</v>
      </c>
    </row>
    <row r="177" spans="1:9" x14ac:dyDescent="0.2">
      <c r="A177" t="s">
        <v>544</v>
      </c>
      <c r="B177" s="49">
        <v>0.75055109431585498</v>
      </c>
      <c r="C177" t="s">
        <v>62</v>
      </c>
      <c r="D177" t="str">
        <f>SUBSTITUTE(SUBSTITUTE(SUBSTITUTE(A177, "'max_iter': 500,", ""), "'max_iter': 1000,", ""), "'max_iter': 1500,", "")</f>
        <v>{'activation': 'identity', 'hidden_layer_sizes': (100, 50), 'learning_rate_init': 0.001,  'solver': 'adam'}</v>
      </c>
      <c r="E177">
        <f>_xlfn.RANK.EQ(B177,B$2:$B$479,0)</f>
        <v>176</v>
      </c>
      <c r="H177" s="40" t="s">
        <v>149</v>
      </c>
      <c r="I177" s="31">
        <v>0.75070710245128802</v>
      </c>
    </row>
    <row r="178" spans="1:9" x14ac:dyDescent="0.2">
      <c r="A178" t="s">
        <v>214</v>
      </c>
      <c r="B178" s="49">
        <v>0.75055109431585498</v>
      </c>
      <c r="C178" t="s">
        <v>62</v>
      </c>
      <c r="D178" t="str">
        <f>SUBSTITUTE(SUBSTITUTE(SUBSTITUTE(A178, "'max_iter': 500,", ""), "'max_iter': 1000,", ""), "'max_iter': 1500,", "")</f>
        <v>{'activation': 'identity', 'hidden_layer_sizes': (100, 50), 'learning_rate_init': 0.001,  'solver': 'adam'}</v>
      </c>
      <c r="E178">
        <f>_xlfn.RANK.EQ(B178,B$2:$B$479,0)</f>
        <v>176</v>
      </c>
      <c r="H178" s="40" t="s">
        <v>205</v>
      </c>
      <c r="I178" s="31">
        <v>0.75070710245128802</v>
      </c>
    </row>
    <row r="179" spans="1:9" x14ac:dyDescent="0.2">
      <c r="A179" t="s">
        <v>543</v>
      </c>
      <c r="B179" s="49">
        <v>0.75055109431585498</v>
      </c>
      <c r="C179" t="s">
        <v>62</v>
      </c>
      <c r="D179" t="str">
        <f>SUBSTITUTE(SUBSTITUTE(SUBSTITUTE(A179, "'max_iter': 500,", ""), "'max_iter': 1000,", ""), "'max_iter': 1500,", "")</f>
        <v>{'activation': 'identity', 'hidden_layer_sizes': (100, 50), 'learning_rate_init': 0.001,  'solver': 'adam'}</v>
      </c>
      <c r="E179">
        <f>_xlfn.RANK.EQ(B179,B$2:$B$479,0)</f>
        <v>176</v>
      </c>
      <c r="H179" s="40" t="s">
        <v>214</v>
      </c>
      <c r="I179" s="31">
        <v>0.75055109431585498</v>
      </c>
    </row>
    <row r="180" spans="1:9" x14ac:dyDescent="0.2">
      <c r="A180" t="s">
        <v>383</v>
      </c>
      <c r="B180" s="49">
        <v>0.75055109431585498</v>
      </c>
      <c r="C180" t="s">
        <v>62</v>
      </c>
      <c r="D180" t="str">
        <f>SUBSTITUTE(SUBSTITUTE(SUBSTITUTE(A180, "'max_iter': 500,", ""), "'max_iter': 1000,", ""), "'max_iter': 1500,", "")</f>
        <v>{'activation': 'identity', 'hidden_layer_sizes': (200, 100, 50), 'learning_rate_init': 0.001,  'solver': 'sgd'}</v>
      </c>
      <c r="E180">
        <f>_xlfn.RANK.EQ(B180,B$2:$B$479,0)</f>
        <v>176</v>
      </c>
      <c r="H180" s="40" t="s">
        <v>451</v>
      </c>
      <c r="I180" s="31">
        <v>0.75055109431585498</v>
      </c>
    </row>
    <row r="181" spans="1:9" x14ac:dyDescent="0.2">
      <c r="A181" t="s">
        <v>127</v>
      </c>
      <c r="B181" s="49">
        <v>0.75055109431585498</v>
      </c>
      <c r="C181" t="s">
        <v>62</v>
      </c>
      <c r="D181" t="str">
        <f>SUBSTITUTE(SUBSTITUTE(SUBSTITUTE(A181, "'max_iter': 500,", ""), "'max_iter': 1000,", ""), "'max_iter': 1500,", "")</f>
        <v>{'activation': 'identity', 'hidden_layer_sizes': (200, 100, 50), 'learning_rate_init': 0.001,  'solver': 'sgd'}</v>
      </c>
      <c r="E181">
        <f>_xlfn.RANK.EQ(B181,B$2:$B$479,0)</f>
        <v>176</v>
      </c>
      <c r="H181" s="40" t="s">
        <v>119</v>
      </c>
      <c r="I181" s="31">
        <v>0.75055109431585498</v>
      </c>
    </row>
    <row r="182" spans="1:9" x14ac:dyDescent="0.2">
      <c r="A182" t="s">
        <v>451</v>
      </c>
      <c r="B182" s="49">
        <v>0.75055109431585498</v>
      </c>
      <c r="C182" t="s">
        <v>62</v>
      </c>
      <c r="D182" t="str">
        <f>SUBSTITUTE(SUBSTITUTE(SUBSTITUTE(A182, "'max_iter': 500,", ""), "'max_iter': 1000,", ""), "'max_iter': 1500,", "")</f>
        <v>{'activation': 'identity', 'hidden_layer_sizes': (200, 75, 25), 'learning_rate_init': 0.001,  'solver': 'sgd'}</v>
      </c>
      <c r="E182">
        <f>_xlfn.RANK.EQ(B182,B$2:$B$479,0)</f>
        <v>176</v>
      </c>
      <c r="H182" s="40" t="s">
        <v>371</v>
      </c>
      <c r="I182" s="31">
        <v>0.75055109431585498</v>
      </c>
    </row>
    <row r="183" spans="1:9" x14ac:dyDescent="0.2">
      <c r="A183" t="s">
        <v>164</v>
      </c>
      <c r="B183" s="49">
        <v>0.75055109431585498</v>
      </c>
      <c r="C183" t="s">
        <v>62</v>
      </c>
      <c r="D183" t="str">
        <f>SUBSTITUTE(SUBSTITUTE(SUBSTITUTE(A183, "'max_iter': 500,", ""), "'max_iter': 1000,", ""), "'max_iter': 1500,", "")</f>
        <v>{'activation': 'identity', 'hidden_layer_sizes': (200, 75, 25), 'learning_rate_init': 0.001,  'solver': 'sgd'}</v>
      </c>
      <c r="E183">
        <f>_xlfn.RANK.EQ(B183,B$2:$B$479,0)</f>
        <v>176</v>
      </c>
      <c r="H183" s="40" t="s">
        <v>124</v>
      </c>
      <c r="I183" s="31">
        <v>0.75055109431585498</v>
      </c>
    </row>
    <row r="184" spans="1:9" x14ac:dyDescent="0.2">
      <c r="A184" t="s">
        <v>325</v>
      </c>
      <c r="B184" s="49">
        <v>0.75055109431585498</v>
      </c>
      <c r="C184" t="s">
        <v>62</v>
      </c>
      <c r="D184" t="str">
        <f>SUBSTITUTE(SUBSTITUTE(SUBSTITUTE(A184, "'max_iter': 500,", ""), "'max_iter': 1000,", ""), "'max_iter': 1500,", "")</f>
        <v>{'activation': 'identity', 'hidden_layer_sizes': (200, 75, 25), 'learning_rate_init': 0.005,  'solver': 'sgd'}</v>
      </c>
      <c r="E184">
        <f>_xlfn.RANK.EQ(B184,B$2:$B$479,0)</f>
        <v>176</v>
      </c>
      <c r="H184" s="40" t="s">
        <v>395</v>
      </c>
      <c r="I184" s="31">
        <v>0.75055109431585498</v>
      </c>
    </row>
    <row r="185" spans="1:9" x14ac:dyDescent="0.2">
      <c r="A185" t="s">
        <v>100</v>
      </c>
      <c r="B185" s="49">
        <v>0.75055109431585498</v>
      </c>
      <c r="C185" t="s">
        <v>62</v>
      </c>
      <c r="D185" t="str">
        <f>SUBSTITUTE(SUBSTITUTE(SUBSTITUTE(A185, "'max_iter': 500,", ""), "'max_iter': 1000,", ""), "'max_iter': 1500,", "")</f>
        <v>{'activation': 'identity', 'hidden_layer_sizes': (200, 75, 25), 'learning_rate_init': 0.005,  'solver': 'sgd'}</v>
      </c>
      <c r="E185">
        <f>_xlfn.RANK.EQ(B185,B$2:$B$479,0)</f>
        <v>176</v>
      </c>
      <c r="H185" s="40" t="s">
        <v>156</v>
      </c>
      <c r="I185" s="31">
        <v>0.75055109431585498</v>
      </c>
    </row>
    <row r="186" spans="1:9" x14ac:dyDescent="0.2">
      <c r="A186" t="s">
        <v>324</v>
      </c>
      <c r="B186" s="49">
        <v>0.75055109431585498</v>
      </c>
      <c r="C186" t="s">
        <v>62</v>
      </c>
      <c r="D186" t="str">
        <f>SUBSTITUTE(SUBSTITUTE(SUBSTITUTE(A186, "'max_iter': 500,", ""), "'max_iter': 1000,", ""), "'max_iter': 1500,", "")</f>
        <v>{'activation': 'identity', 'hidden_layer_sizes': (200, 75, 25), 'learning_rate_init': 0.005,  'solver': 'sgd'}</v>
      </c>
      <c r="E186">
        <f>_xlfn.RANK.EQ(B186,B$2:$B$479,0)</f>
        <v>176</v>
      </c>
      <c r="H186" s="40" t="s">
        <v>373</v>
      </c>
      <c r="I186" s="31">
        <v>0.75055109431585498</v>
      </c>
    </row>
    <row r="187" spans="1:9" x14ac:dyDescent="0.2">
      <c r="A187" t="s">
        <v>312</v>
      </c>
      <c r="B187" s="49">
        <v>0.75055109431585498</v>
      </c>
      <c r="C187" t="s">
        <v>62</v>
      </c>
      <c r="D187" t="str">
        <f>SUBSTITUTE(SUBSTITUTE(SUBSTITUTE(A187, "'max_iter': 500,", ""), "'max_iter': 1000,", ""), "'max_iter': 1500,", "")</f>
        <v>{'activation': 'identity', 'hidden_layer_sizes': (200, 75, 25), 'learning_rate_init': 0.01,  'solver': 'sgd'}</v>
      </c>
      <c r="E187">
        <f>_xlfn.RANK.EQ(B187,B$2:$B$479,0)</f>
        <v>176</v>
      </c>
      <c r="H187" s="40" t="s">
        <v>383</v>
      </c>
      <c r="I187" s="31">
        <v>0.75055109431585498</v>
      </c>
    </row>
    <row r="188" spans="1:9" x14ac:dyDescent="0.2">
      <c r="A188" t="s">
        <v>92</v>
      </c>
      <c r="B188" s="49">
        <v>0.75055109431585498</v>
      </c>
      <c r="C188" t="s">
        <v>62</v>
      </c>
      <c r="D188" t="str">
        <f>SUBSTITUTE(SUBSTITUTE(SUBSTITUTE(A188, "'max_iter': 500,", ""), "'max_iter': 1000,", ""), "'max_iter': 1500,", "")</f>
        <v>{'activation': 'identity', 'hidden_layer_sizes': (200, 75, 25), 'learning_rate_init': 0.01,  'solver': 'sgd'}</v>
      </c>
      <c r="E188">
        <f>_xlfn.RANK.EQ(B188,B$2:$B$479,0)</f>
        <v>176</v>
      </c>
      <c r="H188" s="40" t="s">
        <v>325</v>
      </c>
      <c r="I188" s="31">
        <v>0.75055109431585498</v>
      </c>
    </row>
    <row r="189" spans="1:9" x14ac:dyDescent="0.2">
      <c r="A189" t="s">
        <v>313</v>
      </c>
      <c r="B189" s="49">
        <v>0.75055109431585498</v>
      </c>
      <c r="C189" t="s">
        <v>62</v>
      </c>
      <c r="D189" t="str">
        <f>SUBSTITUTE(SUBSTITUTE(SUBSTITUTE(A189, "'max_iter': 500,", ""), "'max_iter': 1000,", ""), "'max_iter': 1500,", "")</f>
        <v>{'activation': 'identity', 'hidden_layer_sizes': (200, 75, 25), 'learning_rate_init': 0.01,  'solver': 'sgd'}</v>
      </c>
      <c r="E189">
        <f>_xlfn.RANK.EQ(B189,B$2:$B$479,0)</f>
        <v>176</v>
      </c>
      <c r="H189" s="40" t="s">
        <v>137</v>
      </c>
      <c r="I189" s="31">
        <v>0.75055109431585498</v>
      </c>
    </row>
    <row r="190" spans="1:9" x14ac:dyDescent="0.2">
      <c r="A190" t="s">
        <v>373</v>
      </c>
      <c r="B190" s="49">
        <v>0.75055109431585498</v>
      </c>
      <c r="C190" t="s">
        <v>62</v>
      </c>
      <c r="D190" t="str">
        <f>SUBSTITUTE(SUBSTITUTE(SUBSTITUTE(A190, "'max_iter': 500,", ""), "'max_iter': 1000,", ""), "'max_iter': 1500,", "")</f>
        <v>{'activation': 'identity', 'hidden_layer_sizes': 50, 'learning_rate_init': 0.001,  'solver': 'adam'}</v>
      </c>
      <c r="E190">
        <f>_xlfn.RANK.EQ(B190,B$2:$B$479,0)</f>
        <v>176</v>
      </c>
      <c r="H190" s="40" t="s">
        <v>100</v>
      </c>
      <c r="I190" s="31">
        <v>0.75055109431585498</v>
      </c>
    </row>
    <row r="191" spans="1:9" x14ac:dyDescent="0.2">
      <c r="A191" t="s">
        <v>124</v>
      </c>
      <c r="B191" s="49">
        <v>0.75055109431585498</v>
      </c>
      <c r="C191" t="s">
        <v>62</v>
      </c>
      <c r="D191" t="str">
        <f>SUBSTITUTE(SUBSTITUTE(SUBSTITUTE(A191, "'max_iter': 500,", ""), "'max_iter': 1000,", ""), "'max_iter': 1500,", "")</f>
        <v>{'activation': 'identity', 'hidden_layer_sizes': 50, 'learning_rate_init': 0.001,  'solver': 'adam'}</v>
      </c>
      <c r="E191">
        <f>_xlfn.RANK.EQ(B191,B$2:$B$479,0)</f>
        <v>176</v>
      </c>
      <c r="H191" s="40" t="s">
        <v>543</v>
      </c>
      <c r="I191" s="31">
        <v>0.75055109431585498</v>
      </c>
    </row>
    <row r="192" spans="1:9" x14ac:dyDescent="0.2">
      <c r="A192" t="s">
        <v>371</v>
      </c>
      <c r="B192" s="49">
        <v>0.75055109431585498</v>
      </c>
      <c r="C192" t="s">
        <v>62</v>
      </c>
      <c r="D192" t="str">
        <f>SUBSTITUTE(SUBSTITUTE(SUBSTITUTE(A192, "'max_iter': 500,", ""), "'max_iter': 1000,", ""), "'max_iter': 1500,", "")</f>
        <v>{'activation': 'identity', 'hidden_layer_sizes': 50, 'learning_rate_init': 0.001,  'solver': 'adam'}</v>
      </c>
      <c r="E192">
        <f>_xlfn.RANK.EQ(B192,B$2:$B$479,0)</f>
        <v>176</v>
      </c>
      <c r="H192" s="40" t="s">
        <v>283</v>
      </c>
      <c r="I192" s="31">
        <v>0.75055109431585498</v>
      </c>
    </row>
    <row r="193" spans="1:9" x14ac:dyDescent="0.2">
      <c r="A193" t="s">
        <v>283</v>
      </c>
      <c r="B193" s="49">
        <v>0.75055109431585498</v>
      </c>
      <c r="C193" t="s">
        <v>62</v>
      </c>
      <c r="D193" t="str">
        <f>SUBSTITUTE(SUBSTITUTE(SUBSTITUTE(A193, "'max_iter': 500,", ""), "'max_iter': 1000,", ""), "'max_iter': 1500,", "")</f>
        <v>{'activation': 'tanh', 'hidden_layer_sizes': (100, 50), 'learning_rate_init': 0.001,  'solver': 'adam'}</v>
      </c>
      <c r="E193">
        <f>_xlfn.RANK.EQ(B193,B$2:$B$479,0)</f>
        <v>176</v>
      </c>
      <c r="H193" s="40" t="s">
        <v>417</v>
      </c>
      <c r="I193" s="31">
        <v>0.75055109431585498</v>
      </c>
    </row>
    <row r="194" spans="1:9" x14ac:dyDescent="0.2">
      <c r="A194" t="s">
        <v>78</v>
      </c>
      <c r="B194" s="49">
        <v>0.75055109431585498</v>
      </c>
      <c r="C194" t="s">
        <v>62</v>
      </c>
      <c r="D194" t="str">
        <f>SUBSTITUTE(SUBSTITUTE(SUBSTITUTE(A194, "'max_iter': 500,", ""), "'max_iter': 1000,", ""), "'max_iter': 1500,", "")</f>
        <v>{'activation': 'tanh', 'hidden_layer_sizes': (100, 50), 'learning_rate_init': 0.001,  'solver': 'adam'}</v>
      </c>
      <c r="E194">
        <f>_xlfn.RANK.EQ(B194,B$2:$B$479,0)</f>
        <v>176</v>
      </c>
      <c r="H194" s="40" t="s">
        <v>78</v>
      </c>
      <c r="I194" s="31">
        <v>0.75055109431585498</v>
      </c>
    </row>
    <row r="195" spans="1:9" x14ac:dyDescent="0.2">
      <c r="A195" t="s">
        <v>280</v>
      </c>
      <c r="B195" s="49">
        <v>0.75055109431585498</v>
      </c>
      <c r="C195" t="s">
        <v>62</v>
      </c>
      <c r="D195" t="str">
        <f>SUBSTITUTE(SUBSTITUTE(SUBSTITUTE(A195, "'max_iter': 500,", ""), "'max_iter': 1000,", ""), "'max_iter': 1500,", "")</f>
        <v>{'activation': 'tanh', 'hidden_layer_sizes': (100, 50), 'learning_rate_init': 0.001,  'solver': 'adam'}</v>
      </c>
      <c r="E195">
        <f>_xlfn.RANK.EQ(B195,B$2:$B$479,0)</f>
        <v>176</v>
      </c>
      <c r="H195" s="40" t="s">
        <v>364</v>
      </c>
      <c r="I195" s="31">
        <v>0.75055109431585498</v>
      </c>
    </row>
    <row r="196" spans="1:9" x14ac:dyDescent="0.2">
      <c r="A196" t="s">
        <v>417</v>
      </c>
      <c r="B196" s="49">
        <v>0.75055109431585498</v>
      </c>
      <c r="C196" t="s">
        <v>62</v>
      </c>
      <c r="D196" t="str">
        <f>SUBSTITUTE(SUBSTITUTE(SUBSTITUTE(A196, "'max_iter': 500,", ""), "'max_iter': 1000,", ""), "'max_iter': 1500,", "")</f>
        <v>{'activation': 'tanh', 'hidden_layer_sizes': (200, 75, 25), 'learning_rate_init': 0.001,  'solver': 'sgd'}</v>
      </c>
      <c r="E196">
        <f>_xlfn.RANK.EQ(B196,B$2:$B$479,0)</f>
        <v>176</v>
      </c>
      <c r="H196" s="40" t="s">
        <v>280</v>
      </c>
      <c r="I196" s="31">
        <v>0.75055109431585498</v>
      </c>
    </row>
    <row r="197" spans="1:9" x14ac:dyDescent="0.2">
      <c r="A197" t="s">
        <v>156</v>
      </c>
      <c r="B197" s="49">
        <v>0.75055109431585498</v>
      </c>
      <c r="C197" t="s">
        <v>62</v>
      </c>
      <c r="D197" t="str">
        <f>SUBSTITUTE(SUBSTITUTE(SUBSTITUTE(A197, "'max_iter': 500,", ""), "'max_iter': 1000,", ""), "'max_iter': 1500,", "")</f>
        <v>{'activation': 'tanh', 'hidden_layer_sizes': (200, 75, 25), 'learning_rate_init': 0.001,  'solver': 'sgd'}</v>
      </c>
      <c r="E197">
        <f>_xlfn.RANK.EQ(B197,B$2:$B$479,0)</f>
        <v>176</v>
      </c>
      <c r="H197" s="40" t="s">
        <v>361</v>
      </c>
      <c r="I197" s="31">
        <v>0.75055109431585498</v>
      </c>
    </row>
    <row r="198" spans="1:9" x14ac:dyDescent="0.2">
      <c r="A198" t="s">
        <v>364</v>
      </c>
      <c r="B198" s="49">
        <v>0.75055109431585498</v>
      </c>
      <c r="C198" t="s">
        <v>62</v>
      </c>
      <c r="D198" t="str">
        <f>SUBSTITUTE(SUBSTITUTE(SUBSTITUTE(A198, "'max_iter': 500,", ""), "'max_iter': 1000,", ""), "'max_iter': 1500,", "")</f>
        <v>{'activation': 'tanh', 'hidden_layer_sizes': (200, 75, 25), 'learning_rate_init': 0.005,  'solver': 'sgd'}</v>
      </c>
      <c r="E198">
        <f>_xlfn.RANK.EQ(B198,B$2:$B$479,0)</f>
        <v>176</v>
      </c>
      <c r="H198" s="40" t="s">
        <v>324</v>
      </c>
      <c r="I198" s="31">
        <v>0.75055109431585498</v>
      </c>
    </row>
    <row r="199" spans="1:9" x14ac:dyDescent="0.2">
      <c r="A199" t="s">
        <v>119</v>
      </c>
      <c r="B199" s="49">
        <v>0.75055109431585498</v>
      </c>
      <c r="C199" t="s">
        <v>62</v>
      </c>
      <c r="D199" t="str">
        <f>SUBSTITUTE(SUBSTITUTE(SUBSTITUTE(A199, "'max_iter': 500,", ""), "'max_iter': 1000,", ""), "'max_iter': 1500,", "")</f>
        <v>{'activation': 'tanh', 'hidden_layer_sizes': (200, 75, 25), 'learning_rate_init': 0.005,  'solver': 'sgd'}</v>
      </c>
      <c r="E199">
        <f>_xlfn.RANK.EQ(B199,B$2:$B$479,0)</f>
        <v>176</v>
      </c>
      <c r="H199" s="40" t="s">
        <v>127</v>
      </c>
      <c r="I199" s="31">
        <v>0.75055109431585498</v>
      </c>
    </row>
    <row r="200" spans="1:9" x14ac:dyDescent="0.2">
      <c r="A200" t="s">
        <v>361</v>
      </c>
      <c r="B200" s="49">
        <v>0.75055109431585498</v>
      </c>
      <c r="C200" t="s">
        <v>62</v>
      </c>
      <c r="D200" t="str">
        <f>SUBSTITUTE(SUBSTITUTE(SUBSTITUTE(A200, "'max_iter': 500,", ""), "'max_iter': 1000,", ""), "'max_iter': 1500,", "")</f>
        <v>{'activation': 'tanh', 'hidden_layer_sizes': (200, 75, 25), 'learning_rate_init': 0.005,  'solver': 'sgd'}</v>
      </c>
      <c r="E200">
        <f>_xlfn.RANK.EQ(B200,B$2:$B$479,0)</f>
        <v>176</v>
      </c>
      <c r="H200" s="40" t="s">
        <v>312</v>
      </c>
      <c r="I200" s="31">
        <v>0.75055109431585498</v>
      </c>
    </row>
    <row r="201" spans="1:9" x14ac:dyDescent="0.2">
      <c r="A201" t="s">
        <v>394</v>
      </c>
      <c r="B201" s="49">
        <v>0.75055109431585498</v>
      </c>
      <c r="C201" t="s">
        <v>62</v>
      </c>
      <c r="D201" t="str">
        <f>SUBSTITUTE(SUBSTITUTE(SUBSTITUTE(A201, "'max_iter': 500,", ""), "'max_iter': 1000,", ""), "'max_iter': 1500,", "")</f>
        <v>{'activation': 'tanh', 'hidden_layer_sizes': 50, 'learning_rate_init': 0.001,  'solver': 'adam'}</v>
      </c>
      <c r="E201">
        <f>_xlfn.RANK.EQ(B201,B$2:$B$479,0)</f>
        <v>176</v>
      </c>
      <c r="H201" s="40" t="s">
        <v>394</v>
      </c>
      <c r="I201" s="31">
        <v>0.75055109431585498</v>
      </c>
    </row>
    <row r="202" spans="1:9" x14ac:dyDescent="0.2">
      <c r="A202" t="s">
        <v>137</v>
      </c>
      <c r="B202" s="49">
        <v>0.75055109431585498</v>
      </c>
      <c r="C202" t="s">
        <v>62</v>
      </c>
      <c r="D202" t="str">
        <f>SUBSTITUTE(SUBSTITUTE(SUBSTITUTE(A202, "'max_iter': 500,", ""), "'max_iter': 1000,", ""), "'max_iter': 1500,", "")</f>
        <v>{'activation': 'tanh', 'hidden_layer_sizes': 50, 'learning_rate_init': 0.001,  'solver': 'adam'}</v>
      </c>
      <c r="E202">
        <f>_xlfn.RANK.EQ(B202,B$2:$B$479,0)</f>
        <v>176</v>
      </c>
      <c r="H202" s="40" t="s">
        <v>92</v>
      </c>
      <c r="I202" s="31">
        <v>0.75055109431585498</v>
      </c>
    </row>
    <row r="203" spans="1:9" x14ac:dyDescent="0.2">
      <c r="A203" t="s">
        <v>395</v>
      </c>
      <c r="B203" s="49">
        <v>0.75055109431585498</v>
      </c>
      <c r="C203" t="s">
        <v>62</v>
      </c>
      <c r="D203" t="str">
        <f>SUBSTITUTE(SUBSTITUTE(SUBSTITUTE(A203, "'max_iter': 500,", ""), "'max_iter': 1000,", ""), "'max_iter': 1500,", "")</f>
        <v>{'activation': 'tanh', 'hidden_layer_sizes': 50, 'learning_rate_init': 0.001,  'solver': 'adam'}</v>
      </c>
      <c r="E203">
        <f>_xlfn.RANK.EQ(B203,B$2:$B$479,0)</f>
        <v>176</v>
      </c>
      <c r="H203" s="40" t="s">
        <v>164</v>
      </c>
      <c r="I203" s="31">
        <v>0.75055109431585498</v>
      </c>
    </row>
    <row r="204" spans="1:9" x14ac:dyDescent="0.2">
      <c r="A204" t="s">
        <v>387</v>
      </c>
      <c r="B204" s="49">
        <v>0.75031565656565602</v>
      </c>
      <c r="C204" t="s">
        <v>62</v>
      </c>
      <c r="D204" t="str">
        <f>SUBSTITUTE(SUBSTITUTE(SUBSTITUTE(A204, "'max_iter': 500,", ""), "'max_iter': 1000,", ""), "'max_iter': 1500,", "")</f>
        <v>{'activation': 'identity', 'hidden_layer_sizes': (150, 75), 'learning_rate_init': 0.005,  'solver': 'sgd'}</v>
      </c>
      <c r="E204">
        <f>_xlfn.RANK.EQ(B204,B$2:$B$479,0)</f>
        <v>203</v>
      </c>
      <c r="H204" s="40" t="s">
        <v>313</v>
      </c>
      <c r="I204" s="31">
        <v>0.75055109431585498</v>
      </c>
    </row>
    <row r="205" spans="1:9" x14ac:dyDescent="0.2">
      <c r="A205" t="s">
        <v>129</v>
      </c>
      <c r="B205" s="49">
        <v>0.75031565656565602</v>
      </c>
      <c r="C205" t="s">
        <v>62</v>
      </c>
      <c r="D205" t="str">
        <f>SUBSTITUTE(SUBSTITUTE(SUBSTITUTE(A205, "'max_iter': 500,", ""), "'max_iter': 1000,", ""), "'max_iter': 1500,", "")</f>
        <v>{'activation': 'identity', 'hidden_layer_sizes': (150, 75), 'learning_rate_init': 0.005,  'solver': 'sgd'}</v>
      </c>
      <c r="E205">
        <f>_xlfn.RANK.EQ(B205,B$2:$B$479,0)</f>
        <v>203</v>
      </c>
      <c r="H205" s="40" t="s">
        <v>544</v>
      </c>
      <c r="I205" s="31">
        <v>0.75055109431585498</v>
      </c>
    </row>
    <row r="206" spans="1:9" x14ac:dyDescent="0.2">
      <c r="A206" t="s">
        <v>385</v>
      </c>
      <c r="B206" s="49">
        <v>0.75031565656565602</v>
      </c>
      <c r="C206" t="s">
        <v>62</v>
      </c>
      <c r="D206" t="str">
        <f>SUBSTITUTE(SUBSTITUTE(SUBSTITUTE(A206, "'max_iter': 500,", ""), "'max_iter': 1000,", ""), "'max_iter': 1500,", "")</f>
        <v>{'activation': 'identity', 'hidden_layer_sizes': (150, 75), 'learning_rate_init': 0.005,  'solver': 'sgd'}</v>
      </c>
      <c r="E206">
        <f>_xlfn.RANK.EQ(B206,B$2:$B$479,0)</f>
        <v>203</v>
      </c>
      <c r="H206" s="40" t="s">
        <v>155</v>
      </c>
      <c r="I206" s="31">
        <v>0.75031565656565602</v>
      </c>
    </row>
    <row r="207" spans="1:9" x14ac:dyDescent="0.2">
      <c r="A207" t="s">
        <v>97</v>
      </c>
      <c r="B207" s="49">
        <v>0.75031565656565602</v>
      </c>
      <c r="C207" t="s">
        <v>62</v>
      </c>
      <c r="D207" t="str">
        <f>SUBSTITUTE(SUBSTITUTE(SUBSTITUTE(A207, "'max_iter': 500,", ""), "'max_iter': 1000,", ""), "'max_iter': 1500,", "")</f>
        <v>{'activation': 'identity', 'hidden_layer_sizes': 150, 'learning_rate_init': 0.005,  'solver': 'sgd'}</v>
      </c>
      <c r="E207">
        <f>_xlfn.RANK.EQ(B207,B$2:$B$479,0)</f>
        <v>203</v>
      </c>
      <c r="H207" s="40" t="s">
        <v>97</v>
      </c>
      <c r="I207" s="31">
        <v>0.75031565656565602</v>
      </c>
    </row>
    <row r="208" spans="1:9" x14ac:dyDescent="0.2">
      <c r="A208" t="s">
        <v>355</v>
      </c>
      <c r="B208" s="49">
        <v>0.75031565656565602</v>
      </c>
      <c r="C208" t="s">
        <v>62</v>
      </c>
      <c r="D208" t="str">
        <f>SUBSTITUTE(SUBSTITUTE(SUBSTITUTE(A208, "'max_iter': 500,", ""), "'max_iter': 1000,", ""), "'max_iter': 1500,", "")</f>
        <v>{'activation': 'identity', 'hidden_layer_sizes': 50, 'learning_rate_init': 0.01,  'solver': 'sgd'}</v>
      </c>
      <c r="E208">
        <f>_xlfn.RANK.EQ(B208,B$2:$B$479,0)</f>
        <v>203</v>
      </c>
      <c r="H208" s="40" t="s">
        <v>129</v>
      </c>
      <c r="I208" s="31">
        <v>0.75031565656565602</v>
      </c>
    </row>
    <row r="209" spans="1:9" x14ac:dyDescent="0.2">
      <c r="A209" t="s">
        <v>118</v>
      </c>
      <c r="B209" s="49">
        <v>0.75031565656565602</v>
      </c>
      <c r="C209" t="s">
        <v>62</v>
      </c>
      <c r="D209" t="str">
        <f>SUBSTITUTE(SUBSTITUTE(SUBSTITUTE(A209, "'max_iter': 500,", ""), "'max_iter': 1000,", ""), "'max_iter': 1500,", "")</f>
        <v>{'activation': 'identity', 'hidden_layer_sizes': 50, 'learning_rate_init': 0.01,  'solver': 'sgd'}</v>
      </c>
      <c r="E209">
        <f>_xlfn.RANK.EQ(B209,B$2:$B$479,0)</f>
        <v>203</v>
      </c>
      <c r="H209" s="40" t="s">
        <v>304</v>
      </c>
      <c r="I209" s="31">
        <v>0.75031565656565602</v>
      </c>
    </row>
    <row r="210" spans="1:9" x14ac:dyDescent="0.2">
      <c r="A210" t="s">
        <v>362</v>
      </c>
      <c r="B210" s="49">
        <v>0.75031565656565602</v>
      </c>
      <c r="C210" t="s">
        <v>62</v>
      </c>
      <c r="D210" t="str">
        <f>SUBSTITUTE(SUBSTITUTE(SUBSTITUTE(A210, "'max_iter': 500,", ""), "'max_iter': 1000,", ""), "'max_iter': 1500,", "")</f>
        <v>{'activation': 'logistic', 'hidden_layer_sizes': 100, 'learning_rate_init': 0.005,  'solver': 'adam'}</v>
      </c>
      <c r="E210">
        <f>_xlfn.RANK.EQ(B210,B$2:$B$479,0)</f>
        <v>203</v>
      </c>
      <c r="H210" s="40" t="s">
        <v>63</v>
      </c>
      <c r="I210" s="31">
        <v>0.75031565656565602</v>
      </c>
    </row>
    <row r="211" spans="1:9" x14ac:dyDescent="0.2">
      <c r="A211" t="s">
        <v>120</v>
      </c>
      <c r="B211" s="49">
        <v>0.75031565656565602</v>
      </c>
      <c r="C211" t="s">
        <v>62</v>
      </c>
      <c r="D211" t="str">
        <f>SUBSTITUTE(SUBSTITUTE(SUBSTITUTE(A211, "'max_iter': 500,", ""), "'max_iter': 1000,", ""), "'max_iter': 1500,", "")</f>
        <v>{'activation': 'logistic', 'hidden_layer_sizes': 100, 'learning_rate_init': 0.005,  'solver': 'adam'}</v>
      </c>
      <c r="E211">
        <f>_xlfn.RANK.EQ(B211,B$2:$B$479,0)</f>
        <v>203</v>
      </c>
      <c r="H211" s="40" t="s">
        <v>90</v>
      </c>
      <c r="I211" s="31">
        <v>0.75031565656565602</v>
      </c>
    </row>
    <row r="212" spans="1:9" x14ac:dyDescent="0.2">
      <c r="A212" t="s">
        <v>363</v>
      </c>
      <c r="B212" s="49">
        <v>0.75031565656565602</v>
      </c>
      <c r="C212" t="s">
        <v>62</v>
      </c>
      <c r="D212" t="str">
        <f>SUBSTITUTE(SUBSTITUTE(SUBSTITUTE(A212, "'max_iter': 500,", ""), "'max_iter': 1000,", ""), "'max_iter': 1500,", "")</f>
        <v>{'activation': 'logistic', 'hidden_layer_sizes': 100, 'learning_rate_init': 0.005,  'solver': 'adam'}</v>
      </c>
      <c r="E212">
        <f>_xlfn.RANK.EQ(B212,B$2:$B$479,0)</f>
        <v>203</v>
      </c>
      <c r="H212" s="40" t="s">
        <v>237</v>
      </c>
      <c r="I212" s="31">
        <v>0.75031565656565602</v>
      </c>
    </row>
    <row r="213" spans="1:9" x14ac:dyDescent="0.2">
      <c r="A213" t="s">
        <v>392</v>
      </c>
      <c r="B213" s="49">
        <v>0.75031565656565602</v>
      </c>
      <c r="C213" t="s">
        <v>62</v>
      </c>
      <c r="D213" t="str">
        <f>SUBSTITUTE(SUBSTITUTE(SUBSTITUTE(A213, "'max_iter': 500,", ""), "'max_iter': 1000,", ""), "'max_iter': 1500,", "")</f>
        <v>{'activation': 'logistic', 'hidden_layer_sizes': 150, 'learning_rate_init': 0.01,  'solver': 'adam'}</v>
      </c>
      <c r="E213">
        <f>_xlfn.RANK.EQ(B213,B$2:$B$479,0)</f>
        <v>203</v>
      </c>
      <c r="H213" s="40" t="s">
        <v>253</v>
      </c>
      <c r="I213" s="31">
        <v>0.75031565656565602</v>
      </c>
    </row>
    <row r="214" spans="1:9" x14ac:dyDescent="0.2">
      <c r="A214" t="s">
        <v>135</v>
      </c>
      <c r="B214" s="49">
        <v>0.75031565656565602</v>
      </c>
      <c r="C214" t="s">
        <v>62</v>
      </c>
      <c r="D214" t="str">
        <f>SUBSTITUTE(SUBSTITUTE(SUBSTITUTE(A214, "'max_iter': 500,", ""), "'max_iter': 1000,", ""), "'max_iter': 1500,", "")</f>
        <v>{'activation': 'logistic', 'hidden_layer_sizes': 150, 'learning_rate_init': 0.01,  'solver': 'adam'}</v>
      </c>
      <c r="E214">
        <f>_xlfn.RANK.EQ(B214,B$2:$B$479,0)</f>
        <v>203</v>
      </c>
      <c r="H214" s="40" t="s">
        <v>363</v>
      </c>
      <c r="I214" s="31">
        <v>0.75031565656565602</v>
      </c>
    </row>
    <row r="215" spans="1:9" x14ac:dyDescent="0.2">
      <c r="A215" t="s">
        <v>393</v>
      </c>
      <c r="B215" s="49">
        <v>0.75031565656565602</v>
      </c>
      <c r="C215" t="s">
        <v>62</v>
      </c>
      <c r="D215" t="str">
        <f>SUBSTITUTE(SUBSTITUTE(SUBSTITUTE(A215, "'max_iter': 500,", ""), "'max_iter': 1000,", ""), "'max_iter': 1500,", "")</f>
        <v>{'activation': 'logistic', 'hidden_layer_sizes': 150, 'learning_rate_init': 0.01,  'solver': 'adam'}</v>
      </c>
      <c r="E215">
        <f>_xlfn.RANK.EQ(B215,B$2:$B$479,0)</f>
        <v>203</v>
      </c>
      <c r="H215" s="40" t="s">
        <v>494</v>
      </c>
      <c r="I215" s="31">
        <v>0.75031565656565602</v>
      </c>
    </row>
    <row r="216" spans="1:9" x14ac:dyDescent="0.2">
      <c r="A216" t="s">
        <v>252</v>
      </c>
      <c r="B216" s="49">
        <v>0.75031565656565602</v>
      </c>
      <c r="C216" t="s">
        <v>62</v>
      </c>
      <c r="D216" t="str">
        <f>SUBSTITUTE(SUBSTITUTE(SUBSTITUTE(A216, "'max_iter': 500,", ""), "'max_iter': 1000,", ""), "'max_iter': 1500,", "")</f>
        <v>{'activation': 'relu', 'hidden_layer_sizes': (200, 100), 'learning_rate_init': 0.005,  'solver': 'adam'}</v>
      </c>
      <c r="E216">
        <f>_xlfn.RANK.EQ(B216,B$2:$B$479,0)</f>
        <v>203</v>
      </c>
      <c r="H216" s="40" t="s">
        <v>189</v>
      </c>
      <c r="I216" s="31">
        <v>0.75031565656565602</v>
      </c>
    </row>
    <row r="217" spans="1:9" x14ac:dyDescent="0.2">
      <c r="A217" t="s">
        <v>63</v>
      </c>
      <c r="B217" s="49">
        <v>0.75031565656565602</v>
      </c>
      <c r="C217" t="s">
        <v>62</v>
      </c>
      <c r="D217" t="str">
        <f>SUBSTITUTE(SUBSTITUTE(SUBSTITUTE(A217, "'max_iter': 500,", ""), "'max_iter': 1000,", ""), "'max_iter': 1500,", "")</f>
        <v>{'activation': 'relu', 'hidden_layer_sizes': (200, 100), 'learning_rate_init': 0.005,  'solver': 'adam'}</v>
      </c>
      <c r="E217">
        <f>_xlfn.RANK.EQ(B217,B$2:$B$479,0)</f>
        <v>203</v>
      </c>
      <c r="H217" s="40" t="s">
        <v>188</v>
      </c>
      <c r="I217" s="31">
        <v>0.75031565656565602</v>
      </c>
    </row>
    <row r="218" spans="1:9" x14ac:dyDescent="0.2">
      <c r="A218" t="s">
        <v>253</v>
      </c>
      <c r="B218" s="49">
        <v>0.75031565656565602</v>
      </c>
      <c r="C218" t="s">
        <v>62</v>
      </c>
      <c r="D218" t="str">
        <f>SUBSTITUTE(SUBSTITUTE(SUBSTITUTE(A218, "'max_iter': 500,", ""), "'max_iter': 1000,", ""), "'max_iter': 1500,", "")</f>
        <v>{'activation': 'relu', 'hidden_layer_sizes': (200, 100), 'learning_rate_init': 0.005,  'solver': 'adam'}</v>
      </c>
      <c r="E218">
        <f>_xlfn.RANK.EQ(B218,B$2:$B$479,0)</f>
        <v>203</v>
      </c>
      <c r="H218" s="40" t="s">
        <v>362</v>
      </c>
      <c r="I218" s="31">
        <v>0.75031565656565602</v>
      </c>
    </row>
    <row r="219" spans="1:9" x14ac:dyDescent="0.2">
      <c r="A219" t="s">
        <v>432</v>
      </c>
      <c r="B219" s="49">
        <v>0.75031565656565602</v>
      </c>
      <c r="C219" t="s">
        <v>62</v>
      </c>
      <c r="D219" t="str">
        <f>SUBSTITUTE(SUBSTITUTE(SUBSTITUTE(A219, "'max_iter': 500,", ""), "'max_iter': 1000,", ""), "'max_iter': 1500,", "")</f>
        <v>{'activation': 'relu', 'hidden_layer_sizes': (200, 75, 25), 'learning_rate_init': 0.001,  'solver': 'adam'}</v>
      </c>
      <c r="E219">
        <f>_xlfn.RANK.EQ(B219,B$2:$B$479,0)</f>
        <v>203</v>
      </c>
      <c r="H219" s="40" t="s">
        <v>495</v>
      </c>
      <c r="I219" s="31">
        <v>0.75031565656565602</v>
      </c>
    </row>
    <row r="220" spans="1:9" x14ac:dyDescent="0.2">
      <c r="A220" t="s">
        <v>155</v>
      </c>
      <c r="B220" s="49">
        <v>0.75031565656565602</v>
      </c>
      <c r="C220" t="s">
        <v>62</v>
      </c>
      <c r="D220" t="str">
        <f>SUBSTITUTE(SUBSTITUTE(SUBSTITUTE(A220, "'max_iter': 500,", ""), "'max_iter': 1000,", ""), "'max_iter': 1500,", "")</f>
        <v>{'activation': 'relu', 'hidden_layer_sizes': (200, 75, 25), 'learning_rate_init': 0.001,  'solver': 'adam'}</v>
      </c>
      <c r="E220">
        <f>_xlfn.RANK.EQ(B220,B$2:$B$479,0)</f>
        <v>203</v>
      </c>
      <c r="H220" s="40" t="s">
        <v>586</v>
      </c>
      <c r="I220" s="31">
        <v>0.75031565656565602</v>
      </c>
    </row>
    <row r="221" spans="1:9" x14ac:dyDescent="0.2">
      <c r="A221" t="s">
        <v>430</v>
      </c>
      <c r="B221" s="49">
        <v>0.75031565656565602</v>
      </c>
      <c r="C221" t="s">
        <v>62</v>
      </c>
      <c r="D221" t="str">
        <f>SUBSTITUTE(SUBSTITUTE(SUBSTITUTE(A221, "'max_iter': 500,", ""), "'max_iter': 1000,", ""), "'max_iter': 1500,", "")</f>
        <v>{'activation': 'relu', 'hidden_layer_sizes': (200, 75, 25), 'learning_rate_init': 0.001,  'solver': 'adam'}</v>
      </c>
      <c r="E221">
        <f>_xlfn.RANK.EQ(B221,B$2:$B$479,0)</f>
        <v>203</v>
      </c>
      <c r="H221" s="40" t="s">
        <v>355</v>
      </c>
      <c r="I221" s="31">
        <v>0.75031565656565602</v>
      </c>
    </row>
    <row r="222" spans="1:9" x14ac:dyDescent="0.2">
      <c r="A222" t="s">
        <v>304</v>
      </c>
      <c r="B222" s="49">
        <v>0.75031565656565602</v>
      </c>
      <c r="C222" t="s">
        <v>62</v>
      </c>
      <c r="D222" t="str">
        <f>SUBSTITUTE(SUBSTITUTE(SUBSTITUTE(A222, "'max_iter': 500,", ""), "'max_iter': 1000,", ""), "'max_iter': 1500,", "")</f>
        <v>{'activation': 'relu', 'hidden_layer_sizes': 100, 'learning_rate_init': 0.01,  'solver': 'sgd'}</v>
      </c>
      <c r="E222">
        <f>_xlfn.RANK.EQ(B222,B$2:$B$479,0)</f>
        <v>203</v>
      </c>
      <c r="H222" s="40" t="s">
        <v>590</v>
      </c>
      <c r="I222" s="31">
        <v>0.75031565656565602</v>
      </c>
    </row>
    <row r="223" spans="1:9" x14ac:dyDescent="0.2">
      <c r="A223" t="s">
        <v>90</v>
      </c>
      <c r="B223" s="49">
        <v>0.75031565656565602</v>
      </c>
      <c r="C223" t="s">
        <v>62</v>
      </c>
      <c r="D223" t="str">
        <f>SUBSTITUTE(SUBSTITUTE(SUBSTITUTE(A223, "'max_iter': 500,", ""), "'max_iter': 1000,", ""), "'max_iter': 1500,", "")</f>
        <v>{'activation': 'relu', 'hidden_layer_sizes': 100, 'learning_rate_init': 0.01,  'solver': 'sgd'}</v>
      </c>
      <c r="E223">
        <f>_xlfn.RANK.EQ(B223,B$2:$B$479,0)</f>
        <v>203</v>
      </c>
      <c r="H223" s="40" t="s">
        <v>392</v>
      </c>
      <c r="I223" s="31">
        <v>0.75031565656565602</v>
      </c>
    </row>
    <row r="224" spans="1:9" x14ac:dyDescent="0.2">
      <c r="A224" t="s">
        <v>494</v>
      </c>
      <c r="B224" s="49">
        <v>0.75031565656565602</v>
      </c>
      <c r="C224" t="s">
        <v>62</v>
      </c>
      <c r="D224" t="str">
        <f>SUBSTITUTE(SUBSTITUTE(SUBSTITUTE(A224, "'max_iter': 500,", ""), "'max_iter': 1000,", ""), "'max_iter': 1500,", "")</f>
        <v>{'activation': 'relu', 'hidden_layer_sizes': 150, 'learning_rate_init': 0.001,  'solver': 'adam'}</v>
      </c>
      <c r="E224">
        <f>_xlfn.RANK.EQ(B224,B$2:$B$479,0)</f>
        <v>203</v>
      </c>
      <c r="H224" s="40" t="s">
        <v>385</v>
      </c>
      <c r="I224" s="31">
        <v>0.75031565656565602</v>
      </c>
    </row>
    <row r="225" spans="1:9" x14ac:dyDescent="0.2">
      <c r="A225" t="s">
        <v>188</v>
      </c>
      <c r="B225" s="49">
        <v>0.75031565656565602</v>
      </c>
      <c r="C225" t="s">
        <v>62</v>
      </c>
      <c r="D225" t="str">
        <f>SUBSTITUTE(SUBSTITUTE(SUBSTITUTE(A225, "'max_iter': 500,", ""), "'max_iter': 1000,", ""), "'max_iter': 1500,", "")</f>
        <v>{'activation': 'relu', 'hidden_layer_sizes': 150, 'learning_rate_init': 0.001,  'solver': 'adam'}</v>
      </c>
      <c r="E225">
        <f>_xlfn.RANK.EQ(B225,B$2:$B$479,0)</f>
        <v>203</v>
      </c>
      <c r="H225" s="40" t="s">
        <v>135</v>
      </c>
      <c r="I225" s="31">
        <v>0.75031565656565602</v>
      </c>
    </row>
    <row r="226" spans="1:9" x14ac:dyDescent="0.2">
      <c r="A226" t="s">
        <v>495</v>
      </c>
      <c r="B226" s="49">
        <v>0.75031565656565602</v>
      </c>
      <c r="C226" t="s">
        <v>62</v>
      </c>
      <c r="D226" t="str">
        <f>SUBSTITUTE(SUBSTITUTE(SUBSTITUTE(A226, "'max_iter': 500,", ""), "'max_iter': 1000,", ""), "'max_iter': 1500,", "")</f>
        <v>{'activation': 'relu', 'hidden_layer_sizes': 150, 'learning_rate_init': 0.001,  'solver': 'adam'}</v>
      </c>
      <c r="E226">
        <f>_xlfn.RANK.EQ(B226,B$2:$B$479,0)</f>
        <v>203</v>
      </c>
      <c r="H226" s="40" t="s">
        <v>496</v>
      </c>
      <c r="I226" s="31">
        <v>0.75031565656565602</v>
      </c>
    </row>
    <row r="227" spans="1:9" x14ac:dyDescent="0.2">
      <c r="A227" t="s">
        <v>254</v>
      </c>
      <c r="B227" s="49">
        <v>0.75031565656565602</v>
      </c>
      <c r="C227" t="s">
        <v>62</v>
      </c>
      <c r="D227" t="str">
        <f>SUBSTITUTE(SUBSTITUTE(SUBSTITUTE(A227, "'max_iter': 500,", ""), "'max_iter': 1000,", ""), "'max_iter': 1500,", "")</f>
        <v>{'activation': 'relu', 'hidden_layer_sizes': 50, 'learning_rate_init': 0.01,  'solver': 'sgd'}</v>
      </c>
      <c r="E227">
        <f>_xlfn.RANK.EQ(B227,B$2:$B$479,0)</f>
        <v>203</v>
      </c>
      <c r="H227" s="40" t="s">
        <v>387</v>
      </c>
      <c r="I227" s="31">
        <v>0.75031565656565602</v>
      </c>
    </row>
    <row r="228" spans="1:9" x14ac:dyDescent="0.2">
      <c r="A228" t="s">
        <v>64</v>
      </c>
      <c r="B228" s="49">
        <v>0.75031565656565602</v>
      </c>
      <c r="C228" t="s">
        <v>62</v>
      </c>
      <c r="D228" t="str">
        <f>SUBSTITUTE(SUBSTITUTE(SUBSTITUTE(A228, "'max_iter': 500,", ""), "'max_iter': 1000,", ""), "'max_iter': 1500,", "")</f>
        <v>{'activation': 'relu', 'hidden_layer_sizes': 50, 'learning_rate_init': 0.01,  'solver': 'sgd'}</v>
      </c>
      <c r="E228">
        <f>_xlfn.RANK.EQ(B228,B$2:$B$479,0)</f>
        <v>203</v>
      </c>
      <c r="H228" s="40" t="s">
        <v>252</v>
      </c>
      <c r="I228" s="31">
        <v>0.75031565656565602</v>
      </c>
    </row>
    <row r="229" spans="1:9" x14ac:dyDescent="0.2">
      <c r="A229" t="s">
        <v>586</v>
      </c>
      <c r="B229" s="49">
        <v>0.75031565656565602</v>
      </c>
      <c r="C229" t="s">
        <v>62</v>
      </c>
      <c r="D229" t="str">
        <f>SUBSTITUTE(SUBSTITUTE(SUBSTITUTE(A229, "'max_iter': 500,", ""), "'max_iter': 1000,", ""), "'max_iter': 1500,", "")</f>
        <v>{'activation': 'tanh', 'hidden_layer_sizes': (150, 75), 'learning_rate_init': 0.005,  'solver': 'sgd'}</v>
      </c>
      <c r="E229">
        <f>_xlfn.RANK.EQ(B229,B$2:$B$479,0)</f>
        <v>203</v>
      </c>
      <c r="H229" s="40" t="s">
        <v>393</v>
      </c>
      <c r="I229" s="31">
        <v>0.75031565656565602</v>
      </c>
    </row>
    <row r="230" spans="1:9" x14ac:dyDescent="0.2">
      <c r="A230" t="s">
        <v>237</v>
      </c>
      <c r="B230" s="49">
        <v>0.75031565656565602</v>
      </c>
      <c r="C230" t="s">
        <v>62</v>
      </c>
      <c r="D230" t="str">
        <f>SUBSTITUTE(SUBSTITUTE(SUBSTITUTE(A230, "'max_iter': 500,", ""), "'max_iter': 1000,", ""), "'max_iter': 1500,", "")</f>
        <v>{'activation': 'tanh', 'hidden_layer_sizes': (150, 75), 'learning_rate_init': 0.005,  'solver': 'sgd'}</v>
      </c>
      <c r="E230">
        <f>_xlfn.RANK.EQ(B230,B$2:$B$479,0)</f>
        <v>203</v>
      </c>
      <c r="H230" s="40" t="s">
        <v>118</v>
      </c>
      <c r="I230" s="31">
        <v>0.75031565656565602</v>
      </c>
    </row>
    <row r="231" spans="1:9" x14ac:dyDescent="0.2">
      <c r="A231" t="s">
        <v>590</v>
      </c>
      <c r="B231" s="49">
        <v>0.75031565656565602</v>
      </c>
      <c r="C231" t="s">
        <v>62</v>
      </c>
      <c r="D231" t="str">
        <f>SUBSTITUTE(SUBSTITUTE(SUBSTITUTE(A231, "'max_iter': 500,", ""), "'max_iter': 1000,", ""), "'max_iter': 1500,", "")</f>
        <v>{'activation': 'tanh', 'hidden_layer_sizes': (150, 75), 'learning_rate_init': 0.005,  'solver': 'sgd'}</v>
      </c>
      <c r="E231">
        <f>_xlfn.RANK.EQ(B231,B$2:$B$479,0)</f>
        <v>203</v>
      </c>
      <c r="H231" s="40" t="s">
        <v>254</v>
      </c>
      <c r="I231" s="31">
        <v>0.75031565656565602</v>
      </c>
    </row>
    <row r="232" spans="1:9" x14ac:dyDescent="0.2">
      <c r="A232" t="s">
        <v>151</v>
      </c>
      <c r="B232" s="49">
        <v>0.75031565656565602</v>
      </c>
      <c r="C232" t="s">
        <v>62</v>
      </c>
      <c r="D232" t="str">
        <f>SUBSTITUTE(SUBSTITUTE(SUBSTITUTE(A232, "'max_iter': 500,", ""), "'max_iter': 1000,", ""), "'max_iter': 1500,", "")</f>
        <v>{'activation': 'tanh', 'hidden_layer_sizes': 150, 'learning_rate_init': 0.005,  'solver': 'sgd'}</v>
      </c>
      <c r="E232">
        <f>_xlfn.RANK.EQ(B232,B$2:$B$479,0)</f>
        <v>203</v>
      </c>
      <c r="H232" s="40" t="s">
        <v>151</v>
      </c>
      <c r="I232" s="31">
        <v>0.75031565656565602</v>
      </c>
    </row>
    <row r="233" spans="1:9" x14ac:dyDescent="0.2">
      <c r="A233" t="s">
        <v>496</v>
      </c>
      <c r="B233" s="49">
        <v>0.75031565656565602</v>
      </c>
      <c r="C233" t="s">
        <v>62</v>
      </c>
      <c r="D233" t="str">
        <f>SUBSTITUTE(SUBSTITUTE(SUBSTITUTE(A233, "'max_iter': 500,", ""), "'max_iter': 1000,", ""), "'max_iter': 1500,", "")</f>
        <v>{'activation': 'tanh', 'hidden_layer_sizes': 50, 'learning_rate_init': 0.01,  'solver': 'sgd'}</v>
      </c>
      <c r="E233">
        <f>_xlfn.RANK.EQ(B233,B$2:$B$479,0)</f>
        <v>203</v>
      </c>
      <c r="H233" s="40" t="s">
        <v>64</v>
      </c>
      <c r="I233" s="31">
        <v>0.75031565656565602</v>
      </c>
    </row>
    <row r="234" spans="1:9" x14ac:dyDescent="0.2">
      <c r="A234" t="s">
        <v>189</v>
      </c>
      <c r="B234" s="49">
        <v>0.75031565656565602</v>
      </c>
      <c r="C234" t="s">
        <v>62</v>
      </c>
      <c r="D234" t="str">
        <f>SUBSTITUTE(SUBSTITUTE(SUBSTITUTE(A234, "'max_iter': 500,", ""), "'max_iter': 1000,", ""), "'max_iter': 1500,", "")</f>
        <v>{'activation': 'tanh', 'hidden_layer_sizes': 50, 'learning_rate_init': 0.01,  'solver': 'sgd'}</v>
      </c>
      <c r="E234">
        <f>_xlfn.RANK.EQ(B234,B$2:$B$479,0)</f>
        <v>203</v>
      </c>
      <c r="H234" s="40" t="s">
        <v>120</v>
      </c>
      <c r="I234" s="31">
        <v>0.75031565656565602</v>
      </c>
    </row>
    <row r="235" spans="1:9" x14ac:dyDescent="0.2">
      <c r="A235" t="s">
        <v>345</v>
      </c>
      <c r="B235" s="49">
        <v>0.75</v>
      </c>
      <c r="C235" t="s">
        <v>62</v>
      </c>
      <c r="D235" t="str">
        <f>SUBSTITUTE(SUBSTITUTE(SUBSTITUTE(A235, "'max_iter': 500,", ""), "'max_iter': 1000,", ""), "'max_iter': 1500,", "")</f>
        <v>{'activation': 'identity', 'hidden_layer_sizes': (100, 50), 'learning_rate_init': 0.005,  'solver': 'adam'}</v>
      </c>
      <c r="E235">
        <f>_xlfn.RANK.EQ(B235,B$2:$B$479,0)</f>
        <v>234</v>
      </c>
      <c r="H235" s="40" t="s">
        <v>432</v>
      </c>
      <c r="I235" s="31">
        <v>0.75031565656565602</v>
      </c>
    </row>
    <row r="236" spans="1:9" x14ac:dyDescent="0.2">
      <c r="A236" t="s">
        <v>109</v>
      </c>
      <c r="B236" s="49">
        <v>0.75</v>
      </c>
      <c r="C236" t="s">
        <v>62</v>
      </c>
      <c r="D236" t="str">
        <f>SUBSTITUTE(SUBSTITUTE(SUBSTITUTE(A236, "'max_iter': 500,", ""), "'max_iter': 1000,", ""), "'max_iter': 1500,", "")</f>
        <v>{'activation': 'identity', 'hidden_layer_sizes': (100, 50), 'learning_rate_init': 0.005,  'solver': 'adam'}</v>
      </c>
      <c r="E236">
        <f>_xlfn.RANK.EQ(B236,B$2:$B$479,0)</f>
        <v>234</v>
      </c>
      <c r="H236" s="40" t="s">
        <v>430</v>
      </c>
      <c r="I236" s="31">
        <v>0.75031565656565602</v>
      </c>
    </row>
    <row r="237" spans="1:9" x14ac:dyDescent="0.2">
      <c r="A237" t="s">
        <v>344</v>
      </c>
      <c r="B237" s="49">
        <v>0.75</v>
      </c>
      <c r="C237" t="s">
        <v>62</v>
      </c>
      <c r="D237" t="str">
        <f>SUBSTITUTE(SUBSTITUTE(SUBSTITUTE(A237, "'max_iter': 500,", ""), "'max_iter': 1000,", ""), "'max_iter': 1500,", "")</f>
        <v>{'activation': 'identity', 'hidden_layer_sizes': (100, 50), 'learning_rate_init': 0.005,  'solver': 'adam'}</v>
      </c>
      <c r="E237">
        <f>_xlfn.RANK.EQ(B237,B$2:$B$479,0)</f>
        <v>234</v>
      </c>
      <c r="H237" s="40" t="s">
        <v>163</v>
      </c>
      <c r="I237" s="31">
        <v>0.75</v>
      </c>
    </row>
    <row r="238" spans="1:9" x14ac:dyDescent="0.2">
      <c r="A238" t="s">
        <v>594</v>
      </c>
      <c r="B238" s="49">
        <v>0.75</v>
      </c>
      <c r="C238" t="s">
        <v>62</v>
      </c>
      <c r="D238" t="str">
        <f>SUBSTITUTE(SUBSTITUTE(SUBSTITUTE(A238, "'max_iter': 500,", ""), "'max_iter': 1000,", ""), "'max_iter': 1500,", "")</f>
        <v>{'activation': 'identity', 'hidden_layer_sizes': (150, 75), 'learning_rate_init': 0.001,  'solver': 'adam'}</v>
      </c>
      <c r="E238">
        <f>_xlfn.RANK.EQ(B238,B$2:$B$479,0)</f>
        <v>234</v>
      </c>
      <c r="H238" s="40" t="s">
        <v>536</v>
      </c>
      <c r="I238" s="31">
        <v>0.75</v>
      </c>
    </row>
    <row r="239" spans="1:9" x14ac:dyDescent="0.2">
      <c r="A239" t="s">
        <v>239</v>
      </c>
      <c r="B239" s="49">
        <v>0.75</v>
      </c>
      <c r="C239" t="s">
        <v>62</v>
      </c>
      <c r="D239" t="str">
        <f>SUBSTITUTE(SUBSTITUTE(SUBSTITUTE(A239, "'max_iter': 500,", ""), "'max_iter': 1000,", ""), "'max_iter': 1500,", "")</f>
        <v>{'activation': 'identity', 'hidden_layer_sizes': (150, 75), 'learning_rate_init': 0.001,  'solver': 'adam'}</v>
      </c>
      <c r="E239">
        <f>_xlfn.RANK.EQ(B239,B$2:$B$479,0)</f>
        <v>234</v>
      </c>
      <c r="H239" s="40" t="s">
        <v>537</v>
      </c>
      <c r="I239" s="31">
        <v>0.75</v>
      </c>
    </row>
    <row r="240" spans="1:9" x14ac:dyDescent="0.2">
      <c r="A240" t="s">
        <v>591</v>
      </c>
      <c r="B240" s="49">
        <v>0.75</v>
      </c>
      <c r="C240" t="s">
        <v>62</v>
      </c>
      <c r="D240" t="str">
        <f>SUBSTITUTE(SUBSTITUTE(SUBSTITUTE(A240, "'max_iter': 500,", ""), "'max_iter': 1000,", ""), "'max_iter': 1500,", "")</f>
        <v>{'activation': 'identity', 'hidden_layer_sizes': (150, 75), 'learning_rate_init': 0.001,  'solver': 'adam'}</v>
      </c>
      <c r="E240">
        <f>_xlfn.RANK.EQ(B240,B$2:$B$479,0)</f>
        <v>234</v>
      </c>
      <c r="H240" s="40" t="s">
        <v>591</v>
      </c>
      <c r="I240" s="31">
        <v>0.75</v>
      </c>
    </row>
    <row r="241" spans="1:9" x14ac:dyDescent="0.2">
      <c r="A241" t="s">
        <v>438</v>
      </c>
      <c r="B241" s="49">
        <v>0.75</v>
      </c>
      <c r="C241" t="s">
        <v>62</v>
      </c>
      <c r="D241" t="str">
        <f>SUBSTITUTE(SUBSTITUTE(SUBSTITUTE(A241, "'max_iter': 500,", ""), "'max_iter': 1000,", ""), "'max_iter': 1500,", "")</f>
        <v>{'activation': 'identity', 'hidden_layer_sizes': (200, 75, 25), 'learning_rate_init': 0.001,  'solver': 'adam'}</v>
      </c>
      <c r="E241">
        <f>_xlfn.RANK.EQ(B241,B$2:$B$479,0)</f>
        <v>234</v>
      </c>
      <c r="H241" s="40" t="s">
        <v>157</v>
      </c>
      <c r="I241" s="31">
        <v>0.75</v>
      </c>
    </row>
    <row r="242" spans="1:9" x14ac:dyDescent="0.2">
      <c r="A242" t="s">
        <v>157</v>
      </c>
      <c r="B242" s="49">
        <v>0.75</v>
      </c>
      <c r="C242" t="s">
        <v>62</v>
      </c>
      <c r="D242" t="str">
        <f>SUBSTITUTE(SUBSTITUTE(SUBSTITUTE(A242, "'max_iter': 500,", ""), "'max_iter': 1000,", ""), "'max_iter': 1500,", "")</f>
        <v>{'activation': 'identity', 'hidden_layer_sizes': (200, 75, 25), 'learning_rate_init': 0.001,  'solver': 'adam'}</v>
      </c>
      <c r="E242">
        <f>_xlfn.RANK.EQ(B242,B$2:$B$479,0)</f>
        <v>234</v>
      </c>
      <c r="H242" s="40" t="s">
        <v>435</v>
      </c>
      <c r="I242" s="31">
        <v>0.75</v>
      </c>
    </row>
    <row r="243" spans="1:9" x14ac:dyDescent="0.2">
      <c r="A243" t="s">
        <v>435</v>
      </c>
      <c r="B243" s="49">
        <v>0.75</v>
      </c>
      <c r="C243" t="s">
        <v>62</v>
      </c>
      <c r="D243" t="str">
        <f>SUBSTITUTE(SUBSTITUTE(SUBSTITUTE(A243, "'max_iter': 500,", ""), "'max_iter': 1000,", ""), "'max_iter': 1500,", "")</f>
        <v>{'activation': 'identity', 'hidden_layer_sizes': (200, 75, 25), 'learning_rate_init': 0.001,  'solver': 'adam'}</v>
      </c>
      <c r="E243">
        <f>_xlfn.RANK.EQ(B243,B$2:$B$479,0)</f>
        <v>234</v>
      </c>
      <c r="H243" s="40" t="s">
        <v>448</v>
      </c>
      <c r="I243" s="31">
        <v>0.75</v>
      </c>
    </row>
    <row r="244" spans="1:9" x14ac:dyDescent="0.2">
      <c r="A244" t="s">
        <v>537</v>
      </c>
      <c r="B244" s="49">
        <v>0.75</v>
      </c>
      <c r="C244" t="s">
        <v>62</v>
      </c>
      <c r="D244" t="str">
        <f>SUBSTITUTE(SUBSTITUTE(SUBSTITUTE(A244, "'max_iter': 500,", ""), "'max_iter': 1000,", ""), "'max_iter': 1500,", "")</f>
        <v>{'activation': 'logistic', 'hidden_layer_sizes': (200, 100), 'learning_rate_init': 0.005,  'solver': 'adam'}</v>
      </c>
      <c r="E244">
        <f>_xlfn.RANK.EQ(B244,B$2:$B$479,0)</f>
        <v>234</v>
      </c>
      <c r="H244" s="40" t="s">
        <v>239</v>
      </c>
      <c r="I244" s="31">
        <v>0.75</v>
      </c>
    </row>
    <row r="245" spans="1:9" x14ac:dyDescent="0.2">
      <c r="A245" t="s">
        <v>210</v>
      </c>
      <c r="B245" s="49">
        <v>0.75</v>
      </c>
      <c r="C245" t="s">
        <v>62</v>
      </c>
      <c r="D245" t="str">
        <f>SUBSTITUTE(SUBSTITUTE(SUBSTITUTE(A245, "'max_iter': 500,", ""), "'max_iter': 1000,", ""), "'max_iter': 1500,", "")</f>
        <v>{'activation': 'logistic', 'hidden_layer_sizes': (200, 100), 'learning_rate_init': 0.005,  'solver': 'adam'}</v>
      </c>
      <c r="E245">
        <f>_xlfn.RANK.EQ(B245,B$2:$B$479,0)</f>
        <v>234</v>
      </c>
      <c r="H245" s="40" t="s">
        <v>210</v>
      </c>
      <c r="I245" s="31">
        <v>0.75</v>
      </c>
    </row>
    <row r="246" spans="1:9" x14ac:dyDescent="0.2">
      <c r="A246" t="s">
        <v>536</v>
      </c>
      <c r="B246" s="49">
        <v>0.75</v>
      </c>
      <c r="C246" t="s">
        <v>62</v>
      </c>
      <c r="D246" t="str">
        <f>SUBSTITUTE(SUBSTITUTE(SUBSTITUTE(A246, "'max_iter': 500,", ""), "'max_iter': 1000,", ""), "'max_iter': 1500,", "")</f>
        <v>{'activation': 'logistic', 'hidden_layer_sizes': (200, 100), 'learning_rate_init': 0.005,  'solver': 'adam'}</v>
      </c>
      <c r="E246">
        <f>_xlfn.RANK.EQ(B246,B$2:$B$479,0)</f>
        <v>234</v>
      </c>
      <c r="H246" s="40" t="s">
        <v>345</v>
      </c>
      <c r="I246" s="31">
        <v>0.75</v>
      </c>
    </row>
    <row r="247" spans="1:9" x14ac:dyDescent="0.2">
      <c r="A247" t="s">
        <v>449</v>
      </c>
      <c r="B247" s="49">
        <v>0.75</v>
      </c>
      <c r="C247" t="s">
        <v>62</v>
      </c>
      <c r="D247" t="str">
        <f>SUBSTITUTE(SUBSTITUTE(SUBSTITUTE(A247, "'max_iter': 500,", ""), "'max_iter': 1000,", ""), "'max_iter': 1500,", "")</f>
        <v>{'activation': 'tanh', 'hidden_layer_sizes': (200, 75, 25), 'learning_rate_init': 0.001,  'solver': 'adam'}</v>
      </c>
      <c r="E247">
        <f>_xlfn.RANK.EQ(B247,B$2:$B$479,0)</f>
        <v>234</v>
      </c>
      <c r="H247" s="40" t="s">
        <v>344</v>
      </c>
      <c r="I247" s="31">
        <v>0.75</v>
      </c>
    </row>
    <row r="248" spans="1:9" x14ac:dyDescent="0.2">
      <c r="A248" t="s">
        <v>163</v>
      </c>
      <c r="B248" s="49">
        <v>0.75</v>
      </c>
      <c r="C248" t="s">
        <v>62</v>
      </c>
      <c r="D248" t="str">
        <f>SUBSTITUTE(SUBSTITUTE(SUBSTITUTE(A248, "'max_iter': 500,", ""), "'max_iter': 1000,", ""), "'max_iter': 1500,", "")</f>
        <v>{'activation': 'tanh', 'hidden_layer_sizes': (200, 75, 25), 'learning_rate_init': 0.001,  'solver': 'adam'}</v>
      </c>
      <c r="E248">
        <f>_xlfn.RANK.EQ(B248,B$2:$B$479,0)</f>
        <v>234</v>
      </c>
      <c r="H248" s="40" t="s">
        <v>109</v>
      </c>
      <c r="I248" s="31">
        <v>0.75</v>
      </c>
    </row>
    <row r="249" spans="1:9" x14ac:dyDescent="0.2">
      <c r="A249" t="s">
        <v>448</v>
      </c>
      <c r="B249" s="49">
        <v>0.75</v>
      </c>
      <c r="C249" t="s">
        <v>62</v>
      </c>
      <c r="D249" t="str">
        <f>SUBSTITUTE(SUBSTITUTE(SUBSTITUTE(A249, "'max_iter': 500,", ""), "'max_iter': 1000,", ""), "'max_iter': 1500,", "")</f>
        <v>{'activation': 'tanh', 'hidden_layer_sizes': (200, 75, 25), 'learning_rate_init': 0.001,  'solver': 'adam'}</v>
      </c>
      <c r="E249">
        <f>_xlfn.RANK.EQ(B249,B$2:$B$479,0)</f>
        <v>234</v>
      </c>
      <c r="H249" s="40" t="s">
        <v>438</v>
      </c>
      <c r="I249" s="31">
        <v>0.75</v>
      </c>
    </row>
    <row r="250" spans="1:9" x14ac:dyDescent="0.2">
      <c r="A250" t="s">
        <v>538</v>
      </c>
      <c r="B250" s="49">
        <v>0.74960317460317405</v>
      </c>
      <c r="C250" t="s">
        <v>62</v>
      </c>
      <c r="D250" t="str">
        <f>SUBSTITUTE(SUBSTITUTE(SUBSTITUTE(A250, "'max_iter': 500,", ""), "'max_iter': 1000,", ""), "'max_iter': 1500,", "")</f>
        <v>{'activation': 'tanh', 'hidden_layer_sizes': 150, 'learning_rate_init': 0.01,  'solver': 'adam'}</v>
      </c>
      <c r="E250">
        <f>_xlfn.RANK.EQ(B250,B$2:$B$479,0)</f>
        <v>249</v>
      </c>
      <c r="H250" s="40" t="s">
        <v>449</v>
      </c>
      <c r="I250" s="31">
        <v>0.75</v>
      </c>
    </row>
    <row r="251" spans="1:9" x14ac:dyDescent="0.2">
      <c r="A251" t="s">
        <v>211</v>
      </c>
      <c r="B251" s="49">
        <v>0.74960317460317405</v>
      </c>
      <c r="C251" t="s">
        <v>62</v>
      </c>
      <c r="D251" t="str">
        <f>SUBSTITUTE(SUBSTITUTE(SUBSTITUTE(A251, "'max_iter': 500,", ""), "'max_iter': 1000,", ""), "'max_iter': 1500,", "")</f>
        <v>{'activation': 'tanh', 'hidden_layer_sizes': 150, 'learning_rate_init': 0.01,  'solver': 'adam'}</v>
      </c>
      <c r="E251">
        <f>_xlfn.RANK.EQ(B251,B$2:$B$479,0)</f>
        <v>249</v>
      </c>
      <c r="H251" s="40" t="s">
        <v>594</v>
      </c>
      <c r="I251" s="31">
        <v>0.75</v>
      </c>
    </row>
    <row r="252" spans="1:9" x14ac:dyDescent="0.2">
      <c r="A252" t="s">
        <v>539</v>
      </c>
      <c r="B252" s="49">
        <v>0.74960317460317405</v>
      </c>
      <c r="C252" t="s">
        <v>62</v>
      </c>
      <c r="D252" t="str">
        <f>SUBSTITUTE(SUBSTITUTE(SUBSTITUTE(A252, "'max_iter': 500,", ""), "'max_iter': 1000,", ""), "'max_iter': 1500,", "")</f>
        <v>{'activation': 'tanh', 'hidden_layer_sizes': 150, 'learning_rate_init': 0.01,  'solver': 'adam'}</v>
      </c>
      <c r="E252">
        <f>_xlfn.RANK.EQ(B252,B$2:$B$479,0)</f>
        <v>249</v>
      </c>
      <c r="H252" s="40" t="s">
        <v>538</v>
      </c>
      <c r="I252" s="31">
        <v>0.74960317460317405</v>
      </c>
    </row>
    <row r="253" spans="1:9" x14ac:dyDescent="0.2">
      <c r="A253" t="s">
        <v>513</v>
      </c>
      <c r="B253" s="49">
        <v>0.74912406434145495</v>
      </c>
      <c r="C253" t="s">
        <v>62</v>
      </c>
      <c r="D253" t="str">
        <f>SUBSTITUTE(SUBSTITUTE(SUBSTITUTE(A253, "'max_iter': 500,", ""), "'max_iter': 1000,", ""), "'max_iter': 1500,", "")</f>
        <v>{'activation': 'logistic', 'hidden_layer_sizes': (200, 100, 50), 'learning_rate_init': 0.001,  'solver': 'adam'}</v>
      </c>
      <c r="E253">
        <f>_xlfn.RANK.EQ(B253,B$2:$B$479,0)</f>
        <v>252</v>
      </c>
      <c r="H253" s="40" t="s">
        <v>211</v>
      </c>
      <c r="I253" s="31">
        <v>0.74960317460317405</v>
      </c>
    </row>
    <row r="254" spans="1:9" x14ac:dyDescent="0.2">
      <c r="A254" t="s">
        <v>196</v>
      </c>
      <c r="B254" s="49">
        <v>0.74912406434145495</v>
      </c>
      <c r="C254" t="s">
        <v>62</v>
      </c>
      <c r="D254" t="str">
        <f>SUBSTITUTE(SUBSTITUTE(SUBSTITUTE(A254, "'max_iter': 500,", ""), "'max_iter': 1000,", ""), "'max_iter': 1500,", "")</f>
        <v>{'activation': 'logistic', 'hidden_layer_sizes': (200, 100, 50), 'learning_rate_init': 0.001,  'solver': 'adam'}</v>
      </c>
      <c r="E254">
        <f>_xlfn.RANK.EQ(B254,B$2:$B$479,0)</f>
        <v>252</v>
      </c>
      <c r="H254" s="40" t="s">
        <v>539</v>
      </c>
      <c r="I254" s="31">
        <v>0.74960317460317405</v>
      </c>
    </row>
    <row r="255" spans="1:9" x14ac:dyDescent="0.2">
      <c r="A255" t="s">
        <v>512</v>
      </c>
      <c r="B255" s="49">
        <v>0.74912406434145495</v>
      </c>
      <c r="C255" t="s">
        <v>62</v>
      </c>
      <c r="D255" t="str">
        <f>SUBSTITUTE(SUBSTITUTE(SUBSTITUTE(A255, "'max_iter': 500,", ""), "'max_iter': 1000,", ""), "'max_iter': 1500,", "")</f>
        <v>{'activation': 'logistic', 'hidden_layer_sizes': (200, 100, 50), 'learning_rate_init': 0.001,  'solver': 'adam'}</v>
      </c>
      <c r="E255">
        <f>_xlfn.RANK.EQ(B255,B$2:$B$479,0)</f>
        <v>252</v>
      </c>
      <c r="H255" s="40" t="s">
        <v>513</v>
      </c>
      <c r="I255" s="31">
        <v>0.74912406434145495</v>
      </c>
    </row>
    <row r="256" spans="1:9" x14ac:dyDescent="0.2">
      <c r="A256" t="s">
        <v>497</v>
      </c>
      <c r="B256" s="49">
        <v>0.74912406434145495</v>
      </c>
      <c r="C256" t="s">
        <v>62</v>
      </c>
      <c r="D256" t="str">
        <f>SUBSTITUTE(SUBSTITUTE(SUBSTITUTE(A256, "'max_iter': 500,", ""), "'max_iter': 1000,", ""), "'max_iter': 1500,", "")</f>
        <v>{'activation': 'tanh', 'hidden_layer_sizes': (200, 100), 'learning_rate_init': 0.005,  'solver': 'adam'}</v>
      </c>
      <c r="E256">
        <f>_xlfn.RANK.EQ(B256,B$2:$B$479,0)</f>
        <v>252</v>
      </c>
      <c r="H256" s="40" t="s">
        <v>497</v>
      </c>
      <c r="I256" s="31">
        <v>0.74912406434145495</v>
      </c>
    </row>
    <row r="257" spans="1:9" x14ac:dyDescent="0.2">
      <c r="A257" t="s">
        <v>186</v>
      </c>
      <c r="B257" s="49">
        <v>0.74912406434145495</v>
      </c>
      <c r="C257" t="s">
        <v>62</v>
      </c>
      <c r="D257" t="str">
        <f>SUBSTITUTE(SUBSTITUTE(SUBSTITUTE(A257, "'max_iter': 500,", ""), "'max_iter': 1000,", ""), "'max_iter': 1500,", "")</f>
        <v>{'activation': 'tanh', 'hidden_layer_sizes': (200, 100), 'learning_rate_init': 0.005,  'solver': 'adam'}</v>
      </c>
      <c r="E257">
        <f>_xlfn.RANK.EQ(B257,B$2:$B$479,0)</f>
        <v>252</v>
      </c>
      <c r="H257" s="40" t="s">
        <v>196</v>
      </c>
      <c r="I257" s="31">
        <v>0.74912406434145495</v>
      </c>
    </row>
    <row r="258" spans="1:9" x14ac:dyDescent="0.2">
      <c r="A258" t="s">
        <v>498</v>
      </c>
      <c r="B258" s="49">
        <v>0.74912406434145495</v>
      </c>
      <c r="C258" t="s">
        <v>62</v>
      </c>
      <c r="D258" t="str">
        <f>SUBSTITUTE(SUBSTITUTE(SUBSTITUTE(A258, "'max_iter': 500,", ""), "'max_iter': 1000,", ""), "'max_iter': 1500,", "")</f>
        <v>{'activation': 'tanh', 'hidden_layer_sizes': (200, 100), 'learning_rate_init': 0.005,  'solver': 'adam'}</v>
      </c>
      <c r="E258">
        <f>_xlfn.RANK.EQ(B258,B$2:$B$479,0)</f>
        <v>252</v>
      </c>
      <c r="H258" s="40" t="s">
        <v>186</v>
      </c>
      <c r="I258" s="31">
        <v>0.74912406434145495</v>
      </c>
    </row>
    <row r="259" spans="1:9" x14ac:dyDescent="0.2">
      <c r="A259" t="s">
        <v>490</v>
      </c>
      <c r="B259" s="49">
        <v>0.74856138107416803</v>
      </c>
      <c r="C259" t="s">
        <v>62</v>
      </c>
      <c r="D259" t="str">
        <f>SUBSTITUTE(SUBSTITUTE(SUBSTITUTE(A259, "'max_iter': 500,", ""), "'max_iter': 1000,", ""), "'max_iter': 1500,", "")</f>
        <v>{'activation': 'identity', 'hidden_layer_sizes': 100, 'learning_rate_init': 0.01,  'solver': 'adam'}</v>
      </c>
      <c r="E259">
        <f>_xlfn.RANK.EQ(B259,B$2:$B$479,0)</f>
        <v>258</v>
      </c>
      <c r="H259" s="40" t="s">
        <v>512</v>
      </c>
      <c r="I259" s="31">
        <v>0.74912406434145495</v>
      </c>
    </row>
    <row r="260" spans="1:9" x14ac:dyDescent="0.2">
      <c r="A260" t="s">
        <v>187</v>
      </c>
      <c r="B260" s="49">
        <v>0.74856138107416803</v>
      </c>
      <c r="C260" t="s">
        <v>62</v>
      </c>
      <c r="D260" t="str">
        <f>SUBSTITUTE(SUBSTITUTE(SUBSTITUTE(A260, "'max_iter': 500,", ""), "'max_iter': 1000,", ""), "'max_iter': 1500,", "")</f>
        <v>{'activation': 'identity', 'hidden_layer_sizes': 100, 'learning_rate_init': 0.01,  'solver': 'adam'}</v>
      </c>
      <c r="E260">
        <f>_xlfn.RANK.EQ(B260,B$2:$B$479,0)</f>
        <v>258</v>
      </c>
      <c r="H260" s="40" t="s">
        <v>498</v>
      </c>
      <c r="I260" s="31">
        <v>0.74912406434145495</v>
      </c>
    </row>
    <row r="261" spans="1:9" x14ac:dyDescent="0.2">
      <c r="A261" t="s">
        <v>491</v>
      </c>
      <c r="B261" s="49">
        <v>0.74856138107416803</v>
      </c>
      <c r="C261" t="s">
        <v>62</v>
      </c>
      <c r="D261" t="str">
        <f>SUBSTITUTE(SUBSTITUTE(SUBSTITUTE(A261, "'max_iter': 500,", ""), "'max_iter': 1000,", ""), "'max_iter': 1500,", "")</f>
        <v>{'activation': 'identity', 'hidden_layer_sizes': 100, 'learning_rate_init': 0.01,  'solver': 'adam'}</v>
      </c>
      <c r="E261">
        <f>_xlfn.RANK.EQ(B261,B$2:$B$479,0)</f>
        <v>258</v>
      </c>
      <c r="H261" s="40" t="s">
        <v>243</v>
      </c>
      <c r="I261" s="31">
        <v>0.74856138107416803</v>
      </c>
    </row>
    <row r="262" spans="1:9" x14ac:dyDescent="0.2">
      <c r="A262" t="s">
        <v>601</v>
      </c>
      <c r="B262" s="49">
        <v>0.74856138107416803</v>
      </c>
      <c r="C262" t="s">
        <v>62</v>
      </c>
      <c r="D262" t="str">
        <f>SUBSTITUTE(SUBSTITUTE(SUBSTITUTE(A262, "'max_iter': 500,", ""), "'max_iter': 1000,", ""), "'max_iter': 1500,", "")</f>
        <v>{'activation': 'tanh', 'hidden_layer_sizes': (200, 75, 25), 'learning_rate_init': 0.01,  'solver': 'adam'}</v>
      </c>
      <c r="E262">
        <f>_xlfn.RANK.EQ(B262,B$2:$B$479,0)</f>
        <v>258</v>
      </c>
      <c r="H262" s="40" t="s">
        <v>490</v>
      </c>
      <c r="I262" s="31">
        <v>0.74856138107416803</v>
      </c>
    </row>
    <row r="263" spans="1:9" x14ac:dyDescent="0.2">
      <c r="A263" t="s">
        <v>243</v>
      </c>
      <c r="B263" s="49">
        <v>0.74856138107416803</v>
      </c>
      <c r="C263" t="s">
        <v>62</v>
      </c>
      <c r="D263" t="str">
        <f>SUBSTITUTE(SUBSTITUTE(SUBSTITUTE(A263, "'max_iter': 500,", ""), "'max_iter': 1000,", ""), "'max_iter': 1500,", "")</f>
        <v>{'activation': 'tanh', 'hidden_layer_sizes': (200, 75, 25), 'learning_rate_init': 0.01,  'solver': 'adam'}</v>
      </c>
      <c r="E263">
        <f>_xlfn.RANK.EQ(B263,B$2:$B$479,0)</f>
        <v>258</v>
      </c>
      <c r="H263" s="40" t="s">
        <v>602</v>
      </c>
      <c r="I263" s="31">
        <v>0.74856138107416803</v>
      </c>
    </row>
    <row r="264" spans="1:9" x14ac:dyDescent="0.2">
      <c r="A264" t="s">
        <v>602</v>
      </c>
      <c r="B264" s="49">
        <v>0.74856138107416803</v>
      </c>
      <c r="C264" t="s">
        <v>62</v>
      </c>
      <c r="D264" t="str">
        <f>SUBSTITUTE(SUBSTITUTE(SUBSTITUTE(A264, "'max_iter': 500,", ""), "'max_iter': 1000,", ""), "'max_iter': 1500,", "")</f>
        <v>{'activation': 'tanh', 'hidden_layer_sizes': (200, 75, 25), 'learning_rate_init': 0.01,  'solver': 'adam'}</v>
      </c>
      <c r="E264">
        <f>_xlfn.RANK.EQ(B264,B$2:$B$479,0)</f>
        <v>258</v>
      </c>
      <c r="H264" s="40" t="s">
        <v>187</v>
      </c>
      <c r="I264" s="31">
        <v>0.74856138107416803</v>
      </c>
    </row>
    <row r="265" spans="1:9" x14ac:dyDescent="0.2">
      <c r="A265" t="s">
        <v>467</v>
      </c>
      <c r="B265" s="49">
        <v>0.74635627530364301</v>
      </c>
      <c r="C265" t="s">
        <v>62</v>
      </c>
      <c r="D265" t="str">
        <f>SUBSTITUTE(SUBSTITUTE(SUBSTITUTE(A265, "'max_iter': 500,", ""), "'max_iter': 1000,", ""), "'max_iter': 1500,", "")</f>
        <v>{'activation': 'tanh', 'hidden_layer_sizes': (200, 100), 'learning_rate_init': 0.01,  'solver': 'adam'}</v>
      </c>
      <c r="E265">
        <f>_xlfn.RANK.EQ(B265,B$2:$B$479,0)</f>
        <v>264</v>
      </c>
      <c r="H265" s="40" t="s">
        <v>491</v>
      </c>
      <c r="I265" s="31">
        <v>0.74856138107416803</v>
      </c>
    </row>
    <row r="266" spans="1:9" x14ac:dyDescent="0.2">
      <c r="A266" t="s">
        <v>173</v>
      </c>
      <c r="B266" s="49">
        <v>0.74635627530364301</v>
      </c>
      <c r="C266" t="s">
        <v>62</v>
      </c>
      <c r="D266" t="str">
        <f>SUBSTITUTE(SUBSTITUTE(SUBSTITUTE(A266, "'max_iter': 500,", ""), "'max_iter': 1000,", ""), "'max_iter': 1500,", "")</f>
        <v>{'activation': 'tanh', 'hidden_layer_sizes': (200, 100), 'learning_rate_init': 0.01,  'solver': 'adam'}</v>
      </c>
      <c r="E266">
        <f>_xlfn.RANK.EQ(B266,B$2:$B$479,0)</f>
        <v>264</v>
      </c>
      <c r="H266" s="40" t="s">
        <v>601</v>
      </c>
      <c r="I266" s="31">
        <v>0.74856138107416803</v>
      </c>
    </row>
    <row r="267" spans="1:9" x14ac:dyDescent="0.2">
      <c r="A267" t="s">
        <v>470</v>
      </c>
      <c r="B267" s="49">
        <v>0.74635627530364301</v>
      </c>
      <c r="C267" t="s">
        <v>62</v>
      </c>
      <c r="D267" t="str">
        <f>SUBSTITUTE(SUBSTITUTE(SUBSTITUTE(A267, "'max_iter': 500,", ""), "'max_iter': 1000,", ""), "'max_iter': 1500,", "")</f>
        <v>{'activation': 'tanh', 'hidden_layer_sizes': (200, 100), 'learning_rate_init': 0.01,  'solver': 'adam'}</v>
      </c>
      <c r="E267">
        <f>_xlfn.RANK.EQ(B267,B$2:$B$479,0)</f>
        <v>264</v>
      </c>
      <c r="H267" s="40" t="s">
        <v>467</v>
      </c>
      <c r="I267" s="31">
        <v>0.74635627530364301</v>
      </c>
    </row>
    <row r="268" spans="1:9" x14ac:dyDescent="0.2">
      <c r="A268" t="s">
        <v>469</v>
      </c>
      <c r="B268" s="49">
        <v>0.74452223004970397</v>
      </c>
      <c r="C268" t="s">
        <v>62</v>
      </c>
      <c r="D268" t="str">
        <f>SUBSTITUTE(SUBSTITUTE(SUBSTITUTE(A268, "'max_iter': 500,", ""), "'max_iter': 1000,", ""), "'max_iter': 1500,", "")</f>
        <v>{'activation': 'identity', 'hidden_layer_sizes': 100, 'learning_rate_init': 0.005,  'solver': 'adam'}</v>
      </c>
      <c r="E268">
        <f>_xlfn.RANK.EQ(B268,B$2:$B$479,0)</f>
        <v>267</v>
      </c>
      <c r="H268" s="40" t="s">
        <v>470</v>
      </c>
      <c r="I268" s="31">
        <v>0.74635627530364301</v>
      </c>
    </row>
    <row r="269" spans="1:9" x14ac:dyDescent="0.2">
      <c r="A269" t="s">
        <v>176</v>
      </c>
      <c r="B269" s="49">
        <v>0.74452223004970397</v>
      </c>
      <c r="C269" t="s">
        <v>62</v>
      </c>
      <c r="D269" t="str">
        <f>SUBSTITUTE(SUBSTITUTE(SUBSTITUTE(A269, "'max_iter': 500,", ""), "'max_iter': 1000,", ""), "'max_iter': 1500,", "")</f>
        <v>{'activation': 'identity', 'hidden_layer_sizes': 100, 'learning_rate_init': 0.005,  'solver': 'adam'}</v>
      </c>
      <c r="E269">
        <f>_xlfn.RANK.EQ(B269,B$2:$B$479,0)</f>
        <v>267</v>
      </c>
      <c r="H269" s="40" t="s">
        <v>173</v>
      </c>
      <c r="I269" s="31">
        <v>0.74635627530364301</v>
      </c>
    </row>
    <row r="270" spans="1:9" x14ac:dyDescent="0.2">
      <c r="A270" t="s">
        <v>465</v>
      </c>
      <c r="B270" s="49">
        <v>0.74452223004970397</v>
      </c>
      <c r="C270" t="s">
        <v>62</v>
      </c>
      <c r="D270" t="str">
        <f>SUBSTITUTE(SUBSTITUTE(SUBSTITUTE(A270, "'max_iter': 500,", ""), "'max_iter': 1000,", ""), "'max_iter': 1500,", "")</f>
        <v>{'activation': 'identity', 'hidden_layer_sizes': 100, 'learning_rate_init': 0.005,  'solver': 'adam'}</v>
      </c>
      <c r="E270">
        <f>_xlfn.RANK.EQ(B270,B$2:$B$479,0)</f>
        <v>267</v>
      </c>
      <c r="H270" s="40" t="s">
        <v>469</v>
      </c>
      <c r="I270" s="31">
        <v>0.74452223004970397</v>
      </c>
    </row>
    <row r="271" spans="1:9" x14ac:dyDescent="0.2">
      <c r="A271" t="s">
        <v>285</v>
      </c>
      <c r="B271" s="49">
        <v>0.74440495851519795</v>
      </c>
      <c r="C271" t="s">
        <v>62</v>
      </c>
      <c r="D271" t="str">
        <f>SUBSTITUTE(SUBSTITUTE(SUBSTITUTE(A271, "'max_iter': 500,", ""), "'max_iter': 1000,", ""), "'max_iter': 1500,", "")</f>
        <v>{'activation': 'identity', 'hidden_layer_sizes': 100, 'learning_rate_init': 0.01,  'solver': 'sgd'}</v>
      </c>
      <c r="E271">
        <f>_xlfn.RANK.EQ(B271,B$2:$B$479,0)</f>
        <v>270</v>
      </c>
      <c r="H271" s="40" t="s">
        <v>465</v>
      </c>
      <c r="I271" s="31">
        <v>0.74452223004970397</v>
      </c>
    </row>
    <row r="272" spans="1:9" x14ac:dyDescent="0.2">
      <c r="A272" t="s">
        <v>79</v>
      </c>
      <c r="B272" s="49">
        <v>0.74440495851519795</v>
      </c>
      <c r="C272" t="s">
        <v>62</v>
      </c>
      <c r="D272" t="str">
        <f>SUBSTITUTE(SUBSTITUTE(SUBSTITUTE(A272, "'max_iter': 500,", ""), "'max_iter': 1000,", ""), "'max_iter': 1500,", "")</f>
        <v>{'activation': 'identity', 'hidden_layer_sizes': 100, 'learning_rate_init': 0.01,  'solver': 'sgd'}</v>
      </c>
      <c r="E272">
        <f>_xlfn.RANK.EQ(B272,B$2:$B$479,0)</f>
        <v>270</v>
      </c>
      <c r="H272" s="40" t="s">
        <v>176</v>
      </c>
      <c r="I272" s="31">
        <v>0.74452223004970397</v>
      </c>
    </row>
    <row r="273" spans="1:9" x14ac:dyDescent="0.2">
      <c r="A273" t="s">
        <v>336</v>
      </c>
      <c r="B273" s="49">
        <v>0.74440495851519795</v>
      </c>
      <c r="C273" t="s">
        <v>62</v>
      </c>
      <c r="D273" t="str">
        <f>SUBSTITUTE(SUBSTITUTE(SUBSTITUTE(A273, "'max_iter': 500,", ""), "'max_iter': 1000,", ""), "'max_iter': 1500,", "")</f>
        <v>{'activation': 'identity', 'hidden_layer_sizes': 150, 'learning_rate_init': 0.001,  'solver': 'adam'}</v>
      </c>
      <c r="E273">
        <f>_xlfn.RANK.EQ(B273,B$2:$B$479,0)</f>
        <v>270</v>
      </c>
      <c r="H273" s="40" t="s">
        <v>206</v>
      </c>
      <c r="I273" s="31">
        <v>0.74440495851519795</v>
      </c>
    </row>
    <row r="274" spans="1:9" x14ac:dyDescent="0.2">
      <c r="A274" t="s">
        <v>107</v>
      </c>
      <c r="B274" s="49">
        <v>0.74440495851519795</v>
      </c>
      <c r="C274" t="s">
        <v>62</v>
      </c>
      <c r="D274" t="str">
        <f>SUBSTITUTE(SUBSTITUTE(SUBSTITUTE(A274, "'max_iter': 500,", ""), "'max_iter': 1000,", ""), "'max_iter': 1500,", "")</f>
        <v>{'activation': 'identity', 'hidden_layer_sizes': 150, 'learning_rate_init': 0.001,  'solver': 'adam'}</v>
      </c>
      <c r="E274">
        <f>_xlfn.RANK.EQ(B274,B$2:$B$479,0)</f>
        <v>270</v>
      </c>
      <c r="H274" s="40" t="s">
        <v>269</v>
      </c>
      <c r="I274" s="31">
        <v>0.74440495851519795</v>
      </c>
    </row>
    <row r="275" spans="1:9" x14ac:dyDescent="0.2">
      <c r="A275" t="s">
        <v>340</v>
      </c>
      <c r="B275" s="49">
        <v>0.74440495851519795</v>
      </c>
      <c r="C275" t="s">
        <v>62</v>
      </c>
      <c r="D275" t="str">
        <f>SUBSTITUTE(SUBSTITUTE(SUBSTITUTE(A275, "'max_iter': 500,", ""), "'max_iter': 1000,", ""), "'max_iter': 1500,", "")</f>
        <v>{'activation': 'identity', 'hidden_layer_sizes': 150, 'learning_rate_init': 0.001,  'solver': 'adam'}</v>
      </c>
      <c r="E275">
        <f>_xlfn.RANK.EQ(B275,B$2:$B$479,0)</f>
        <v>270</v>
      </c>
      <c r="H275" s="40" t="s">
        <v>79</v>
      </c>
      <c r="I275" s="31">
        <v>0.74440495851519795</v>
      </c>
    </row>
    <row r="276" spans="1:9" x14ac:dyDescent="0.2">
      <c r="A276" t="s">
        <v>268</v>
      </c>
      <c r="B276" s="49">
        <v>0.74440495851519795</v>
      </c>
      <c r="C276" t="s">
        <v>62</v>
      </c>
      <c r="D276" t="str">
        <f>SUBSTITUTE(SUBSTITUTE(SUBSTITUTE(A276, "'max_iter': 500,", ""), "'max_iter': 1000,", ""), "'max_iter': 1500,", "")</f>
        <v>{'activation': 'tanh', 'hidden_layer_sizes': (200, 100, 50), 'learning_rate_init': 0.005,  'solver': 'sgd'}</v>
      </c>
      <c r="E276">
        <f>_xlfn.RANK.EQ(B276,B$2:$B$479,0)</f>
        <v>270</v>
      </c>
      <c r="H276" s="40" t="s">
        <v>340</v>
      </c>
      <c r="I276" s="31">
        <v>0.74440495851519795</v>
      </c>
    </row>
    <row r="277" spans="1:9" x14ac:dyDescent="0.2">
      <c r="A277" t="s">
        <v>71</v>
      </c>
      <c r="B277" s="49">
        <v>0.74440495851519795</v>
      </c>
      <c r="C277" t="s">
        <v>62</v>
      </c>
      <c r="D277" t="str">
        <f>SUBSTITUTE(SUBSTITUTE(SUBSTITUTE(A277, "'max_iter': 500,", ""), "'max_iter': 1000,", ""), "'max_iter': 1500,", "")</f>
        <v>{'activation': 'tanh', 'hidden_layer_sizes': (200, 100, 50), 'learning_rate_init': 0.005,  'solver': 'sgd'}</v>
      </c>
      <c r="E277">
        <f>_xlfn.RANK.EQ(B277,B$2:$B$479,0)</f>
        <v>270</v>
      </c>
      <c r="H277" s="40" t="s">
        <v>528</v>
      </c>
      <c r="I277" s="31">
        <v>0.74440495851519795</v>
      </c>
    </row>
    <row r="278" spans="1:9" x14ac:dyDescent="0.2">
      <c r="A278" t="s">
        <v>269</v>
      </c>
      <c r="B278" s="49">
        <v>0.74440495851519795</v>
      </c>
      <c r="C278" t="s">
        <v>62</v>
      </c>
      <c r="D278" t="str">
        <f>SUBSTITUTE(SUBSTITUTE(SUBSTITUTE(A278, "'max_iter': 500,", ""), "'max_iter': 1000,", ""), "'max_iter': 1500,", "")</f>
        <v>{'activation': 'tanh', 'hidden_layer_sizes': (200, 100, 50), 'learning_rate_init': 0.005,  'solver': 'sgd'}</v>
      </c>
      <c r="E278">
        <f>_xlfn.RANK.EQ(B278,B$2:$B$479,0)</f>
        <v>270</v>
      </c>
      <c r="H278" s="40" t="s">
        <v>268</v>
      </c>
      <c r="I278" s="31">
        <v>0.74440495851519795</v>
      </c>
    </row>
    <row r="279" spans="1:9" x14ac:dyDescent="0.2">
      <c r="A279" t="s">
        <v>274</v>
      </c>
      <c r="B279" s="49">
        <v>0.74440495851519795</v>
      </c>
      <c r="C279" t="s">
        <v>62</v>
      </c>
      <c r="D279" t="str">
        <f>SUBSTITUTE(SUBSTITUTE(SUBSTITUTE(A279, "'max_iter': 500,", ""), "'max_iter': 1000,", ""), "'max_iter': 1500,", "")</f>
        <v>{'activation': 'tanh', 'hidden_layer_sizes': 100, 'learning_rate_init': 0.01,  'solver': 'sgd'}</v>
      </c>
      <c r="E279">
        <f>_xlfn.RANK.EQ(B279,B$2:$B$479,0)</f>
        <v>270</v>
      </c>
      <c r="H279" s="40" t="s">
        <v>529</v>
      </c>
      <c r="I279" s="31">
        <v>0.74440495851519795</v>
      </c>
    </row>
    <row r="280" spans="1:9" x14ac:dyDescent="0.2">
      <c r="A280" t="s">
        <v>75</v>
      </c>
      <c r="B280" s="49">
        <v>0.74440495851519795</v>
      </c>
      <c r="C280" t="s">
        <v>62</v>
      </c>
      <c r="D280" t="str">
        <f>SUBSTITUTE(SUBSTITUTE(SUBSTITUTE(A280, "'max_iter': 500,", ""), "'max_iter': 1000,", ""), "'max_iter': 1500,", "")</f>
        <v>{'activation': 'tanh', 'hidden_layer_sizes': 100, 'learning_rate_init': 0.01,  'solver': 'sgd'}</v>
      </c>
      <c r="E280">
        <f>_xlfn.RANK.EQ(B280,B$2:$B$479,0)</f>
        <v>270</v>
      </c>
      <c r="H280" s="40" t="s">
        <v>336</v>
      </c>
      <c r="I280" s="31">
        <v>0.74440495851519795</v>
      </c>
    </row>
    <row r="281" spans="1:9" x14ac:dyDescent="0.2">
      <c r="A281" t="s">
        <v>528</v>
      </c>
      <c r="B281" s="49">
        <v>0.74440495851519795</v>
      </c>
      <c r="C281" t="s">
        <v>62</v>
      </c>
      <c r="D281" t="str">
        <f>SUBSTITUTE(SUBSTITUTE(SUBSTITUTE(A281, "'max_iter': 500,", ""), "'max_iter': 1000,", ""), "'max_iter': 1500,", "")</f>
        <v>{'activation': 'tanh', 'hidden_layer_sizes': 150, 'learning_rate_init': 0.001,  'solver': 'adam'}</v>
      </c>
      <c r="E281">
        <f>_xlfn.RANK.EQ(B281,B$2:$B$479,0)</f>
        <v>270</v>
      </c>
      <c r="H281" s="40" t="s">
        <v>285</v>
      </c>
      <c r="I281" s="31">
        <v>0.74440495851519795</v>
      </c>
    </row>
    <row r="282" spans="1:9" x14ac:dyDescent="0.2">
      <c r="A282" t="s">
        <v>206</v>
      </c>
      <c r="B282" s="49">
        <v>0.74440495851519795</v>
      </c>
      <c r="C282" t="s">
        <v>62</v>
      </c>
      <c r="D282" t="str">
        <f>SUBSTITUTE(SUBSTITUTE(SUBSTITUTE(A282, "'max_iter': 500,", ""), "'max_iter': 1000,", ""), "'max_iter': 1500,", "")</f>
        <v>{'activation': 'tanh', 'hidden_layer_sizes': 150, 'learning_rate_init': 0.001,  'solver': 'adam'}</v>
      </c>
      <c r="E282">
        <f>_xlfn.RANK.EQ(B282,B$2:$B$479,0)</f>
        <v>270</v>
      </c>
      <c r="H282" s="40" t="s">
        <v>274</v>
      </c>
      <c r="I282" s="31">
        <v>0.74440495851519795</v>
      </c>
    </row>
    <row r="283" spans="1:9" x14ac:dyDescent="0.2">
      <c r="A283" t="s">
        <v>529</v>
      </c>
      <c r="B283" s="49">
        <v>0.74440495851519795</v>
      </c>
      <c r="C283" t="s">
        <v>62</v>
      </c>
      <c r="D283" t="str">
        <f>SUBSTITUTE(SUBSTITUTE(SUBSTITUTE(A283, "'max_iter': 500,", ""), "'max_iter': 1000,", ""), "'max_iter': 1500,", "")</f>
        <v>{'activation': 'tanh', 'hidden_layer_sizes': 150, 'learning_rate_init': 0.001,  'solver': 'adam'}</v>
      </c>
      <c r="E283">
        <f>_xlfn.RANK.EQ(B283,B$2:$B$479,0)</f>
        <v>270</v>
      </c>
      <c r="H283" s="40" t="s">
        <v>75</v>
      </c>
      <c r="I283" s="31">
        <v>0.74440495851519795</v>
      </c>
    </row>
    <row r="284" spans="1:9" x14ac:dyDescent="0.2">
      <c r="A284" t="s">
        <v>94</v>
      </c>
      <c r="B284" s="49">
        <v>0.74420443349753695</v>
      </c>
      <c r="C284" t="s">
        <v>62</v>
      </c>
      <c r="D284" t="str">
        <f>SUBSTITUTE(SUBSTITUTE(SUBSTITUTE(A284, "'max_iter': 500,", ""), "'max_iter': 1000,", ""), "'max_iter': 1500,", "")</f>
        <v>{'activation': 'identity', 'hidden_layer_sizes': (150, 75), 'learning_rate_init': 0.001,  'solver': 'sgd'}</v>
      </c>
      <c r="E284">
        <f>_xlfn.RANK.EQ(B284,B$2:$B$479,0)</f>
        <v>283</v>
      </c>
      <c r="H284" s="40" t="s">
        <v>71</v>
      </c>
      <c r="I284" s="31">
        <v>0.74440495851519795</v>
      </c>
    </row>
    <row r="285" spans="1:9" x14ac:dyDescent="0.2">
      <c r="A285" t="s">
        <v>259</v>
      </c>
      <c r="B285" s="49">
        <v>0.74420443349753695</v>
      </c>
      <c r="C285" t="s">
        <v>62</v>
      </c>
      <c r="D285" t="str">
        <f>SUBSTITUTE(SUBSTITUTE(SUBSTITUTE(A285, "'max_iter': 500,", ""), "'max_iter': 1000,", ""), "'max_iter': 1500,", "")</f>
        <v>{'activation': 'identity', 'hidden_layer_sizes': 150, 'learning_rate_init': 0.01,  'solver': 'adam'}</v>
      </c>
      <c r="E285">
        <f>_xlfn.RANK.EQ(B285,B$2:$B$479,0)</f>
        <v>283</v>
      </c>
      <c r="H285" s="40" t="s">
        <v>107</v>
      </c>
      <c r="I285" s="31">
        <v>0.74440495851519795</v>
      </c>
    </row>
    <row r="286" spans="1:9" x14ac:dyDescent="0.2">
      <c r="A286" t="s">
        <v>286</v>
      </c>
      <c r="B286" s="49">
        <v>0.74420443349753695</v>
      </c>
      <c r="C286" t="s">
        <v>62</v>
      </c>
      <c r="D286" t="str">
        <f>SUBSTITUTE(SUBSTITUTE(SUBSTITUTE(A286, "'max_iter': 500,", ""), "'max_iter': 1000,", ""), "'max_iter': 1500,", "")</f>
        <v>{'activation': 'identity', 'hidden_layer_sizes': 150, 'learning_rate_init': 0.01,  'solver': 'sgd'}</v>
      </c>
      <c r="E286">
        <f>_xlfn.RANK.EQ(B286,B$2:$B$479,0)</f>
        <v>283</v>
      </c>
      <c r="H286" s="40" t="s">
        <v>259</v>
      </c>
      <c r="I286" s="31">
        <v>0.74420443349753695</v>
      </c>
    </row>
    <row r="287" spans="1:9" x14ac:dyDescent="0.2">
      <c r="A287" t="s">
        <v>65</v>
      </c>
      <c r="B287" s="49">
        <v>0.74420443349753695</v>
      </c>
      <c r="C287" t="s">
        <v>62</v>
      </c>
      <c r="D287" t="str">
        <f>SUBSTITUTE(SUBSTITUTE(SUBSTITUTE(A287, "'max_iter': 500,", ""), "'max_iter': 1000,", ""), "'max_iter': 1500,", "")</f>
        <v>{'activation': 'identity', 'hidden_layer_sizes': 150, 'learning_rate_init': 0.01,  'solver': 'adam'}</v>
      </c>
      <c r="E287">
        <f>_xlfn.RANK.EQ(B287,B$2:$B$479,0)</f>
        <v>283</v>
      </c>
      <c r="H287" s="40" t="s">
        <v>475</v>
      </c>
      <c r="I287" s="31">
        <v>0.74420443349753695</v>
      </c>
    </row>
    <row r="288" spans="1:9" x14ac:dyDescent="0.2">
      <c r="A288" t="s">
        <v>80</v>
      </c>
      <c r="B288" s="49">
        <v>0.74420443349753695</v>
      </c>
      <c r="C288" t="s">
        <v>62</v>
      </c>
      <c r="D288" t="str">
        <f>SUBSTITUTE(SUBSTITUTE(SUBSTITUTE(A288, "'max_iter': 500,", ""), "'max_iter': 1000,", ""), "'max_iter': 1500,", "")</f>
        <v>{'activation': 'identity', 'hidden_layer_sizes': 150, 'learning_rate_init': 0.01,  'solver': 'sgd'}</v>
      </c>
      <c r="E288">
        <f>_xlfn.RANK.EQ(B288,B$2:$B$479,0)</f>
        <v>283</v>
      </c>
      <c r="H288" s="40" t="s">
        <v>147</v>
      </c>
      <c r="I288" s="31">
        <v>0.74420443349753695</v>
      </c>
    </row>
    <row r="289" spans="1:9" x14ac:dyDescent="0.2">
      <c r="A289" t="s">
        <v>258</v>
      </c>
      <c r="B289" s="49">
        <v>0.74420443349753695</v>
      </c>
      <c r="C289" t="s">
        <v>62</v>
      </c>
      <c r="D289" t="str">
        <f>SUBSTITUTE(SUBSTITUTE(SUBSTITUTE(A289, "'max_iter': 500,", ""), "'max_iter': 1000,", ""), "'max_iter': 1500,", "")</f>
        <v>{'activation': 'identity', 'hidden_layer_sizes': 150, 'learning_rate_init': 0.01,  'solver': 'adam'}</v>
      </c>
      <c r="E289">
        <f>_xlfn.RANK.EQ(B289,B$2:$B$479,0)</f>
        <v>283</v>
      </c>
      <c r="H289" s="40" t="s">
        <v>94</v>
      </c>
      <c r="I289" s="31">
        <v>0.74420443349753695</v>
      </c>
    </row>
    <row r="290" spans="1:9" x14ac:dyDescent="0.2">
      <c r="A290" t="s">
        <v>475</v>
      </c>
      <c r="B290" s="49">
        <v>0.74420443349753695</v>
      </c>
      <c r="C290" t="s">
        <v>62</v>
      </c>
      <c r="D290" t="str">
        <f>SUBSTITUTE(SUBSTITUTE(SUBSTITUTE(A290, "'max_iter': 500,", ""), "'max_iter': 1000,", ""), "'max_iter': 1500,", "")</f>
        <v>{'activation': 'relu', 'hidden_layer_sizes': (100, 50), 'learning_rate_init': 0.001,  'solver': 'adam'}</v>
      </c>
      <c r="E290">
        <f>_xlfn.RANK.EQ(B290,B$2:$B$479,0)</f>
        <v>283</v>
      </c>
      <c r="H290" s="40" t="s">
        <v>244</v>
      </c>
      <c r="I290" s="31">
        <v>0.74420443349753695</v>
      </c>
    </row>
    <row r="291" spans="1:9" x14ac:dyDescent="0.2">
      <c r="A291" t="s">
        <v>178</v>
      </c>
      <c r="B291" s="49">
        <v>0.74420443349753695</v>
      </c>
      <c r="C291" t="s">
        <v>62</v>
      </c>
      <c r="D291" t="str">
        <f>SUBSTITUTE(SUBSTITUTE(SUBSTITUTE(A291, "'max_iter': 500,", ""), "'max_iter': 1000,", ""), "'max_iter': 1500,", "")</f>
        <v>{'activation': 'relu', 'hidden_layer_sizes': (100, 50), 'learning_rate_init': 0.001,  'solver': 'adam'}</v>
      </c>
      <c r="E291">
        <f>_xlfn.RANK.EQ(B291,B$2:$B$479,0)</f>
        <v>283</v>
      </c>
      <c r="H291" s="40" t="s">
        <v>286</v>
      </c>
      <c r="I291" s="31">
        <v>0.74420443349753695</v>
      </c>
    </row>
    <row r="292" spans="1:9" x14ac:dyDescent="0.2">
      <c r="A292" t="s">
        <v>474</v>
      </c>
      <c r="B292" s="49">
        <v>0.74420443349753695</v>
      </c>
      <c r="C292" t="s">
        <v>62</v>
      </c>
      <c r="D292" t="str">
        <f>SUBSTITUTE(SUBSTITUTE(SUBSTITUTE(A292, "'max_iter': 500,", ""), "'max_iter': 1000,", ""), "'max_iter': 1500,", "")</f>
        <v>{'activation': 'relu', 'hidden_layer_sizes': (100, 50), 'learning_rate_init': 0.001,  'solver': 'adam'}</v>
      </c>
      <c r="E292">
        <f>_xlfn.RANK.EQ(B292,B$2:$B$479,0)</f>
        <v>283</v>
      </c>
      <c r="H292" s="40" t="s">
        <v>425</v>
      </c>
      <c r="I292" s="31">
        <v>0.74420443349753695</v>
      </c>
    </row>
    <row r="293" spans="1:9" x14ac:dyDescent="0.2">
      <c r="A293" t="s">
        <v>244</v>
      </c>
      <c r="B293" s="49">
        <v>0.74420443349753695</v>
      </c>
      <c r="C293" t="s">
        <v>62</v>
      </c>
      <c r="D293" t="str">
        <f>SUBSTITUTE(SUBSTITUTE(SUBSTITUTE(A293, "'max_iter': 500,", ""), "'max_iter': 1000,", ""), "'max_iter': 1500,", "")</f>
        <v>{'activation': 'tanh', 'hidden_layer_sizes': (150, 75), 'learning_rate_init': 0.001,  'solver': 'sgd'}</v>
      </c>
      <c r="E293">
        <f>_xlfn.RANK.EQ(B293,B$2:$B$479,0)</f>
        <v>283</v>
      </c>
      <c r="H293" s="40" t="s">
        <v>178</v>
      </c>
      <c r="I293" s="31">
        <v>0.74420443349753695</v>
      </c>
    </row>
    <row r="294" spans="1:9" x14ac:dyDescent="0.2">
      <c r="A294" t="s">
        <v>425</v>
      </c>
      <c r="B294" s="49">
        <v>0.74420443349753695</v>
      </c>
      <c r="C294" t="s">
        <v>62</v>
      </c>
      <c r="D294" t="str">
        <f>SUBSTITUTE(SUBSTITUTE(SUBSTITUTE(A294, "'max_iter': 500,", ""), "'max_iter': 1000,", ""), "'max_iter': 1500,", "")</f>
        <v>{'activation': 'tanh', 'hidden_layer_sizes': 150, 'learning_rate_init': 0.01,  'solver': 'sgd'}</v>
      </c>
      <c r="E294">
        <f>_xlfn.RANK.EQ(B294,B$2:$B$479,0)</f>
        <v>283</v>
      </c>
      <c r="H294" s="40" t="s">
        <v>65</v>
      </c>
      <c r="I294" s="31">
        <v>0.74420443349753695</v>
      </c>
    </row>
    <row r="295" spans="1:9" x14ac:dyDescent="0.2">
      <c r="A295" t="s">
        <v>147</v>
      </c>
      <c r="B295" s="49">
        <v>0.74420443349753695</v>
      </c>
      <c r="C295" t="s">
        <v>62</v>
      </c>
      <c r="D295" t="str">
        <f>SUBSTITUTE(SUBSTITUTE(SUBSTITUTE(A295, "'max_iter': 500,", ""), "'max_iter': 1000,", ""), "'max_iter': 1500,", "")</f>
        <v>{'activation': 'tanh', 'hidden_layer_sizes': 150, 'learning_rate_init': 0.01,  'solver': 'sgd'}</v>
      </c>
      <c r="E295">
        <f>_xlfn.RANK.EQ(B295,B$2:$B$479,0)</f>
        <v>283</v>
      </c>
      <c r="H295" s="40" t="s">
        <v>474</v>
      </c>
      <c r="I295" s="31">
        <v>0.74420443349753695</v>
      </c>
    </row>
    <row r="296" spans="1:9" x14ac:dyDescent="0.2">
      <c r="A296" t="s">
        <v>561</v>
      </c>
      <c r="B296" s="49">
        <v>0.74392210896448197</v>
      </c>
      <c r="C296" t="s">
        <v>62</v>
      </c>
      <c r="D296" t="str">
        <f>SUBSTITUTE(SUBSTITUTE(SUBSTITUTE(A296, "'max_iter': 500,", ""), "'max_iter': 1000,", ""), "'max_iter': 1500,", "")</f>
        <v>{'activation': 'identity', 'hidden_layer_sizes': (200, 100, 50), 'learning_rate_init': 0.01,  'solver': 'adam'}</v>
      </c>
      <c r="E296">
        <f>_xlfn.RANK.EQ(B296,B$2:$B$479,0)</f>
        <v>295</v>
      </c>
      <c r="H296" s="40" t="s">
        <v>80</v>
      </c>
      <c r="I296" s="31">
        <v>0.74420443349753695</v>
      </c>
    </row>
    <row r="297" spans="1:9" x14ac:dyDescent="0.2">
      <c r="A297" t="s">
        <v>224</v>
      </c>
      <c r="B297" s="49">
        <v>0.74392210896448197</v>
      </c>
      <c r="C297" t="s">
        <v>62</v>
      </c>
      <c r="D297" t="str">
        <f>SUBSTITUTE(SUBSTITUTE(SUBSTITUTE(A297, "'max_iter': 500,", ""), "'max_iter': 1000,", ""), "'max_iter': 1500,", "")</f>
        <v>{'activation': 'identity', 'hidden_layer_sizes': (200, 100, 50), 'learning_rate_init': 0.01,  'solver': 'adam'}</v>
      </c>
      <c r="E297">
        <f>_xlfn.RANK.EQ(B297,B$2:$B$479,0)</f>
        <v>295</v>
      </c>
      <c r="H297" s="40" t="s">
        <v>258</v>
      </c>
      <c r="I297" s="31">
        <v>0.74420443349753695</v>
      </c>
    </row>
    <row r="298" spans="1:9" x14ac:dyDescent="0.2">
      <c r="A298" t="s">
        <v>562</v>
      </c>
      <c r="B298" s="49">
        <v>0.74392210896448197</v>
      </c>
      <c r="C298" t="s">
        <v>62</v>
      </c>
      <c r="D298" t="str">
        <f>SUBSTITUTE(SUBSTITUTE(SUBSTITUTE(A298, "'max_iter': 500,", ""), "'max_iter': 1000,", ""), "'max_iter': 1500,", "")</f>
        <v>{'activation': 'identity', 'hidden_layer_sizes': (200, 100, 50), 'learning_rate_init': 0.01,  'solver': 'adam'}</v>
      </c>
      <c r="E298">
        <f>_xlfn.RANK.EQ(B298,B$2:$B$479,0)</f>
        <v>295</v>
      </c>
      <c r="H298" s="40" t="s">
        <v>101</v>
      </c>
      <c r="I298" s="31">
        <v>0.74392210896448197</v>
      </c>
    </row>
    <row r="299" spans="1:9" x14ac:dyDescent="0.2">
      <c r="A299" t="s">
        <v>428</v>
      </c>
      <c r="B299" s="49">
        <v>0.74392210896448197</v>
      </c>
      <c r="C299" t="s">
        <v>62</v>
      </c>
      <c r="D299" t="str">
        <f>SUBSTITUTE(SUBSTITUTE(SUBSTITUTE(A299, "'max_iter': 500,", ""), "'max_iter': 1000,", ""), "'max_iter': 1500,", "")</f>
        <v>{'activation': 'logistic', 'hidden_layer_sizes': 100, 'learning_rate_init': 0.01,  'solver': 'adam'}</v>
      </c>
      <c r="E299">
        <f>_xlfn.RANK.EQ(B299,B$2:$B$479,0)</f>
        <v>295</v>
      </c>
      <c r="H299" s="40" t="s">
        <v>184</v>
      </c>
      <c r="I299" s="31">
        <v>0.74392210896448197</v>
      </c>
    </row>
    <row r="300" spans="1:9" x14ac:dyDescent="0.2">
      <c r="A300" t="s">
        <v>146</v>
      </c>
      <c r="B300" s="49">
        <v>0.74392210896448197</v>
      </c>
      <c r="C300" t="s">
        <v>62</v>
      </c>
      <c r="D300" t="str">
        <f>SUBSTITUTE(SUBSTITUTE(SUBSTITUTE(A300, "'max_iter': 500,", ""), "'max_iter': 1000,", ""), "'max_iter': 1500,", "")</f>
        <v>{'activation': 'logistic', 'hidden_layer_sizes': 100, 'learning_rate_init': 0.01,  'solver': 'adam'}</v>
      </c>
      <c r="E300">
        <f>_xlfn.RANK.EQ(B300,B$2:$B$479,0)</f>
        <v>295</v>
      </c>
      <c r="H300" s="40" t="s">
        <v>561</v>
      </c>
      <c r="I300" s="31">
        <v>0.74392210896448197</v>
      </c>
    </row>
    <row r="301" spans="1:9" x14ac:dyDescent="0.2">
      <c r="A301" t="s">
        <v>427</v>
      </c>
      <c r="B301" s="49">
        <v>0.74392210896448197</v>
      </c>
      <c r="C301" t="s">
        <v>62</v>
      </c>
      <c r="D301" t="str">
        <f>SUBSTITUTE(SUBSTITUTE(SUBSTITUTE(A301, "'max_iter': 500,", ""), "'max_iter': 1000,", ""), "'max_iter': 1500,", "")</f>
        <v>{'activation': 'logistic', 'hidden_layer_sizes': 100, 'learning_rate_init': 0.01,  'solver': 'adam'}</v>
      </c>
      <c r="E301">
        <f>_xlfn.RANK.EQ(B301,B$2:$B$479,0)</f>
        <v>295</v>
      </c>
      <c r="H301" s="40" t="s">
        <v>482</v>
      </c>
      <c r="I301" s="31">
        <v>0.74392210896448197</v>
      </c>
    </row>
    <row r="302" spans="1:9" x14ac:dyDescent="0.2">
      <c r="A302" t="s">
        <v>482</v>
      </c>
      <c r="B302" s="49">
        <v>0.74392210896448197</v>
      </c>
      <c r="C302" t="s">
        <v>62</v>
      </c>
      <c r="D302" t="str">
        <f>SUBSTITUTE(SUBSTITUTE(SUBSTITUTE(A302, "'max_iter': 500,", ""), "'max_iter': 1000,", ""), "'max_iter': 1500,", "")</f>
        <v>{'activation': 'logistic', 'hidden_layer_sizes': 50, 'learning_rate_init': 0.001,  'solver': 'adam'}</v>
      </c>
      <c r="E302">
        <f>_xlfn.RANK.EQ(B302,B$2:$B$479,0)</f>
        <v>295</v>
      </c>
      <c r="H302" s="40" t="s">
        <v>224</v>
      </c>
      <c r="I302" s="31">
        <v>0.74392210896448197</v>
      </c>
    </row>
    <row r="303" spans="1:9" x14ac:dyDescent="0.2">
      <c r="A303" t="s">
        <v>184</v>
      </c>
      <c r="B303" s="49">
        <v>0.74392210896448197</v>
      </c>
      <c r="C303" t="s">
        <v>62</v>
      </c>
      <c r="D303" t="str">
        <f>SUBSTITUTE(SUBSTITUTE(SUBSTITUTE(A303, "'max_iter': 500,", ""), "'max_iter': 1000,", ""), "'max_iter': 1500,", "")</f>
        <v>{'activation': 'logistic', 'hidden_layer_sizes': 50, 'learning_rate_init': 0.001,  'solver': 'adam'}</v>
      </c>
      <c r="E303">
        <f>_xlfn.RANK.EQ(B303,B$2:$B$479,0)</f>
        <v>295</v>
      </c>
      <c r="H303" s="40" t="s">
        <v>197</v>
      </c>
      <c r="I303" s="31">
        <v>0.74392210896448197</v>
      </c>
    </row>
    <row r="304" spans="1:9" x14ac:dyDescent="0.2">
      <c r="A304" t="s">
        <v>297</v>
      </c>
      <c r="B304" s="49">
        <v>0.74392210896448197</v>
      </c>
      <c r="C304" t="s">
        <v>62</v>
      </c>
      <c r="D304" t="str">
        <f>SUBSTITUTE(SUBSTITUTE(SUBSTITUTE(A304, "'max_iter': 500,", ""), "'max_iter': 1000,", ""), "'max_iter': 1500,", "")</f>
        <v>{'activation': 'logistic', 'hidden_layer_sizes': 50, 'learning_rate_init': 0.005,  'solver': 'adam'}</v>
      </c>
      <c r="E304">
        <f>_xlfn.RANK.EQ(B304,B$2:$B$479,0)</f>
        <v>295</v>
      </c>
      <c r="H304" s="40" t="s">
        <v>427</v>
      </c>
      <c r="I304" s="31">
        <v>0.74392210896448197</v>
      </c>
    </row>
    <row r="305" spans="1:9" x14ac:dyDescent="0.2">
      <c r="A305" t="s">
        <v>86</v>
      </c>
      <c r="B305" s="49">
        <v>0.74392210896448197</v>
      </c>
      <c r="C305" t="s">
        <v>62</v>
      </c>
      <c r="D305" t="str">
        <f>SUBSTITUTE(SUBSTITUTE(SUBSTITUTE(A305, "'max_iter': 500,", ""), "'max_iter': 1000,", ""), "'max_iter': 1500,", "")</f>
        <v>{'activation': 'logistic', 'hidden_layer_sizes': 50, 'learning_rate_init': 0.005,  'solver': 'adam'}</v>
      </c>
      <c r="E305">
        <f>_xlfn.RANK.EQ(B305,B$2:$B$479,0)</f>
        <v>295</v>
      </c>
      <c r="H305" s="40" t="s">
        <v>327</v>
      </c>
      <c r="I305" s="31">
        <v>0.74392210896448197</v>
      </c>
    </row>
    <row r="306" spans="1:9" x14ac:dyDescent="0.2">
      <c r="A306" t="s">
        <v>299</v>
      </c>
      <c r="B306" s="49">
        <v>0.74392210896448197</v>
      </c>
      <c r="C306" t="s">
        <v>62</v>
      </c>
      <c r="D306" t="str">
        <f>SUBSTITUTE(SUBSTITUTE(SUBSTITUTE(A306, "'max_iter': 500,", ""), "'max_iter': 1000,", ""), "'max_iter': 1500,", "")</f>
        <v>{'activation': 'logistic', 'hidden_layer_sizes': 50, 'learning_rate_init': 0.005,  'solver': 'adam'}</v>
      </c>
      <c r="E306">
        <f>_xlfn.RANK.EQ(B306,B$2:$B$479,0)</f>
        <v>295</v>
      </c>
      <c r="H306" s="40" t="s">
        <v>86</v>
      </c>
      <c r="I306" s="31">
        <v>0.74392210896448197</v>
      </c>
    </row>
    <row r="307" spans="1:9" x14ac:dyDescent="0.2">
      <c r="A307" t="s">
        <v>197</v>
      </c>
      <c r="B307" s="49">
        <v>0.74392210896448197</v>
      </c>
      <c r="C307" t="s">
        <v>62</v>
      </c>
      <c r="D307" t="str">
        <f>SUBSTITUTE(SUBSTITUTE(SUBSTITUTE(A307, "'max_iter': 500,", ""), "'max_iter': 1000,", ""), "'max_iter': 1500,", "")</f>
        <v>{'activation': 'relu', 'hidden_layer_sizes': (100, 50), 'learning_rate_init': 0.001,  'solver': 'sgd'}</v>
      </c>
      <c r="E307">
        <f>_xlfn.RANK.EQ(B307,B$2:$B$479,0)</f>
        <v>295</v>
      </c>
      <c r="H307" s="40" t="s">
        <v>146</v>
      </c>
      <c r="I307" s="31">
        <v>0.74392210896448197</v>
      </c>
    </row>
    <row r="308" spans="1:9" x14ac:dyDescent="0.2">
      <c r="A308" t="s">
        <v>327</v>
      </c>
      <c r="B308" s="49">
        <v>0.74392210896448197</v>
      </c>
      <c r="C308" t="s">
        <v>62</v>
      </c>
      <c r="D308" t="str">
        <f>SUBSTITUTE(SUBSTITUTE(SUBSTITUTE(A308, "'max_iter': 500,", ""), "'max_iter': 1000,", ""), "'max_iter': 1500,", "")</f>
        <v>{'activation': 'tanh', 'hidden_layer_sizes': (200, 100, 50), 'learning_rate_init': 0.001,  'solver': 'adam'}</v>
      </c>
      <c r="E308">
        <f>_xlfn.RANK.EQ(B308,B$2:$B$479,0)</f>
        <v>295</v>
      </c>
      <c r="H308" s="40" t="s">
        <v>562</v>
      </c>
      <c r="I308" s="31">
        <v>0.74392210896448197</v>
      </c>
    </row>
    <row r="309" spans="1:9" x14ac:dyDescent="0.2">
      <c r="A309" t="s">
        <v>101</v>
      </c>
      <c r="B309" s="49">
        <v>0.74392210896448197</v>
      </c>
      <c r="C309" t="s">
        <v>62</v>
      </c>
      <c r="D309" t="str">
        <f>SUBSTITUTE(SUBSTITUTE(SUBSTITUTE(A309, "'max_iter': 500,", ""), "'max_iter': 1000,", ""), "'max_iter': 1500,", "")</f>
        <v>{'activation': 'tanh', 'hidden_layer_sizes': (200, 100, 50), 'learning_rate_init': 0.001,  'solver': 'adam'}</v>
      </c>
      <c r="E309">
        <f>_xlfn.RANK.EQ(B309,B$2:$B$479,0)</f>
        <v>295</v>
      </c>
      <c r="H309" s="40" t="s">
        <v>297</v>
      </c>
      <c r="I309" s="31">
        <v>0.74392210896448197</v>
      </c>
    </row>
    <row r="310" spans="1:9" x14ac:dyDescent="0.2">
      <c r="A310" t="s">
        <v>328</v>
      </c>
      <c r="B310" s="49">
        <v>0.74392210896448197</v>
      </c>
      <c r="C310" t="s">
        <v>62</v>
      </c>
      <c r="D310" t="str">
        <f>SUBSTITUTE(SUBSTITUTE(SUBSTITUTE(A310, "'max_iter': 500,", ""), "'max_iter': 1000,", ""), "'max_iter': 1500,", "")</f>
        <v>{'activation': 'tanh', 'hidden_layer_sizes': (200, 100, 50), 'learning_rate_init': 0.001,  'solver': 'adam'}</v>
      </c>
      <c r="E310">
        <f>_xlfn.RANK.EQ(B310,B$2:$B$479,0)</f>
        <v>295</v>
      </c>
      <c r="H310" s="40" t="s">
        <v>428</v>
      </c>
      <c r="I310" s="31">
        <v>0.74392210896448197</v>
      </c>
    </row>
    <row r="311" spans="1:9" x14ac:dyDescent="0.2">
      <c r="A311" t="s">
        <v>461</v>
      </c>
      <c r="B311" s="49">
        <v>0.743557094179642</v>
      </c>
      <c r="C311" t="s">
        <v>62</v>
      </c>
      <c r="D311" t="str">
        <f>SUBSTITUTE(SUBSTITUTE(SUBSTITUTE(A311, "'max_iter': 500,", ""), "'max_iter': 1000,", ""), "'max_iter': 1500,", "")</f>
        <v>{'activation': 'logistic', 'hidden_layer_sizes': (100, 50), 'learning_rate_init': 0.01,  'solver': 'adam'}</v>
      </c>
      <c r="E311">
        <f>_xlfn.RANK.EQ(B311,B$2:$B$479,0)</f>
        <v>310</v>
      </c>
      <c r="H311" s="40" t="s">
        <v>328</v>
      </c>
      <c r="I311" s="31">
        <v>0.74392210896448197</v>
      </c>
    </row>
    <row r="312" spans="1:9" x14ac:dyDescent="0.2">
      <c r="A312" t="s">
        <v>171</v>
      </c>
      <c r="B312" s="49">
        <v>0.743557094179642</v>
      </c>
      <c r="C312" t="s">
        <v>62</v>
      </c>
      <c r="D312" t="str">
        <f>SUBSTITUTE(SUBSTITUTE(SUBSTITUTE(A312, "'max_iter': 500,", ""), "'max_iter': 1000,", ""), "'max_iter': 1500,", "")</f>
        <v>{'activation': 'logistic', 'hidden_layer_sizes': (100, 50), 'learning_rate_init': 0.01,  'solver': 'adam'}</v>
      </c>
      <c r="E312">
        <f>_xlfn.RANK.EQ(B312,B$2:$B$479,0)</f>
        <v>310</v>
      </c>
      <c r="H312" s="40" t="s">
        <v>299</v>
      </c>
      <c r="I312" s="31">
        <v>0.74392210896448197</v>
      </c>
    </row>
    <row r="313" spans="1:9" x14ac:dyDescent="0.2">
      <c r="A313" t="s">
        <v>460</v>
      </c>
      <c r="B313" s="49">
        <v>0.743557094179642</v>
      </c>
      <c r="C313" t="s">
        <v>62</v>
      </c>
      <c r="D313" t="str">
        <f>SUBSTITUTE(SUBSTITUTE(SUBSTITUTE(A313, "'max_iter': 500,", ""), "'max_iter': 1000,", ""), "'max_iter': 1500,", "")</f>
        <v>{'activation': 'logistic', 'hidden_layer_sizes': (100, 50), 'learning_rate_init': 0.01,  'solver': 'adam'}</v>
      </c>
      <c r="E313">
        <f>_xlfn.RANK.EQ(B313,B$2:$B$479,0)</f>
        <v>310</v>
      </c>
      <c r="H313" s="40" t="s">
        <v>525</v>
      </c>
      <c r="I313" s="31">
        <v>0.743557094179642</v>
      </c>
    </row>
    <row r="314" spans="1:9" x14ac:dyDescent="0.2">
      <c r="A314" t="s">
        <v>525</v>
      </c>
      <c r="B314" s="49">
        <v>0.743557094179642</v>
      </c>
      <c r="C314" t="s">
        <v>62</v>
      </c>
      <c r="D314" t="str">
        <f>SUBSTITUTE(SUBSTITUTE(SUBSTITUTE(A314, "'max_iter': 500,", ""), "'max_iter': 1000,", ""), "'max_iter': 1500,", "")</f>
        <v>{'activation': 'logistic', 'hidden_layer_sizes': (200, 100), 'learning_rate_init': 0.01,  'solver': 'adam'}</v>
      </c>
      <c r="E314">
        <f>_xlfn.RANK.EQ(B314,B$2:$B$479,0)</f>
        <v>310</v>
      </c>
      <c r="H314" s="40" t="s">
        <v>171</v>
      </c>
      <c r="I314" s="31">
        <v>0.743557094179642</v>
      </c>
    </row>
    <row r="315" spans="1:9" x14ac:dyDescent="0.2">
      <c r="A315" t="s">
        <v>203</v>
      </c>
      <c r="B315" s="49">
        <v>0.743557094179642</v>
      </c>
      <c r="C315" t="s">
        <v>62</v>
      </c>
      <c r="D315" t="str">
        <f>SUBSTITUTE(SUBSTITUTE(SUBSTITUTE(A315, "'max_iter': 500,", ""), "'max_iter': 1000,", ""), "'max_iter': 1500,", "")</f>
        <v>{'activation': 'logistic', 'hidden_layer_sizes': (200, 100), 'learning_rate_init': 0.01,  'solver': 'adam'}</v>
      </c>
      <c r="E315">
        <f>_xlfn.RANK.EQ(B315,B$2:$B$479,0)</f>
        <v>310</v>
      </c>
      <c r="H315" s="40" t="s">
        <v>461</v>
      </c>
      <c r="I315" s="31">
        <v>0.743557094179642</v>
      </c>
    </row>
    <row r="316" spans="1:9" x14ac:dyDescent="0.2">
      <c r="A316" t="s">
        <v>524</v>
      </c>
      <c r="B316" s="49">
        <v>0.743557094179642</v>
      </c>
      <c r="C316" t="s">
        <v>62</v>
      </c>
      <c r="D316" t="str">
        <f>SUBSTITUTE(SUBSTITUTE(SUBSTITUTE(A316, "'max_iter': 500,", ""), "'max_iter': 1000,", ""), "'max_iter': 1500,", "")</f>
        <v>{'activation': 'logistic', 'hidden_layer_sizes': (200, 100), 'learning_rate_init': 0.01,  'solver': 'adam'}</v>
      </c>
      <c r="E316">
        <f>_xlfn.RANK.EQ(B316,B$2:$B$479,0)</f>
        <v>310</v>
      </c>
      <c r="H316" s="40" t="s">
        <v>485</v>
      </c>
      <c r="I316" s="31">
        <v>0.743557094179642</v>
      </c>
    </row>
    <row r="317" spans="1:9" x14ac:dyDescent="0.2">
      <c r="A317" t="s">
        <v>485</v>
      </c>
      <c r="B317" s="49">
        <v>0.743557094179642</v>
      </c>
      <c r="C317" t="s">
        <v>62</v>
      </c>
      <c r="D317" t="str">
        <f>SUBSTITUTE(SUBSTITUTE(SUBSTITUTE(A317, "'max_iter': 500,", ""), "'max_iter': 1000,", ""), "'max_iter': 1500,", "")</f>
        <v>{'activation': 'tanh', 'hidden_layer_sizes': (150, 75), 'learning_rate_init': 0.001,  'solver': 'adam'}</v>
      </c>
      <c r="E317">
        <f>_xlfn.RANK.EQ(B317,B$2:$B$479,0)</f>
        <v>310</v>
      </c>
      <c r="H317" s="40" t="s">
        <v>460</v>
      </c>
      <c r="I317" s="31">
        <v>0.743557094179642</v>
      </c>
    </row>
    <row r="318" spans="1:9" x14ac:dyDescent="0.2">
      <c r="A318" t="s">
        <v>180</v>
      </c>
      <c r="B318" s="49">
        <v>0.743557094179642</v>
      </c>
      <c r="C318" t="s">
        <v>62</v>
      </c>
      <c r="D318" t="str">
        <f>SUBSTITUTE(SUBSTITUTE(SUBSTITUTE(A318, "'max_iter': 500,", ""), "'max_iter': 1000,", ""), "'max_iter': 1500,", "")</f>
        <v>{'activation': 'tanh', 'hidden_layer_sizes': (150, 75), 'learning_rate_init': 0.001,  'solver': 'adam'}</v>
      </c>
      <c r="E318">
        <f>_xlfn.RANK.EQ(B318,B$2:$B$479,0)</f>
        <v>310</v>
      </c>
      <c r="H318" s="40" t="s">
        <v>180</v>
      </c>
      <c r="I318" s="31">
        <v>0.743557094179642</v>
      </c>
    </row>
    <row r="319" spans="1:9" x14ac:dyDescent="0.2">
      <c r="A319" t="s">
        <v>486</v>
      </c>
      <c r="B319" s="49">
        <v>0.743557094179642</v>
      </c>
      <c r="C319" t="s">
        <v>62</v>
      </c>
      <c r="D319" t="str">
        <f>SUBSTITUTE(SUBSTITUTE(SUBSTITUTE(A319, "'max_iter': 500,", ""), "'max_iter': 1000,", ""), "'max_iter': 1500,", "")</f>
        <v>{'activation': 'tanh', 'hidden_layer_sizes': (150, 75), 'learning_rate_init': 0.001,  'solver': 'adam'}</v>
      </c>
      <c r="E319">
        <f>_xlfn.RANK.EQ(B319,B$2:$B$479,0)</f>
        <v>310</v>
      </c>
      <c r="H319" s="40" t="s">
        <v>524</v>
      </c>
      <c r="I319" s="31">
        <v>0.743557094179642</v>
      </c>
    </row>
    <row r="320" spans="1:9" x14ac:dyDescent="0.2">
      <c r="A320" t="s">
        <v>505</v>
      </c>
      <c r="B320" s="49">
        <v>0.74310833101474605</v>
      </c>
      <c r="C320" t="s">
        <v>62</v>
      </c>
      <c r="D320" t="str">
        <f>SUBSTITUTE(SUBSTITUTE(SUBSTITUTE(A320, "'max_iter': 500,", ""), "'max_iter': 1000,", ""), "'max_iter': 1500,", "")</f>
        <v>{'activation': 'tanh', 'hidden_layer_sizes': 100, 'learning_rate_init': 0.01,  'solver': 'adam'}</v>
      </c>
      <c r="E320">
        <f>_xlfn.RANK.EQ(B320,B$2:$B$479,0)</f>
        <v>319</v>
      </c>
      <c r="H320" s="40" t="s">
        <v>486</v>
      </c>
      <c r="I320" s="31">
        <v>0.743557094179642</v>
      </c>
    </row>
    <row r="321" spans="1:9" x14ac:dyDescent="0.2">
      <c r="A321" t="s">
        <v>193</v>
      </c>
      <c r="B321" s="49">
        <v>0.74310833101474605</v>
      </c>
      <c r="C321" t="s">
        <v>62</v>
      </c>
      <c r="D321" t="str">
        <f>SUBSTITUTE(SUBSTITUTE(SUBSTITUTE(A321, "'max_iter': 500,", ""), "'max_iter': 1000,", ""), "'max_iter': 1500,", "")</f>
        <v>{'activation': 'tanh', 'hidden_layer_sizes': 100, 'learning_rate_init': 0.01,  'solver': 'adam'}</v>
      </c>
      <c r="E321">
        <f>_xlfn.RANK.EQ(B321,B$2:$B$479,0)</f>
        <v>319</v>
      </c>
      <c r="H321" s="40" t="s">
        <v>203</v>
      </c>
      <c r="I321" s="31">
        <v>0.743557094179642</v>
      </c>
    </row>
    <row r="322" spans="1:9" x14ac:dyDescent="0.2">
      <c r="A322" t="s">
        <v>500</v>
      </c>
      <c r="B322" s="49">
        <v>0.74310833101474605</v>
      </c>
      <c r="C322" t="s">
        <v>62</v>
      </c>
      <c r="D322" t="str">
        <f>SUBSTITUTE(SUBSTITUTE(SUBSTITUTE(A322, "'max_iter': 500,", ""), "'max_iter': 1000,", ""), "'max_iter': 1500,", "")</f>
        <v>{'activation': 'tanh', 'hidden_layer_sizes': 100, 'learning_rate_init': 0.01,  'solver': 'adam'}</v>
      </c>
      <c r="E322">
        <f>_xlfn.RANK.EQ(B322,B$2:$B$479,0)</f>
        <v>319</v>
      </c>
      <c r="H322" s="40" t="s">
        <v>193</v>
      </c>
      <c r="I322" s="31">
        <v>0.74310833101474605</v>
      </c>
    </row>
    <row r="323" spans="1:9" x14ac:dyDescent="0.2">
      <c r="A323" t="s">
        <v>557</v>
      </c>
      <c r="B323" s="49">
        <v>0.74257458816959798</v>
      </c>
      <c r="C323" t="s">
        <v>62</v>
      </c>
      <c r="D323" t="str">
        <f>SUBSTITUTE(SUBSTITUTE(SUBSTITUTE(A323, "'max_iter': 500,", ""), "'max_iter': 1000,", ""), "'max_iter': 1500,", "")</f>
        <v>{'activation': 'tanh', 'hidden_layer_sizes': (100, 50), 'learning_rate_init': 0.01,  'solver': 'adam'}</v>
      </c>
      <c r="E323">
        <f>_xlfn.RANK.EQ(B323,B$2:$B$479,0)</f>
        <v>322</v>
      </c>
      <c r="H323" s="40" t="s">
        <v>505</v>
      </c>
      <c r="I323" s="31">
        <v>0.74310833101474605</v>
      </c>
    </row>
    <row r="324" spans="1:9" x14ac:dyDescent="0.2">
      <c r="A324" t="s">
        <v>221</v>
      </c>
      <c r="B324" s="49">
        <v>0.74257458816959798</v>
      </c>
      <c r="C324" t="s">
        <v>62</v>
      </c>
      <c r="D324" t="str">
        <f>SUBSTITUTE(SUBSTITUTE(SUBSTITUTE(A324, "'max_iter': 500,", ""), "'max_iter': 1000,", ""), "'max_iter': 1500,", "")</f>
        <v>{'activation': 'tanh', 'hidden_layer_sizes': (100, 50), 'learning_rate_init': 0.01,  'solver': 'adam'}</v>
      </c>
      <c r="E324">
        <f>_xlfn.RANK.EQ(B324,B$2:$B$479,0)</f>
        <v>322</v>
      </c>
      <c r="H324" s="40" t="s">
        <v>500</v>
      </c>
      <c r="I324" s="31">
        <v>0.74310833101474605</v>
      </c>
    </row>
    <row r="325" spans="1:9" x14ac:dyDescent="0.2">
      <c r="A325" t="s">
        <v>558</v>
      </c>
      <c r="B325" s="49">
        <v>0.74257458816959798</v>
      </c>
      <c r="C325" t="s">
        <v>62</v>
      </c>
      <c r="D325" t="str">
        <f>SUBSTITUTE(SUBSTITUTE(SUBSTITUTE(A325, "'max_iter': 500,", ""), "'max_iter': 1000,", ""), "'max_iter': 1500,", "")</f>
        <v>{'activation': 'tanh', 'hidden_layer_sizes': (100, 50), 'learning_rate_init': 0.01,  'solver': 'adam'}</v>
      </c>
      <c r="E325">
        <f>_xlfn.RANK.EQ(B325,B$2:$B$479,0)</f>
        <v>322</v>
      </c>
      <c r="H325" s="40" t="s">
        <v>557</v>
      </c>
      <c r="I325" s="31">
        <v>0.74257458816959798</v>
      </c>
    </row>
    <row r="326" spans="1:9" x14ac:dyDescent="0.2">
      <c r="A326" t="s">
        <v>335</v>
      </c>
      <c r="B326" s="49">
        <v>0.73832352941176405</v>
      </c>
      <c r="C326" t="s">
        <v>62</v>
      </c>
      <c r="D326" t="str">
        <f>SUBSTITUTE(SUBSTITUTE(SUBSTITUTE(A326, "'max_iter': 500,", ""), "'max_iter': 1000,", ""), "'max_iter': 1500,", "")</f>
        <v>{'activation': 'identity', 'hidden_layer_sizes': (150, 75), 'learning_rate_init': 0.005,  'solver': 'adam'}</v>
      </c>
      <c r="E326">
        <f>_xlfn.RANK.EQ(B326,B$2:$B$479,0)</f>
        <v>325</v>
      </c>
      <c r="H326" s="40" t="s">
        <v>221</v>
      </c>
      <c r="I326" s="31">
        <v>0.74257458816959798</v>
      </c>
    </row>
    <row r="327" spans="1:9" x14ac:dyDescent="0.2">
      <c r="A327" t="s">
        <v>105</v>
      </c>
      <c r="B327" s="49">
        <v>0.73832352941176405</v>
      </c>
      <c r="C327" t="s">
        <v>62</v>
      </c>
      <c r="D327" t="str">
        <f>SUBSTITUTE(SUBSTITUTE(SUBSTITUTE(A327, "'max_iter': 500,", ""), "'max_iter': 1000,", ""), "'max_iter': 1500,", "")</f>
        <v>{'activation': 'identity', 'hidden_layer_sizes': (150, 75), 'learning_rate_init': 0.005,  'solver': 'adam'}</v>
      </c>
      <c r="E327">
        <f>_xlfn.RANK.EQ(B327,B$2:$B$479,0)</f>
        <v>325</v>
      </c>
      <c r="H327" s="40" t="s">
        <v>558</v>
      </c>
      <c r="I327" s="31">
        <v>0.74257458816959798</v>
      </c>
    </row>
    <row r="328" spans="1:9" x14ac:dyDescent="0.2">
      <c r="A328" t="s">
        <v>333</v>
      </c>
      <c r="B328" s="49">
        <v>0.73832352941176405</v>
      </c>
      <c r="C328" t="s">
        <v>62</v>
      </c>
      <c r="D328" t="str">
        <f>SUBSTITUTE(SUBSTITUTE(SUBSTITUTE(A328, "'max_iter': 500,", ""), "'max_iter': 1000,", ""), "'max_iter': 1500,", "")</f>
        <v>{'activation': 'identity', 'hidden_layer_sizes': (150, 75), 'learning_rate_init': 0.005,  'solver': 'adam'}</v>
      </c>
      <c r="E328">
        <f>_xlfn.RANK.EQ(B328,B$2:$B$479,0)</f>
        <v>325</v>
      </c>
      <c r="H328" s="40" t="s">
        <v>333</v>
      </c>
      <c r="I328" s="31">
        <v>0.73832352941176405</v>
      </c>
    </row>
    <row r="329" spans="1:9" x14ac:dyDescent="0.2">
      <c r="A329" t="s">
        <v>595</v>
      </c>
      <c r="B329" s="49">
        <v>0.73832236842105203</v>
      </c>
      <c r="C329" t="s">
        <v>62</v>
      </c>
      <c r="D329" t="str">
        <f>SUBSTITUTE(SUBSTITUTE(SUBSTITUTE(A329, "'max_iter': 500,", ""), "'max_iter': 1000,", ""), "'max_iter': 1500,", "")</f>
        <v>{'activation': 'identity', 'hidden_layer_sizes': (200, 100), 'learning_rate_init': 0.001,  'solver': 'adam'}</v>
      </c>
      <c r="E329">
        <f>_xlfn.RANK.EQ(B329,B$2:$B$479,0)</f>
        <v>328</v>
      </c>
      <c r="H329" s="40" t="s">
        <v>105</v>
      </c>
      <c r="I329" s="31">
        <v>0.73832352941176405</v>
      </c>
    </row>
    <row r="330" spans="1:9" x14ac:dyDescent="0.2">
      <c r="A330" t="s">
        <v>240</v>
      </c>
      <c r="B330" s="49">
        <v>0.73832236842105203</v>
      </c>
      <c r="C330" t="s">
        <v>62</v>
      </c>
      <c r="D330" t="str">
        <f>SUBSTITUTE(SUBSTITUTE(SUBSTITUTE(A330, "'max_iter': 500,", ""), "'max_iter': 1000,", ""), "'max_iter': 1500,", "")</f>
        <v>{'activation': 'identity', 'hidden_layer_sizes': (200, 100), 'learning_rate_init': 0.001,  'solver': 'adam'}</v>
      </c>
      <c r="E330">
        <f>_xlfn.RANK.EQ(B330,B$2:$B$479,0)</f>
        <v>328</v>
      </c>
      <c r="H330" s="40" t="s">
        <v>335</v>
      </c>
      <c r="I330" s="31">
        <v>0.73832352941176405</v>
      </c>
    </row>
    <row r="331" spans="1:9" x14ac:dyDescent="0.2">
      <c r="A331" t="s">
        <v>596</v>
      </c>
      <c r="B331" s="49">
        <v>0.73832236842105203</v>
      </c>
      <c r="C331" t="s">
        <v>62</v>
      </c>
      <c r="D331" t="str">
        <f>SUBSTITUTE(SUBSTITUTE(SUBSTITUTE(A331, "'max_iter': 500,", ""), "'max_iter': 1000,", ""), "'max_iter': 1500,", "")</f>
        <v>{'activation': 'identity', 'hidden_layer_sizes': (200, 100), 'learning_rate_init': 0.001,  'solver': 'adam'}</v>
      </c>
      <c r="E331">
        <f>_xlfn.RANK.EQ(B331,B$2:$B$479,0)</f>
        <v>328</v>
      </c>
      <c r="H331" s="40" t="s">
        <v>596</v>
      </c>
      <c r="I331" s="31">
        <v>0.73832236842105203</v>
      </c>
    </row>
    <row r="332" spans="1:9" x14ac:dyDescent="0.2">
      <c r="A332" t="s">
        <v>133</v>
      </c>
      <c r="B332" s="49">
        <v>0.73807864903164799</v>
      </c>
      <c r="C332" t="s">
        <v>62</v>
      </c>
      <c r="D332" t="str">
        <f>SUBSTITUTE(SUBSTITUTE(SUBSTITUTE(A332, "'max_iter': 500,", ""), "'max_iter': 1000,", ""), "'max_iter': 1500,", "")</f>
        <v>{'activation': 'identity', 'hidden_layer_sizes': 100, 'learning_rate_init': 0.005,  'solver': 'sgd'}</v>
      </c>
      <c r="E332">
        <f>_xlfn.RANK.EQ(B332,B$2:$B$479,0)</f>
        <v>331</v>
      </c>
      <c r="H332" s="40" t="s">
        <v>240</v>
      </c>
      <c r="I332" s="31">
        <v>0.73832236842105203</v>
      </c>
    </row>
    <row r="333" spans="1:9" x14ac:dyDescent="0.2">
      <c r="A333" t="s">
        <v>117</v>
      </c>
      <c r="B333" s="49">
        <v>0.73807864903164799</v>
      </c>
      <c r="C333" t="s">
        <v>62</v>
      </c>
      <c r="D333" t="str">
        <f>SUBSTITUTE(SUBSTITUTE(SUBSTITUTE(A333, "'max_iter': 500,", ""), "'max_iter': 1000,", ""), "'max_iter': 1500,", "")</f>
        <v>{'activation': 'tanh', 'hidden_layer_sizes': 100, 'learning_rate_init': 0.005,  'solver': 'sgd'}</v>
      </c>
      <c r="E333">
        <f>_xlfn.RANK.EQ(B333,B$2:$B$479,0)</f>
        <v>331</v>
      </c>
      <c r="H333" s="40" t="s">
        <v>595</v>
      </c>
      <c r="I333" s="31">
        <v>0.73832236842105203</v>
      </c>
    </row>
    <row r="334" spans="1:9" x14ac:dyDescent="0.2">
      <c r="A334" t="s">
        <v>437</v>
      </c>
      <c r="B334" s="49">
        <v>0.73783143939393903</v>
      </c>
      <c r="C334" t="s">
        <v>62</v>
      </c>
      <c r="D334" t="str">
        <f>SUBSTITUTE(SUBSTITUTE(SUBSTITUTE(A334, "'max_iter': 500,", ""), "'max_iter': 1000,", ""), "'max_iter': 1500,", "")</f>
        <v>{'activation': 'identity', 'hidden_layer_sizes': (100, 50), 'learning_rate_init': 0.01,  'solver': 'adam'}</v>
      </c>
      <c r="E334">
        <f>_xlfn.RANK.EQ(B334,B$2:$B$479,0)</f>
        <v>333</v>
      </c>
      <c r="H334" s="40" t="s">
        <v>117</v>
      </c>
      <c r="I334" s="31">
        <v>0.73807864903164799</v>
      </c>
    </row>
    <row r="335" spans="1:9" x14ac:dyDescent="0.2">
      <c r="A335" t="s">
        <v>160</v>
      </c>
      <c r="B335" s="49">
        <v>0.73783143939393903</v>
      </c>
      <c r="C335" t="s">
        <v>62</v>
      </c>
      <c r="D335" t="str">
        <f>SUBSTITUTE(SUBSTITUTE(SUBSTITUTE(A335, "'max_iter': 500,", ""), "'max_iter': 1000,", ""), "'max_iter': 1500,", "")</f>
        <v>{'activation': 'identity', 'hidden_layer_sizes': (100, 50), 'learning_rate_init': 0.01,  'solver': 'adam'}</v>
      </c>
      <c r="E335">
        <f>_xlfn.RANK.EQ(B335,B$2:$B$479,0)</f>
        <v>333</v>
      </c>
      <c r="H335" s="40" t="s">
        <v>133</v>
      </c>
      <c r="I335" s="31">
        <v>0.73807864903164799</v>
      </c>
    </row>
    <row r="336" spans="1:9" x14ac:dyDescent="0.2">
      <c r="A336" t="s">
        <v>439</v>
      </c>
      <c r="B336" s="49">
        <v>0.73783143939393903</v>
      </c>
      <c r="C336" t="s">
        <v>62</v>
      </c>
      <c r="D336" t="str">
        <f>SUBSTITUTE(SUBSTITUTE(SUBSTITUTE(A336, "'max_iter': 500,", ""), "'max_iter': 1000,", ""), "'max_iter': 1500,", "")</f>
        <v>{'activation': 'identity', 'hidden_layer_sizes': (100, 50), 'learning_rate_init': 0.01,  'solver': 'adam'}</v>
      </c>
      <c r="E336">
        <f>_xlfn.RANK.EQ(B336,B$2:$B$479,0)</f>
        <v>333</v>
      </c>
      <c r="H336" s="40" t="s">
        <v>367</v>
      </c>
      <c r="I336" s="31">
        <v>0.73783143939393903</v>
      </c>
    </row>
    <row r="337" spans="1:9" x14ac:dyDescent="0.2">
      <c r="A337" t="s">
        <v>182</v>
      </c>
      <c r="B337" s="49">
        <v>0.73783143939393903</v>
      </c>
      <c r="C337" t="s">
        <v>62</v>
      </c>
      <c r="D337" t="str">
        <f>SUBSTITUTE(SUBSTITUTE(SUBSTITUTE(A337, "'max_iter': 500,", ""), "'max_iter': 1000,", ""), "'max_iter': 1500,", "")</f>
        <v>{'activation': 'identity', 'hidden_layer_sizes': 50, 'learning_rate_init': 0.005,  'solver': 'sgd'}</v>
      </c>
      <c r="E337">
        <f>_xlfn.RANK.EQ(B337,B$2:$B$479,0)</f>
        <v>333</v>
      </c>
      <c r="H337" s="40" t="s">
        <v>446</v>
      </c>
      <c r="I337" s="31">
        <v>0.73783143939393903</v>
      </c>
    </row>
    <row r="338" spans="1:9" x14ac:dyDescent="0.2">
      <c r="A338" t="s">
        <v>370</v>
      </c>
      <c r="B338" s="49">
        <v>0.73783143939393903</v>
      </c>
      <c r="C338" t="s">
        <v>62</v>
      </c>
      <c r="D338" t="str">
        <f>SUBSTITUTE(SUBSTITUTE(SUBSTITUTE(A338, "'max_iter': 500,", ""), "'max_iter': 1000,", ""), "'max_iter': 1500,", "")</f>
        <v>{'activation': 'logistic', 'hidden_layer_sizes': (100, 50), 'learning_rate_init': 0.001,  'solver': 'adam'}</v>
      </c>
      <c r="E338">
        <f>_xlfn.RANK.EQ(B338,B$2:$B$479,0)</f>
        <v>333</v>
      </c>
      <c r="H338" s="40" t="s">
        <v>143</v>
      </c>
      <c r="I338" s="31">
        <v>0.73783143939393903</v>
      </c>
    </row>
    <row r="339" spans="1:9" x14ac:dyDescent="0.2">
      <c r="A339" t="s">
        <v>122</v>
      </c>
      <c r="B339" s="49">
        <v>0.73783143939393903</v>
      </c>
      <c r="C339" t="s">
        <v>62</v>
      </c>
      <c r="D339" t="str">
        <f>SUBSTITUTE(SUBSTITUTE(SUBSTITUTE(A339, "'max_iter': 500,", ""), "'max_iter': 1000,", ""), "'max_iter': 1500,", "")</f>
        <v>{'activation': 'logistic', 'hidden_layer_sizes': (100, 50), 'learning_rate_init': 0.001,  'solver': 'adam'}</v>
      </c>
      <c r="E339">
        <f>_xlfn.RANK.EQ(B339,B$2:$B$479,0)</f>
        <v>333</v>
      </c>
      <c r="H339" s="40" t="s">
        <v>112</v>
      </c>
      <c r="I339" s="31">
        <v>0.73783143939393903</v>
      </c>
    </row>
    <row r="340" spans="1:9" x14ac:dyDescent="0.2">
      <c r="A340" t="s">
        <v>367</v>
      </c>
      <c r="B340" s="49">
        <v>0.73783143939393903</v>
      </c>
      <c r="C340" t="s">
        <v>62</v>
      </c>
      <c r="D340" t="str">
        <f>SUBSTITUTE(SUBSTITUTE(SUBSTITUTE(A340, "'max_iter': 500,", ""), "'max_iter': 1000,", ""), "'max_iter': 1500,", "")</f>
        <v>{'activation': 'logistic', 'hidden_layer_sizes': (100, 50), 'learning_rate_init': 0.001,  'solver': 'adam'}</v>
      </c>
      <c r="E340">
        <f>_xlfn.RANK.EQ(B340,B$2:$B$479,0)</f>
        <v>333</v>
      </c>
      <c r="H340" s="40" t="s">
        <v>182</v>
      </c>
      <c r="I340" s="31">
        <v>0.73783143939393903</v>
      </c>
    </row>
    <row r="341" spans="1:9" x14ac:dyDescent="0.2">
      <c r="A341" t="s">
        <v>407</v>
      </c>
      <c r="B341" s="49">
        <v>0.73783143939393903</v>
      </c>
      <c r="C341" t="s">
        <v>62</v>
      </c>
      <c r="D341" t="str">
        <f>SUBSTITUTE(SUBSTITUTE(SUBSTITUTE(A341, "'max_iter': 500,", ""), "'max_iter': 1000,", ""), "'max_iter': 1500,", "")</f>
        <v>{'activation': 'logistic', 'hidden_layer_sizes': (200, 100), 'learning_rate_init': 0.001,  'solver': 'adam'}</v>
      </c>
      <c r="E341">
        <f>_xlfn.RANK.EQ(B341,B$2:$B$479,0)</f>
        <v>333</v>
      </c>
      <c r="H341" s="40" t="s">
        <v>236</v>
      </c>
      <c r="I341" s="31">
        <v>0.73783143939393903</v>
      </c>
    </row>
    <row r="342" spans="1:9" x14ac:dyDescent="0.2">
      <c r="A342" t="s">
        <v>143</v>
      </c>
      <c r="B342" s="49">
        <v>0.73783143939393903</v>
      </c>
      <c r="C342" t="s">
        <v>62</v>
      </c>
      <c r="D342" t="str">
        <f>SUBSTITUTE(SUBSTITUTE(SUBSTITUTE(A342, "'max_iter': 500,", ""), "'max_iter': 1000,", ""), "'max_iter': 1500,", "")</f>
        <v>{'activation': 'logistic', 'hidden_layer_sizes': (200, 100), 'learning_rate_init': 0.001,  'solver': 'adam'}</v>
      </c>
      <c r="E342">
        <f>_xlfn.RANK.EQ(B342,B$2:$B$479,0)</f>
        <v>333</v>
      </c>
      <c r="H342" s="40" t="s">
        <v>437</v>
      </c>
      <c r="I342" s="31">
        <v>0.73783143939393903</v>
      </c>
    </row>
    <row r="343" spans="1:9" x14ac:dyDescent="0.2">
      <c r="A343" t="s">
        <v>405</v>
      </c>
      <c r="B343" s="49">
        <v>0.73783143939393903</v>
      </c>
      <c r="C343" t="s">
        <v>62</v>
      </c>
      <c r="D343" t="str">
        <f>SUBSTITUTE(SUBSTITUTE(SUBSTITUTE(A343, "'max_iter': 500,", ""), "'max_iter': 1000,", ""), "'max_iter': 1500,", "")</f>
        <v>{'activation': 'logistic', 'hidden_layer_sizes': (200, 100), 'learning_rate_init': 0.001,  'solver': 'adam'}</v>
      </c>
      <c r="E343">
        <f>_xlfn.RANK.EQ(B343,B$2:$B$479,0)</f>
        <v>333</v>
      </c>
      <c r="H343" s="40" t="s">
        <v>434</v>
      </c>
      <c r="I343" s="31">
        <v>0.73783143939393903</v>
      </c>
    </row>
    <row r="344" spans="1:9" x14ac:dyDescent="0.2">
      <c r="A344" t="s">
        <v>409</v>
      </c>
      <c r="B344" s="49">
        <v>0.73783143939393903</v>
      </c>
      <c r="C344" t="s">
        <v>62</v>
      </c>
      <c r="D344" t="str">
        <f>SUBSTITUTE(SUBSTITUTE(SUBSTITUTE(A344, "'max_iter': 500,", ""), "'max_iter': 1000,", ""), "'max_iter': 1500,", "")</f>
        <v>{'activation': 'logistic', 'hidden_layer_sizes': 100, 'learning_rate_init': 0.001,  'solver': 'adam'}</v>
      </c>
      <c r="E344">
        <f>_xlfn.RANK.EQ(B344,B$2:$B$479,0)</f>
        <v>333</v>
      </c>
      <c r="H344" s="40" t="s">
        <v>348</v>
      </c>
      <c r="I344" s="31">
        <v>0.73783143939393903</v>
      </c>
    </row>
    <row r="345" spans="1:9" x14ac:dyDescent="0.2">
      <c r="A345" t="s">
        <v>144</v>
      </c>
      <c r="B345" s="49">
        <v>0.73783143939393903</v>
      </c>
      <c r="C345" t="s">
        <v>62</v>
      </c>
      <c r="D345" t="str">
        <f>SUBSTITUTE(SUBSTITUTE(SUBSTITUTE(A345, "'max_iter': 500,", ""), "'max_iter': 1000,", ""), "'max_iter': 1500,", "")</f>
        <v>{'activation': 'logistic', 'hidden_layer_sizes': 100, 'learning_rate_init': 0.001,  'solver': 'adam'}</v>
      </c>
      <c r="E345">
        <f>_xlfn.RANK.EQ(B345,B$2:$B$479,0)</f>
        <v>333</v>
      </c>
      <c r="H345" s="40" t="s">
        <v>436</v>
      </c>
      <c r="I345" s="31">
        <v>0.73783143939393903</v>
      </c>
    </row>
    <row r="346" spans="1:9" x14ac:dyDescent="0.2">
      <c r="A346" t="s">
        <v>408</v>
      </c>
      <c r="B346" s="49">
        <v>0.73783143939393903</v>
      </c>
      <c r="C346" t="s">
        <v>62</v>
      </c>
      <c r="D346" t="str">
        <f>SUBSTITUTE(SUBSTITUTE(SUBSTITUTE(A346, "'max_iter': 500,", ""), "'max_iter': 1000,", ""), "'max_iter': 1500,", "")</f>
        <v>{'activation': 'logistic', 'hidden_layer_sizes': 100, 'learning_rate_init': 0.001,  'solver': 'adam'}</v>
      </c>
      <c r="E346">
        <f>_xlfn.RANK.EQ(B346,B$2:$B$479,0)</f>
        <v>333</v>
      </c>
      <c r="H346" s="40" t="s">
        <v>408</v>
      </c>
      <c r="I346" s="31">
        <v>0.73783143939393903</v>
      </c>
    </row>
    <row r="347" spans="1:9" x14ac:dyDescent="0.2">
      <c r="A347" t="s">
        <v>483</v>
      </c>
      <c r="B347" s="49">
        <v>0.73783143939393903</v>
      </c>
      <c r="C347" t="s">
        <v>62</v>
      </c>
      <c r="D347" t="str">
        <f>SUBSTITUTE(SUBSTITUTE(SUBSTITUTE(A347, "'max_iter': 500,", ""), "'max_iter': 1000,", ""), "'max_iter': 1500,", "")</f>
        <v>{'activation': 'relu', 'hidden_layer_sizes': (100, 50), 'learning_rate_init': 0.005,  'solver': 'sgd'}</v>
      </c>
      <c r="E347">
        <f>_xlfn.RANK.EQ(B347,B$2:$B$479,0)</f>
        <v>333</v>
      </c>
      <c r="H347" s="40" t="s">
        <v>484</v>
      </c>
      <c r="I347" s="31">
        <v>0.73783143939393903</v>
      </c>
    </row>
    <row r="348" spans="1:9" x14ac:dyDescent="0.2">
      <c r="A348" t="s">
        <v>181</v>
      </c>
      <c r="B348" s="49">
        <v>0.73783143939393903</v>
      </c>
      <c r="C348" t="s">
        <v>62</v>
      </c>
      <c r="D348" t="str">
        <f>SUBSTITUTE(SUBSTITUTE(SUBSTITUTE(A348, "'max_iter': 500,", ""), "'max_iter': 1000,", ""), "'max_iter': 1500,", "")</f>
        <v>{'activation': 'relu', 'hidden_layer_sizes': (100, 50), 'learning_rate_init': 0.005,  'solver': 'sgd'}</v>
      </c>
      <c r="E348">
        <f>_xlfn.RANK.EQ(B348,B$2:$B$479,0)</f>
        <v>333</v>
      </c>
      <c r="H348" s="40" t="s">
        <v>162</v>
      </c>
      <c r="I348" s="31">
        <v>0.73783143939393903</v>
      </c>
    </row>
    <row r="349" spans="1:9" x14ac:dyDescent="0.2">
      <c r="A349" t="s">
        <v>484</v>
      </c>
      <c r="B349" s="49">
        <v>0.73783143939393903</v>
      </c>
      <c r="C349" t="s">
        <v>62</v>
      </c>
      <c r="D349" t="str">
        <f>SUBSTITUTE(SUBSTITUTE(SUBSTITUTE(A349, "'max_iter': 500,", ""), "'max_iter': 1000,", ""), "'max_iter': 1500,", "")</f>
        <v>{'activation': 'relu', 'hidden_layer_sizes': (100, 50), 'learning_rate_init': 0.005,  'solver': 'sgd'}</v>
      </c>
      <c r="E349">
        <f>_xlfn.RANK.EQ(B349,B$2:$B$479,0)</f>
        <v>333</v>
      </c>
      <c r="H349" s="40" t="s">
        <v>338</v>
      </c>
      <c r="I349" s="31">
        <v>0.73783143939393903</v>
      </c>
    </row>
    <row r="350" spans="1:9" x14ac:dyDescent="0.2">
      <c r="A350" t="s">
        <v>338</v>
      </c>
      <c r="B350" s="49">
        <v>0.73783143939393903</v>
      </c>
      <c r="C350" t="s">
        <v>62</v>
      </c>
      <c r="D350" t="str">
        <f>SUBSTITUTE(SUBSTITUTE(SUBSTITUTE(A350, "'max_iter': 500,", ""), "'max_iter': 1000,", ""), "'max_iter': 1500,", "")</f>
        <v>{'activation': 'relu', 'hidden_layer_sizes': (100, 50), 'learning_rate_init': 0.01,  'solver': 'sgd'}</v>
      </c>
      <c r="E350">
        <f>_xlfn.RANK.EQ(B350,B$2:$B$479,0)</f>
        <v>333</v>
      </c>
      <c r="H350" s="40" t="s">
        <v>450</v>
      </c>
      <c r="I350" s="31">
        <v>0.73783143939393903</v>
      </c>
    </row>
    <row r="351" spans="1:9" x14ac:dyDescent="0.2">
      <c r="A351" t="s">
        <v>106</v>
      </c>
      <c r="B351" s="49">
        <v>0.73783143939393903</v>
      </c>
      <c r="C351" t="s">
        <v>62</v>
      </c>
      <c r="D351" t="str">
        <f>SUBSTITUTE(SUBSTITUTE(SUBSTITUTE(A351, "'max_iter': 500,", ""), "'max_iter': 1000,", ""), "'max_iter': 1500,", "")</f>
        <v>{'activation': 'relu', 'hidden_layer_sizes': (100, 50), 'learning_rate_init': 0.01,  'solver': 'sgd'}</v>
      </c>
      <c r="E351">
        <f>_xlfn.RANK.EQ(B351,B$2:$B$479,0)</f>
        <v>333</v>
      </c>
      <c r="H351" s="40" t="s">
        <v>350</v>
      </c>
      <c r="I351" s="31">
        <v>0.73783143939393903</v>
      </c>
    </row>
    <row r="352" spans="1:9" x14ac:dyDescent="0.2">
      <c r="A352" t="s">
        <v>337</v>
      </c>
      <c r="B352" s="49">
        <v>0.73783143939393903</v>
      </c>
      <c r="C352" t="s">
        <v>62</v>
      </c>
      <c r="D352" t="str">
        <f>SUBSTITUTE(SUBSTITUTE(SUBSTITUTE(A352, "'max_iter': 500,", ""), "'max_iter': 1000,", ""), "'max_iter': 1500,", "")</f>
        <v>{'activation': 'relu', 'hidden_layer_sizes': (100, 50), 'learning_rate_init': 0.01,  'solver': 'sgd'}</v>
      </c>
      <c r="E352">
        <f>_xlfn.RANK.EQ(B352,B$2:$B$479,0)</f>
        <v>333</v>
      </c>
      <c r="H352" s="40" t="s">
        <v>407</v>
      </c>
      <c r="I352" s="31">
        <v>0.73783143939393903</v>
      </c>
    </row>
    <row r="353" spans="1:9" x14ac:dyDescent="0.2">
      <c r="A353" t="s">
        <v>348</v>
      </c>
      <c r="B353" s="49">
        <v>0.73783143939393903</v>
      </c>
      <c r="C353" t="s">
        <v>62</v>
      </c>
      <c r="D353" t="str">
        <f>SUBSTITUTE(SUBSTITUTE(SUBSTITUTE(A353, "'max_iter': 500,", ""), "'max_iter': 1000,", ""), "'max_iter': 1500,", "")</f>
        <v>{'activation': 'relu', 'hidden_layer_sizes': 50, 'learning_rate_init': 0.005,  'solver': 'adam'}</v>
      </c>
      <c r="E353">
        <f>_xlfn.RANK.EQ(B353,B$2:$B$479,0)</f>
        <v>333</v>
      </c>
      <c r="H353" s="40" t="s">
        <v>106</v>
      </c>
      <c r="I353" s="31">
        <v>0.73783143939393903</v>
      </c>
    </row>
    <row r="354" spans="1:9" x14ac:dyDescent="0.2">
      <c r="A354" t="s">
        <v>112</v>
      </c>
      <c r="B354" s="49">
        <v>0.73783143939393903</v>
      </c>
      <c r="C354" t="s">
        <v>62</v>
      </c>
      <c r="D354" t="str">
        <f>SUBSTITUTE(SUBSTITUTE(SUBSTITUTE(A354, "'max_iter': 500,", ""), "'max_iter': 1000,", ""), "'max_iter': 1500,", "")</f>
        <v>{'activation': 'relu', 'hidden_layer_sizes': 50, 'learning_rate_init': 0.005,  'solver': 'adam'}</v>
      </c>
      <c r="E354">
        <f>_xlfn.RANK.EQ(B354,B$2:$B$479,0)</f>
        <v>333</v>
      </c>
      <c r="H354" s="40" t="s">
        <v>409</v>
      </c>
      <c r="I354" s="31">
        <v>0.73783143939393903</v>
      </c>
    </row>
    <row r="355" spans="1:9" x14ac:dyDescent="0.2">
      <c r="A355" t="s">
        <v>350</v>
      </c>
      <c r="B355" s="49">
        <v>0.73783143939393903</v>
      </c>
      <c r="C355" t="s">
        <v>62</v>
      </c>
      <c r="D355" t="str">
        <f>SUBSTITUTE(SUBSTITUTE(SUBSTITUTE(A355, "'max_iter': 500,", ""), "'max_iter': 1000,", ""), "'max_iter': 1500,", "")</f>
        <v>{'activation': 'relu', 'hidden_layer_sizes': 50, 'learning_rate_init': 0.005,  'solver': 'adam'}</v>
      </c>
      <c r="E355">
        <f>_xlfn.RANK.EQ(B355,B$2:$B$479,0)</f>
        <v>333</v>
      </c>
      <c r="H355" s="40" t="s">
        <v>337</v>
      </c>
      <c r="I355" s="31">
        <v>0.73783143939393903</v>
      </c>
    </row>
    <row r="356" spans="1:9" x14ac:dyDescent="0.2">
      <c r="A356" t="s">
        <v>446</v>
      </c>
      <c r="B356" s="49">
        <v>0.73783143939393903</v>
      </c>
      <c r="C356" t="s">
        <v>62</v>
      </c>
      <c r="D356" t="str">
        <f>SUBSTITUTE(SUBSTITUTE(SUBSTITUTE(A356, "'max_iter': 500,", ""), "'max_iter': 1000,", ""), "'max_iter': 1500,", "")</f>
        <v>{'activation': 'tanh', 'hidden_layer_sizes': 100, 'learning_rate_init': 0.005,  'solver': 'adam'}</v>
      </c>
      <c r="E356">
        <f>_xlfn.RANK.EQ(B356,B$2:$B$479,0)</f>
        <v>333</v>
      </c>
      <c r="H356" s="40" t="s">
        <v>405</v>
      </c>
      <c r="I356" s="31">
        <v>0.73783143939393903</v>
      </c>
    </row>
    <row r="357" spans="1:9" x14ac:dyDescent="0.2">
      <c r="A357" t="s">
        <v>162</v>
      </c>
      <c r="B357" s="49">
        <v>0.73783143939393903</v>
      </c>
      <c r="C357" t="s">
        <v>62</v>
      </c>
      <c r="D357" t="str">
        <f>SUBSTITUTE(SUBSTITUTE(SUBSTITUTE(A357, "'max_iter': 500,", ""), "'max_iter': 1000,", ""), "'max_iter': 1500,", "")</f>
        <v>{'activation': 'tanh', 'hidden_layer_sizes': 100, 'learning_rate_init': 0.005,  'solver': 'adam'}</v>
      </c>
      <c r="E357">
        <f>_xlfn.RANK.EQ(B357,B$2:$B$479,0)</f>
        <v>333</v>
      </c>
      <c r="H357" s="40" t="s">
        <v>370</v>
      </c>
      <c r="I357" s="31">
        <v>0.73783143939393903</v>
      </c>
    </row>
    <row r="358" spans="1:9" x14ac:dyDescent="0.2">
      <c r="A358" t="s">
        <v>450</v>
      </c>
      <c r="B358" s="49">
        <v>0.73783143939393903</v>
      </c>
      <c r="C358" t="s">
        <v>62</v>
      </c>
      <c r="D358" t="str">
        <f>SUBSTITUTE(SUBSTITUTE(SUBSTITUTE(A358, "'max_iter': 500,", ""), "'max_iter': 1000,", ""), "'max_iter': 1500,", "")</f>
        <v>{'activation': 'tanh', 'hidden_layer_sizes': 100, 'learning_rate_init': 0.005,  'solver': 'adam'}</v>
      </c>
      <c r="E358">
        <f>_xlfn.RANK.EQ(B358,B$2:$B$479,0)</f>
        <v>333</v>
      </c>
      <c r="H358" s="40" t="s">
        <v>159</v>
      </c>
      <c r="I358" s="31">
        <v>0.73783143939393903</v>
      </c>
    </row>
    <row r="359" spans="1:9" x14ac:dyDescent="0.2">
      <c r="A359" t="s">
        <v>434</v>
      </c>
      <c r="B359" s="49">
        <v>0.73783143939393903</v>
      </c>
      <c r="C359" t="s">
        <v>62</v>
      </c>
      <c r="D359" t="str">
        <f>SUBSTITUTE(SUBSTITUTE(SUBSTITUTE(A359, "'max_iter': 500,", ""), "'max_iter': 1000,", ""), "'max_iter': 1500,", "")</f>
        <v>{'activation': 'tanh', 'hidden_layer_sizes': 150, 'learning_rate_init': 0.005,  'solver': 'adam'}</v>
      </c>
      <c r="E359">
        <f>_xlfn.RANK.EQ(B359,B$2:$B$479,0)</f>
        <v>333</v>
      </c>
      <c r="H359" s="40" t="s">
        <v>439</v>
      </c>
      <c r="I359" s="31">
        <v>0.73783143939393903</v>
      </c>
    </row>
    <row r="360" spans="1:9" x14ac:dyDescent="0.2">
      <c r="A360" t="s">
        <v>159</v>
      </c>
      <c r="B360" s="49">
        <v>0.73783143939393903</v>
      </c>
      <c r="C360" t="s">
        <v>62</v>
      </c>
      <c r="D360" t="str">
        <f>SUBSTITUTE(SUBSTITUTE(SUBSTITUTE(A360, "'max_iter': 500,", ""), "'max_iter': 1000,", ""), "'max_iter': 1500,", "")</f>
        <v>{'activation': 'tanh', 'hidden_layer_sizes': 150, 'learning_rate_init': 0.005,  'solver': 'adam'}</v>
      </c>
      <c r="E360">
        <f>_xlfn.RANK.EQ(B360,B$2:$B$479,0)</f>
        <v>333</v>
      </c>
      <c r="H360" s="40" t="s">
        <v>144</v>
      </c>
      <c r="I360" s="31">
        <v>0.73783143939393903</v>
      </c>
    </row>
    <row r="361" spans="1:9" x14ac:dyDescent="0.2">
      <c r="A361" t="s">
        <v>436</v>
      </c>
      <c r="B361" s="49">
        <v>0.73783143939393903</v>
      </c>
      <c r="C361" t="s">
        <v>62</v>
      </c>
      <c r="D361" t="str">
        <f>SUBSTITUTE(SUBSTITUTE(SUBSTITUTE(A361, "'max_iter': 500,", ""), "'max_iter': 1000,", ""), "'max_iter': 1500,", "")</f>
        <v>{'activation': 'tanh', 'hidden_layer_sizes': 150, 'learning_rate_init': 0.005,  'solver': 'adam'}</v>
      </c>
      <c r="E361">
        <f>_xlfn.RANK.EQ(B361,B$2:$B$479,0)</f>
        <v>333</v>
      </c>
      <c r="H361" s="40" t="s">
        <v>122</v>
      </c>
      <c r="I361" s="31">
        <v>0.73783143939393903</v>
      </c>
    </row>
    <row r="362" spans="1:9" x14ac:dyDescent="0.2">
      <c r="A362" t="s">
        <v>236</v>
      </c>
      <c r="B362" s="49">
        <v>0.73783143939393903</v>
      </c>
      <c r="C362" t="s">
        <v>62</v>
      </c>
      <c r="D362" t="str">
        <f>SUBSTITUTE(SUBSTITUTE(SUBSTITUTE(A362, "'max_iter': 500,", ""), "'max_iter': 1000,", ""), "'max_iter': 1500,", "")</f>
        <v>{'activation': 'tanh', 'hidden_layer_sizes': 50, 'learning_rate_init': 0.005,  'solver': 'sgd'}</v>
      </c>
      <c r="E362">
        <f>_xlfn.RANK.EQ(B362,B$2:$B$479,0)</f>
        <v>333</v>
      </c>
      <c r="H362" s="40" t="s">
        <v>160</v>
      </c>
      <c r="I362" s="31">
        <v>0.73783143939393903</v>
      </c>
    </row>
    <row r="363" spans="1:9" x14ac:dyDescent="0.2">
      <c r="A363" t="s">
        <v>609</v>
      </c>
      <c r="B363" s="49">
        <v>0.73750000000000004</v>
      </c>
      <c r="C363" t="s">
        <v>62</v>
      </c>
      <c r="D363" t="str">
        <f>SUBSTITUTE(SUBSTITUTE(SUBSTITUTE(A363, "'max_iter': 500,", ""), "'max_iter': 1000,", ""), "'max_iter': 1500,", "")</f>
        <v>{'activation': 'identity', 'hidden_layer_sizes': (200, 100), 'learning_rate_init': 0.005,  'solver': 'adam'}</v>
      </c>
      <c r="E363">
        <f>_xlfn.RANK.EQ(B363,B$2:$B$479,0)</f>
        <v>362</v>
      </c>
      <c r="H363" s="40" t="s">
        <v>181</v>
      </c>
      <c r="I363" s="31">
        <v>0.73783143939393903</v>
      </c>
    </row>
    <row r="364" spans="1:9" x14ac:dyDescent="0.2">
      <c r="A364" t="s">
        <v>247</v>
      </c>
      <c r="B364" s="49">
        <v>0.73750000000000004</v>
      </c>
      <c r="C364" t="s">
        <v>62</v>
      </c>
      <c r="D364" t="str">
        <f>SUBSTITUTE(SUBSTITUTE(SUBSTITUTE(A364, "'max_iter': 500,", ""), "'max_iter': 1000,", ""), "'max_iter': 1500,", "")</f>
        <v>{'activation': 'identity', 'hidden_layer_sizes': (200, 100), 'learning_rate_init': 0.005,  'solver': 'adam'}</v>
      </c>
      <c r="E364">
        <f>_xlfn.RANK.EQ(B364,B$2:$B$479,0)</f>
        <v>362</v>
      </c>
      <c r="H364" s="40" t="s">
        <v>483</v>
      </c>
      <c r="I364" s="31">
        <v>0.73783143939393903</v>
      </c>
    </row>
    <row r="365" spans="1:9" x14ac:dyDescent="0.2">
      <c r="A365" t="s">
        <v>610</v>
      </c>
      <c r="B365" s="49">
        <v>0.73750000000000004</v>
      </c>
      <c r="C365" t="s">
        <v>62</v>
      </c>
      <c r="D365" t="str">
        <f>SUBSTITUTE(SUBSTITUTE(SUBSTITUTE(A365, "'max_iter': 500,", ""), "'max_iter': 1000,", ""), "'max_iter': 1500,", "")</f>
        <v>{'activation': 'identity', 'hidden_layer_sizes': (200, 100), 'learning_rate_init': 0.005,  'solver': 'adam'}</v>
      </c>
      <c r="E365">
        <f>_xlfn.RANK.EQ(B365,B$2:$B$479,0)</f>
        <v>362</v>
      </c>
      <c r="H365" s="40" t="s">
        <v>233</v>
      </c>
      <c r="I365" s="31">
        <v>0.73750000000000004</v>
      </c>
    </row>
    <row r="366" spans="1:9" x14ac:dyDescent="0.2">
      <c r="A366" t="s">
        <v>582</v>
      </c>
      <c r="B366" s="49">
        <v>0.73750000000000004</v>
      </c>
      <c r="C366" t="s">
        <v>62</v>
      </c>
      <c r="D366" t="str">
        <f>SUBSTITUTE(SUBSTITUTE(SUBSTITUTE(A366, "'max_iter': 500,", ""), "'max_iter': 1000,", ""), "'max_iter': 1500,", "")</f>
        <v>{'activation': 'relu', 'hidden_layer_sizes': 100, 'learning_rate_init': 0.001,  'solver': 'adam'}</v>
      </c>
      <c r="E366">
        <f>_xlfn.RANK.EQ(B366,B$2:$B$479,0)</f>
        <v>362</v>
      </c>
      <c r="H366" s="40" t="s">
        <v>582</v>
      </c>
      <c r="I366" s="31">
        <v>0.73750000000000004</v>
      </c>
    </row>
    <row r="367" spans="1:9" x14ac:dyDescent="0.2">
      <c r="A367" t="s">
        <v>233</v>
      </c>
      <c r="B367" s="49">
        <v>0.73750000000000004</v>
      </c>
      <c r="C367" t="s">
        <v>62</v>
      </c>
      <c r="D367" t="str">
        <f>SUBSTITUTE(SUBSTITUTE(SUBSTITUTE(A367, "'max_iter': 500,", ""), "'max_iter': 1000,", ""), "'max_iter': 1500,", "")</f>
        <v>{'activation': 'relu', 'hidden_layer_sizes': 100, 'learning_rate_init': 0.001,  'solver': 'adam'}</v>
      </c>
      <c r="E367">
        <f>_xlfn.RANK.EQ(B367,B$2:$B$479,0)</f>
        <v>362</v>
      </c>
      <c r="H367" s="40" t="s">
        <v>581</v>
      </c>
      <c r="I367" s="31">
        <v>0.73750000000000004</v>
      </c>
    </row>
    <row r="368" spans="1:9" x14ac:dyDescent="0.2">
      <c r="A368" t="s">
        <v>581</v>
      </c>
      <c r="B368" s="49">
        <v>0.73750000000000004</v>
      </c>
      <c r="C368" t="s">
        <v>62</v>
      </c>
      <c r="D368" t="str">
        <f>SUBSTITUTE(SUBSTITUTE(SUBSTITUTE(A368, "'max_iter': 500,", ""), "'max_iter': 1000,", ""), "'max_iter': 1500,", "")</f>
        <v>{'activation': 'relu', 'hidden_layer_sizes': 100, 'learning_rate_init': 0.001,  'solver': 'adam'}</v>
      </c>
      <c r="E368">
        <f>_xlfn.RANK.EQ(B368,B$2:$B$479,0)</f>
        <v>362</v>
      </c>
      <c r="H368" s="40" t="s">
        <v>609</v>
      </c>
      <c r="I368" s="31">
        <v>0.73750000000000004</v>
      </c>
    </row>
    <row r="369" spans="1:9" x14ac:dyDescent="0.2">
      <c r="A369" t="s">
        <v>458</v>
      </c>
      <c r="B369" s="49">
        <v>0.73708333333333298</v>
      </c>
      <c r="C369" t="s">
        <v>62</v>
      </c>
      <c r="D369" t="str">
        <f>SUBSTITUTE(SUBSTITUTE(SUBSTITUTE(A369, "'max_iter': 500,", ""), "'max_iter': 1000,", ""), "'max_iter': 1500,", "")</f>
        <v>{'activation': 'relu', 'hidden_layer_sizes': 50, 'learning_rate_init': 0.001,  'solver': 'adam'}</v>
      </c>
      <c r="E369">
        <f>_xlfn.RANK.EQ(B369,B$2:$B$479,0)</f>
        <v>368</v>
      </c>
      <c r="H369" s="40" t="s">
        <v>247</v>
      </c>
      <c r="I369" s="31">
        <v>0.73750000000000004</v>
      </c>
    </row>
    <row r="370" spans="1:9" x14ac:dyDescent="0.2">
      <c r="A370" t="s">
        <v>170</v>
      </c>
      <c r="B370" s="49">
        <v>0.73708333333333298</v>
      </c>
      <c r="C370" t="s">
        <v>62</v>
      </c>
      <c r="D370" t="str">
        <f>SUBSTITUTE(SUBSTITUTE(SUBSTITUTE(A370, "'max_iter': 500,", ""), "'max_iter': 1000,", ""), "'max_iter': 1500,", "")</f>
        <v>{'activation': 'relu', 'hidden_layer_sizes': 50, 'learning_rate_init': 0.001,  'solver': 'adam'}</v>
      </c>
      <c r="E370">
        <f>_xlfn.RANK.EQ(B370,B$2:$B$479,0)</f>
        <v>368</v>
      </c>
      <c r="H370" s="40" t="s">
        <v>610</v>
      </c>
      <c r="I370" s="31">
        <v>0.73750000000000004</v>
      </c>
    </row>
    <row r="371" spans="1:9" x14ac:dyDescent="0.2">
      <c r="A371" t="s">
        <v>457</v>
      </c>
      <c r="B371" s="49">
        <v>0.73708333333333298</v>
      </c>
      <c r="C371" t="s">
        <v>62</v>
      </c>
      <c r="D371" t="str">
        <f>SUBSTITUTE(SUBSTITUTE(SUBSTITUTE(A371, "'max_iter': 500,", ""), "'max_iter': 1000,", ""), "'max_iter': 1500,", "")</f>
        <v>{'activation': 'relu', 'hidden_layer_sizes': 50, 'learning_rate_init': 0.001,  'solver': 'adam'}</v>
      </c>
      <c r="E371">
        <f>_xlfn.RANK.EQ(B371,B$2:$B$479,0)</f>
        <v>368</v>
      </c>
      <c r="H371" s="40" t="s">
        <v>136</v>
      </c>
      <c r="I371" s="31">
        <v>0.73708333333333298</v>
      </c>
    </row>
    <row r="372" spans="1:9" x14ac:dyDescent="0.2">
      <c r="A372" t="s">
        <v>390</v>
      </c>
      <c r="B372" s="49">
        <v>0.73708333333333298</v>
      </c>
      <c r="C372" t="s">
        <v>62</v>
      </c>
      <c r="D372" t="str">
        <f>SUBSTITUTE(SUBSTITUTE(SUBSTITUTE(A372, "'max_iter': 500,", ""), "'max_iter': 1000,", ""), "'max_iter': 1500,", "")</f>
        <v>{'activation': 'tanh', 'hidden_layer_sizes': 50, 'learning_rate_init': 0.005,  'solver': 'adam'}</v>
      </c>
      <c r="E372">
        <f>_xlfn.RANK.EQ(B372,B$2:$B$479,0)</f>
        <v>368</v>
      </c>
      <c r="H372" s="40" t="s">
        <v>391</v>
      </c>
      <c r="I372" s="31">
        <v>0.73708333333333298</v>
      </c>
    </row>
    <row r="373" spans="1:9" x14ac:dyDescent="0.2">
      <c r="A373" t="s">
        <v>136</v>
      </c>
      <c r="B373" s="49">
        <v>0.73708333333333298</v>
      </c>
      <c r="C373" t="s">
        <v>62</v>
      </c>
      <c r="D373" t="str">
        <f>SUBSTITUTE(SUBSTITUTE(SUBSTITUTE(A373, "'max_iter': 500,", ""), "'max_iter': 1000,", ""), "'max_iter': 1500,", "")</f>
        <v>{'activation': 'tanh', 'hidden_layer_sizes': 50, 'learning_rate_init': 0.005,  'solver': 'adam'}</v>
      </c>
      <c r="E373">
        <f>_xlfn.RANK.EQ(B373,B$2:$B$479,0)</f>
        <v>368</v>
      </c>
      <c r="H373" s="40" t="s">
        <v>390</v>
      </c>
      <c r="I373" s="31">
        <v>0.73708333333333298</v>
      </c>
    </row>
    <row r="374" spans="1:9" x14ac:dyDescent="0.2">
      <c r="A374" t="s">
        <v>391</v>
      </c>
      <c r="B374" s="49">
        <v>0.73708333333333298</v>
      </c>
      <c r="C374" t="s">
        <v>62</v>
      </c>
      <c r="D374" t="str">
        <f>SUBSTITUTE(SUBSTITUTE(SUBSTITUTE(A374, "'max_iter': 500,", ""), "'max_iter': 1000,", ""), "'max_iter': 1500,", "")</f>
        <v>{'activation': 'tanh', 'hidden_layer_sizes': 50, 'learning_rate_init': 0.005,  'solver': 'adam'}</v>
      </c>
      <c r="E374">
        <f>_xlfn.RANK.EQ(B374,B$2:$B$479,0)</f>
        <v>368</v>
      </c>
      <c r="H374" s="40" t="s">
        <v>170</v>
      </c>
      <c r="I374" s="31">
        <v>0.73708333333333298</v>
      </c>
    </row>
    <row r="375" spans="1:9" x14ac:dyDescent="0.2">
      <c r="A375" t="s">
        <v>282</v>
      </c>
      <c r="B375" s="49">
        <v>0.73364741418955604</v>
      </c>
      <c r="C375" t="s">
        <v>62</v>
      </c>
      <c r="D375" t="str">
        <f>SUBSTITUTE(SUBSTITUTE(SUBSTITUTE(A375, "'max_iter': 500,", ""), "'max_iter': 1000,", ""), "'max_iter': 1500,", "")</f>
        <v>{'activation': 'identity', 'hidden_layer_sizes': (150, 75), 'learning_rate_init': 0.01,  'solver': 'adam'}</v>
      </c>
      <c r="E375">
        <f>_xlfn.RANK.EQ(B375,B$2:$B$479,0)</f>
        <v>374</v>
      </c>
      <c r="H375" s="40" t="s">
        <v>457</v>
      </c>
      <c r="I375" s="31">
        <v>0.73708333333333298</v>
      </c>
    </row>
    <row r="376" spans="1:9" x14ac:dyDescent="0.2">
      <c r="A376" t="s">
        <v>77</v>
      </c>
      <c r="B376" s="49">
        <v>0.73364741418955604</v>
      </c>
      <c r="C376" t="s">
        <v>62</v>
      </c>
      <c r="D376" t="str">
        <f>SUBSTITUTE(SUBSTITUTE(SUBSTITUTE(A376, "'max_iter': 500,", ""), "'max_iter': 1000,", ""), "'max_iter': 1500,", "")</f>
        <v>{'activation': 'identity', 'hidden_layer_sizes': (150, 75), 'learning_rate_init': 0.01,  'solver': 'adam'}</v>
      </c>
      <c r="E376">
        <f>_xlfn.RANK.EQ(B376,B$2:$B$479,0)</f>
        <v>374</v>
      </c>
      <c r="H376" s="40" t="s">
        <v>458</v>
      </c>
      <c r="I376" s="31">
        <v>0.73708333333333298</v>
      </c>
    </row>
    <row r="377" spans="1:9" x14ac:dyDescent="0.2">
      <c r="A377" t="s">
        <v>281</v>
      </c>
      <c r="B377" s="49">
        <v>0.73364741418955604</v>
      </c>
      <c r="C377" t="s">
        <v>62</v>
      </c>
      <c r="D377" t="str">
        <f>SUBSTITUTE(SUBSTITUTE(SUBSTITUTE(A377, "'max_iter': 500,", ""), "'max_iter': 1000,", ""), "'max_iter': 1500,", "")</f>
        <v>{'activation': 'identity', 'hidden_layer_sizes': (150, 75), 'learning_rate_init': 0.01,  'solver': 'adam'}</v>
      </c>
      <c r="E377">
        <f>_xlfn.RANK.EQ(B377,B$2:$B$479,0)</f>
        <v>374</v>
      </c>
      <c r="H377" s="40" t="s">
        <v>282</v>
      </c>
      <c r="I377" s="31">
        <v>0.73364741418955604</v>
      </c>
    </row>
    <row r="378" spans="1:9" x14ac:dyDescent="0.2">
      <c r="A378" t="s">
        <v>419</v>
      </c>
      <c r="B378" s="49">
        <v>0.73271484374999996</v>
      </c>
      <c r="C378" t="s">
        <v>62</v>
      </c>
      <c r="D378" t="str">
        <f>SUBSTITUTE(SUBSTITUTE(SUBSTITUTE(A378, "'max_iter': 500,", ""), "'max_iter': 1000,", ""), "'max_iter': 1500,", "")</f>
        <v>{'activation': 'tanh', 'hidden_layer_sizes': (200, 75, 25), 'learning_rate_init': 0.005,  'solver': 'adam'}</v>
      </c>
      <c r="E378">
        <f>_xlfn.RANK.EQ(B378,B$2:$B$479,0)</f>
        <v>377</v>
      </c>
      <c r="H378" s="40" t="s">
        <v>77</v>
      </c>
      <c r="I378" s="31">
        <v>0.73364741418955604</v>
      </c>
    </row>
    <row r="379" spans="1:9" x14ac:dyDescent="0.2">
      <c r="A379" t="s">
        <v>153</v>
      </c>
      <c r="B379" s="49">
        <v>0.73271484374999996</v>
      </c>
      <c r="C379" t="s">
        <v>62</v>
      </c>
      <c r="D379" t="str">
        <f>SUBSTITUTE(SUBSTITUTE(SUBSTITUTE(A379, "'max_iter': 500,", ""), "'max_iter': 1000,", ""), "'max_iter': 1500,", "")</f>
        <v>{'activation': 'tanh', 'hidden_layer_sizes': (200, 75, 25), 'learning_rate_init': 0.005,  'solver': 'adam'}</v>
      </c>
      <c r="E379">
        <f>_xlfn.RANK.EQ(B379,B$2:$B$479,0)</f>
        <v>377</v>
      </c>
      <c r="H379" s="40" t="s">
        <v>281</v>
      </c>
      <c r="I379" s="31">
        <v>0.73364741418955604</v>
      </c>
    </row>
    <row r="380" spans="1:9" x14ac:dyDescent="0.2">
      <c r="A380" t="s">
        <v>418</v>
      </c>
      <c r="B380" s="49">
        <v>0.73271484374999996</v>
      </c>
      <c r="C380" t="s">
        <v>62</v>
      </c>
      <c r="D380" t="str">
        <f>SUBSTITUTE(SUBSTITUTE(SUBSTITUTE(A380, "'max_iter': 500,", ""), "'max_iter': 1000,", ""), "'max_iter': 1500,", "")</f>
        <v>{'activation': 'tanh', 'hidden_layer_sizes': (200, 75, 25), 'learning_rate_init': 0.005,  'solver': 'adam'}</v>
      </c>
      <c r="E380">
        <f>_xlfn.RANK.EQ(B380,B$2:$B$479,0)</f>
        <v>377</v>
      </c>
      <c r="H380" s="40" t="s">
        <v>419</v>
      </c>
      <c r="I380" s="31">
        <v>0.73271484374999996</v>
      </c>
    </row>
    <row r="381" spans="1:9" x14ac:dyDescent="0.2">
      <c r="A381" t="s">
        <v>526</v>
      </c>
      <c r="B381" s="49">
        <v>0.73172660098522102</v>
      </c>
      <c r="C381" t="s">
        <v>62</v>
      </c>
      <c r="D381" t="str">
        <f>SUBSTITUTE(SUBSTITUTE(SUBSTITUTE(A381, "'max_iter': 500,", ""), "'max_iter': 1000,", ""), "'max_iter': 1500,", "")</f>
        <v>{'activation': 'identity', 'hidden_layer_sizes': 100, 'learning_rate_init': 0.001,  'solver': 'adam'}</v>
      </c>
      <c r="E381">
        <f>_xlfn.RANK.EQ(B381,B$2:$B$479,0)</f>
        <v>380</v>
      </c>
      <c r="H381" s="40" t="s">
        <v>418</v>
      </c>
      <c r="I381" s="31">
        <v>0.73271484374999996</v>
      </c>
    </row>
    <row r="382" spans="1:9" x14ac:dyDescent="0.2">
      <c r="A382" t="s">
        <v>201</v>
      </c>
      <c r="B382" s="49">
        <v>0.73172660098522102</v>
      </c>
      <c r="C382" t="s">
        <v>62</v>
      </c>
      <c r="D382" t="str">
        <f>SUBSTITUTE(SUBSTITUTE(SUBSTITUTE(A382, "'max_iter': 500,", ""), "'max_iter': 1000,", ""), "'max_iter': 1500,", "")</f>
        <v>{'activation': 'identity', 'hidden_layer_sizes': 100, 'learning_rate_init': 0.001,  'solver': 'adam'}</v>
      </c>
      <c r="E382">
        <f>_xlfn.RANK.EQ(B382,B$2:$B$479,0)</f>
        <v>380</v>
      </c>
      <c r="H382" s="40" t="s">
        <v>153</v>
      </c>
      <c r="I382" s="31">
        <v>0.73271484374999996</v>
      </c>
    </row>
    <row r="383" spans="1:9" x14ac:dyDescent="0.2">
      <c r="A383" t="s">
        <v>520</v>
      </c>
      <c r="B383" s="49">
        <v>0.73172660098522102</v>
      </c>
      <c r="C383" t="s">
        <v>62</v>
      </c>
      <c r="D383" t="str">
        <f>SUBSTITUTE(SUBSTITUTE(SUBSTITUTE(A383, "'max_iter': 500,", ""), "'max_iter': 1000,", ""), "'max_iter': 1500,", "")</f>
        <v>{'activation': 'identity', 'hidden_layer_sizes': 100, 'learning_rate_init': 0.001,  'solver': 'adam'}</v>
      </c>
      <c r="E383">
        <f>_xlfn.RANK.EQ(B383,B$2:$B$479,0)</f>
        <v>380</v>
      </c>
      <c r="H383" s="40" t="s">
        <v>526</v>
      </c>
      <c r="I383" s="31">
        <v>0.73172660098522102</v>
      </c>
    </row>
    <row r="384" spans="1:9" x14ac:dyDescent="0.2">
      <c r="A384" t="s">
        <v>287</v>
      </c>
      <c r="B384" s="49">
        <v>0.73143050452372405</v>
      </c>
      <c r="C384" t="s">
        <v>62</v>
      </c>
      <c r="D384" t="str">
        <f>SUBSTITUTE(SUBSTITUTE(SUBSTITUTE(A384, "'max_iter': 500,", ""), "'max_iter': 1000,", ""), "'max_iter': 1500,", "")</f>
        <v>{'activation': 'identity', 'hidden_layer_sizes': 150, 'learning_rate_init': 0.005,  'solver': 'adam'}</v>
      </c>
      <c r="E384">
        <f>_xlfn.RANK.EQ(B384,B$2:$B$479,0)</f>
        <v>383</v>
      </c>
      <c r="H384" s="40" t="s">
        <v>201</v>
      </c>
      <c r="I384" s="31">
        <v>0.73172660098522102</v>
      </c>
    </row>
    <row r="385" spans="1:9" x14ac:dyDescent="0.2">
      <c r="A385" t="s">
        <v>81</v>
      </c>
      <c r="B385" s="49">
        <v>0.73143050452372405</v>
      </c>
      <c r="C385" t="s">
        <v>62</v>
      </c>
      <c r="D385" t="str">
        <f>SUBSTITUTE(SUBSTITUTE(SUBSTITUTE(A385, "'max_iter': 500,", ""), "'max_iter': 1000,", ""), "'max_iter': 1500,", "")</f>
        <v>{'activation': 'identity', 'hidden_layer_sizes': 150, 'learning_rate_init': 0.005,  'solver': 'adam'}</v>
      </c>
      <c r="E385">
        <f>_xlfn.RANK.EQ(B385,B$2:$B$479,0)</f>
        <v>383</v>
      </c>
      <c r="H385" s="40" t="s">
        <v>520</v>
      </c>
      <c r="I385" s="31">
        <v>0.73172660098522102</v>
      </c>
    </row>
    <row r="386" spans="1:9" x14ac:dyDescent="0.2">
      <c r="A386" t="s">
        <v>289</v>
      </c>
      <c r="B386" s="49">
        <v>0.73143050452372405</v>
      </c>
      <c r="C386" t="s">
        <v>62</v>
      </c>
      <c r="D386" t="str">
        <f>SUBSTITUTE(SUBSTITUTE(SUBSTITUTE(A386, "'max_iter': 500,", ""), "'max_iter': 1000,", ""), "'max_iter': 1500,", "")</f>
        <v>{'activation': 'identity', 'hidden_layer_sizes': 150, 'learning_rate_init': 0.005,  'solver': 'adam'}</v>
      </c>
      <c r="E386">
        <f>_xlfn.RANK.EQ(B386,B$2:$B$479,0)</f>
        <v>383</v>
      </c>
      <c r="H386" s="40" t="s">
        <v>287</v>
      </c>
      <c r="I386" s="31">
        <v>0.73143050452372405</v>
      </c>
    </row>
    <row r="387" spans="1:9" x14ac:dyDescent="0.2">
      <c r="A387" t="s">
        <v>479</v>
      </c>
      <c r="B387" s="49">
        <v>0.73104768413962495</v>
      </c>
      <c r="C387" t="s">
        <v>62</v>
      </c>
      <c r="D387" t="str">
        <f>SUBSTITUTE(SUBSTITUTE(SUBSTITUTE(A387, "'max_iter': 500,", ""), "'max_iter': 1000,", ""), "'max_iter': 1500,", "")</f>
        <v>{'activation': 'logistic', 'hidden_layer_sizes': 50, 'learning_rate_init': 0.01,  'solver': 'adam'}</v>
      </c>
      <c r="E387">
        <f>_xlfn.RANK.EQ(B387,B$2:$B$479,0)</f>
        <v>386</v>
      </c>
      <c r="H387" s="40" t="s">
        <v>81</v>
      </c>
      <c r="I387" s="31">
        <v>0.73143050452372405</v>
      </c>
    </row>
    <row r="388" spans="1:9" x14ac:dyDescent="0.2">
      <c r="A388" t="s">
        <v>185</v>
      </c>
      <c r="B388" s="49">
        <v>0.73104768413962495</v>
      </c>
      <c r="C388" t="s">
        <v>62</v>
      </c>
      <c r="D388" t="str">
        <f>SUBSTITUTE(SUBSTITUTE(SUBSTITUTE(A388, "'max_iter': 500,", ""), "'max_iter': 1000,", ""), "'max_iter': 1500,", "")</f>
        <v>{'activation': 'logistic', 'hidden_layer_sizes': 50, 'learning_rate_init': 0.01,  'solver': 'adam'}</v>
      </c>
      <c r="E388">
        <f>_xlfn.RANK.EQ(B388,B$2:$B$479,0)</f>
        <v>386</v>
      </c>
      <c r="H388" s="40" t="s">
        <v>289</v>
      </c>
      <c r="I388" s="31">
        <v>0.73143050452372405</v>
      </c>
    </row>
    <row r="389" spans="1:9" x14ac:dyDescent="0.2">
      <c r="A389" t="s">
        <v>480</v>
      </c>
      <c r="B389" s="49">
        <v>0.73104768413962495</v>
      </c>
      <c r="C389" t="s">
        <v>62</v>
      </c>
      <c r="D389" t="str">
        <f>SUBSTITUTE(SUBSTITUTE(SUBSTITUTE(A389, "'max_iter': 500,", ""), "'max_iter': 1000,", ""), "'max_iter': 1500,", "")</f>
        <v>{'activation': 'logistic', 'hidden_layer_sizes': 50, 'learning_rate_init': 0.01,  'solver': 'adam'}</v>
      </c>
      <c r="E389">
        <f>_xlfn.RANK.EQ(B389,B$2:$B$479,0)</f>
        <v>386</v>
      </c>
      <c r="H389" s="40" t="s">
        <v>213</v>
      </c>
      <c r="I389" s="31">
        <v>0.73104768413962495</v>
      </c>
    </row>
    <row r="390" spans="1:9" x14ac:dyDescent="0.2">
      <c r="A390" t="s">
        <v>540</v>
      </c>
      <c r="B390" s="49">
        <v>0.73104768413962495</v>
      </c>
      <c r="C390" t="s">
        <v>62</v>
      </c>
      <c r="D390" t="str">
        <f>SUBSTITUTE(SUBSTITUTE(SUBSTITUTE(A390, "'max_iter': 500,", ""), "'max_iter': 1000,", ""), "'max_iter': 1500,", "")</f>
        <v>{'activation': 'relu', 'hidden_layer_sizes': 100, 'learning_rate_init': 0.005,  'solver': 'adam'}</v>
      </c>
      <c r="E390">
        <f>_xlfn.RANK.EQ(B390,B$2:$B$479,0)</f>
        <v>386</v>
      </c>
      <c r="H390" s="40" t="s">
        <v>607</v>
      </c>
      <c r="I390" s="31">
        <v>0.73104768413962495</v>
      </c>
    </row>
    <row r="391" spans="1:9" x14ac:dyDescent="0.2">
      <c r="A391" t="s">
        <v>213</v>
      </c>
      <c r="B391" s="49">
        <v>0.73104768413962495</v>
      </c>
      <c r="C391" t="s">
        <v>62</v>
      </c>
      <c r="D391" t="str">
        <f>SUBSTITUTE(SUBSTITUTE(SUBSTITUTE(A391, "'max_iter': 500,", ""), "'max_iter': 1000,", ""), "'max_iter': 1500,", "")</f>
        <v>{'activation': 'relu', 'hidden_layer_sizes': 100, 'learning_rate_init': 0.005,  'solver': 'adam'}</v>
      </c>
      <c r="E391">
        <f>_xlfn.RANK.EQ(B391,B$2:$B$479,0)</f>
        <v>386</v>
      </c>
      <c r="H391" s="40" t="s">
        <v>246</v>
      </c>
      <c r="I391" s="31">
        <v>0.73104768413962495</v>
      </c>
    </row>
    <row r="392" spans="1:9" x14ac:dyDescent="0.2">
      <c r="A392" t="s">
        <v>545</v>
      </c>
      <c r="B392" s="49">
        <v>0.73104768413962495</v>
      </c>
      <c r="C392" t="s">
        <v>62</v>
      </c>
      <c r="D392" t="str">
        <f>SUBSTITUTE(SUBSTITUTE(SUBSTITUTE(A392, "'max_iter': 500,", ""), "'max_iter': 1000,", ""), "'max_iter': 1500,", "")</f>
        <v>{'activation': 'relu', 'hidden_layer_sizes': 100, 'learning_rate_init': 0.005,  'solver': 'adam'}</v>
      </c>
      <c r="E392">
        <f>_xlfn.RANK.EQ(B392,B$2:$B$479,0)</f>
        <v>386</v>
      </c>
      <c r="H392" s="40" t="s">
        <v>545</v>
      </c>
      <c r="I392" s="31">
        <v>0.73104768413962495</v>
      </c>
    </row>
    <row r="393" spans="1:9" x14ac:dyDescent="0.2">
      <c r="A393" t="s">
        <v>608</v>
      </c>
      <c r="B393" s="49">
        <v>0.73104768413962495</v>
      </c>
      <c r="C393" t="s">
        <v>62</v>
      </c>
      <c r="D393" t="str">
        <f>SUBSTITUTE(SUBSTITUTE(SUBSTITUTE(A393, "'max_iter': 500,", ""), "'max_iter': 1000,", ""), "'max_iter': 1500,", "")</f>
        <v>{'activation': 'tanh', 'hidden_layer_sizes': (150, 75), 'learning_rate_init': 0.005,  'solver': 'adam'}</v>
      </c>
      <c r="E393">
        <f>_xlfn.RANK.EQ(B393,B$2:$B$479,0)</f>
        <v>386</v>
      </c>
      <c r="H393" s="40" t="s">
        <v>540</v>
      </c>
      <c r="I393" s="31">
        <v>0.73104768413962495</v>
      </c>
    </row>
    <row r="394" spans="1:9" x14ac:dyDescent="0.2">
      <c r="A394" t="s">
        <v>246</v>
      </c>
      <c r="B394" s="49">
        <v>0.73104768413962495</v>
      </c>
      <c r="C394" t="s">
        <v>62</v>
      </c>
      <c r="D394" t="str">
        <f>SUBSTITUTE(SUBSTITUTE(SUBSTITUTE(A394, "'max_iter': 500,", ""), "'max_iter': 1000,", ""), "'max_iter': 1500,", "")</f>
        <v>{'activation': 'tanh', 'hidden_layer_sizes': (150, 75), 'learning_rate_init': 0.005,  'solver': 'adam'}</v>
      </c>
      <c r="E394">
        <f>_xlfn.RANK.EQ(B394,B$2:$B$479,0)</f>
        <v>386</v>
      </c>
      <c r="H394" s="40" t="s">
        <v>185</v>
      </c>
      <c r="I394" s="31">
        <v>0.73104768413962495</v>
      </c>
    </row>
    <row r="395" spans="1:9" x14ac:dyDescent="0.2">
      <c r="A395" t="s">
        <v>607</v>
      </c>
      <c r="B395" s="49">
        <v>0.73104768413962495</v>
      </c>
      <c r="C395" t="s">
        <v>62</v>
      </c>
      <c r="D395" t="str">
        <f>SUBSTITUTE(SUBSTITUTE(SUBSTITUTE(A395, "'max_iter': 500,", ""), "'max_iter': 1000,", ""), "'max_iter': 1500,", "")</f>
        <v>{'activation': 'tanh', 'hidden_layer_sizes': (150, 75), 'learning_rate_init': 0.005,  'solver': 'adam'}</v>
      </c>
      <c r="E395">
        <f>_xlfn.RANK.EQ(B395,B$2:$B$479,0)</f>
        <v>386</v>
      </c>
      <c r="H395" s="40" t="s">
        <v>608</v>
      </c>
      <c r="I395" s="31">
        <v>0.73104768413962495</v>
      </c>
    </row>
    <row r="396" spans="1:9" x14ac:dyDescent="0.2">
      <c r="A396" t="s">
        <v>453</v>
      </c>
      <c r="B396" s="49">
        <v>0.73057703008863595</v>
      </c>
      <c r="C396" t="s">
        <v>62</v>
      </c>
      <c r="D396" t="str">
        <f>SUBSTITUTE(SUBSTITUTE(SUBSTITUTE(A396, "'max_iter': 500,", ""), "'max_iter': 1000,", ""), "'max_iter': 1500,", "")</f>
        <v>{'activation': 'tanh', 'hidden_layer_sizes': 50, 'learning_rate_init': 0.01,  'solver': 'adam'}</v>
      </c>
      <c r="E396">
        <f>_xlfn.RANK.EQ(B396,B$2:$B$479,0)</f>
        <v>395</v>
      </c>
      <c r="H396" s="40" t="s">
        <v>480</v>
      </c>
      <c r="I396" s="31">
        <v>0.73104768413962495</v>
      </c>
    </row>
    <row r="397" spans="1:9" x14ac:dyDescent="0.2">
      <c r="A397" t="s">
        <v>168</v>
      </c>
      <c r="B397" s="49">
        <v>0.73057703008863595</v>
      </c>
      <c r="C397" t="s">
        <v>62</v>
      </c>
      <c r="D397" t="str">
        <f>SUBSTITUTE(SUBSTITUTE(SUBSTITUTE(A397, "'max_iter': 500,", ""), "'max_iter': 1000,", ""), "'max_iter': 1500,", "")</f>
        <v>{'activation': 'tanh', 'hidden_layer_sizes': 50, 'learning_rate_init': 0.01,  'solver': 'adam'}</v>
      </c>
      <c r="E397">
        <f>_xlfn.RANK.EQ(B397,B$2:$B$479,0)</f>
        <v>395</v>
      </c>
      <c r="H397" s="40" t="s">
        <v>479</v>
      </c>
      <c r="I397" s="31">
        <v>0.73104768413962495</v>
      </c>
    </row>
    <row r="398" spans="1:9" x14ac:dyDescent="0.2">
      <c r="A398" t="s">
        <v>452</v>
      </c>
      <c r="B398" s="49">
        <v>0.73057703008863595</v>
      </c>
      <c r="C398" t="s">
        <v>62</v>
      </c>
      <c r="D398" t="str">
        <f>SUBSTITUTE(SUBSTITUTE(SUBSTITUTE(A398, "'max_iter': 500,", ""), "'max_iter': 1000,", ""), "'max_iter': 1500,", "")</f>
        <v>{'activation': 'tanh', 'hidden_layer_sizes': 50, 'learning_rate_init': 0.01,  'solver': 'adam'}</v>
      </c>
      <c r="E398">
        <f>_xlfn.RANK.EQ(B398,B$2:$B$479,0)</f>
        <v>395</v>
      </c>
      <c r="H398" s="40" t="s">
        <v>453</v>
      </c>
      <c r="I398" s="31">
        <v>0.73057703008863595</v>
      </c>
    </row>
    <row r="399" spans="1:9" x14ac:dyDescent="0.2">
      <c r="A399" t="s">
        <v>519</v>
      </c>
      <c r="B399" s="49">
        <v>0.73054347826086896</v>
      </c>
      <c r="C399" t="s">
        <v>62</v>
      </c>
      <c r="D399" t="str">
        <f>SUBSTITUTE(SUBSTITUTE(SUBSTITUTE(A399, "'max_iter': 500,", ""), "'max_iter': 1000,", ""), "'max_iter': 1500,", "")</f>
        <v>{'activation': 'identity', 'hidden_layer_sizes': 50, 'learning_rate_init': 0.005,  'solver': 'adam'}</v>
      </c>
      <c r="E399">
        <f>_xlfn.RANK.EQ(B399,B$2:$B$479,0)</f>
        <v>398</v>
      </c>
      <c r="H399" s="40" t="s">
        <v>452</v>
      </c>
      <c r="I399" s="31">
        <v>0.73057703008863595</v>
      </c>
    </row>
    <row r="400" spans="1:9" x14ac:dyDescent="0.2">
      <c r="A400" t="s">
        <v>199</v>
      </c>
      <c r="B400" s="49">
        <v>0.73054347826086896</v>
      </c>
      <c r="C400" t="s">
        <v>62</v>
      </c>
      <c r="D400" t="str">
        <f>SUBSTITUTE(SUBSTITUTE(SUBSTITUTE(A400, "'max_iter': 500,", ""), "'max_iter': 1000,", ""), "'max_iter': 1500,", "")</f>
        <v>{'activation': 'identity', 'hidden_layer_sizes': 50, 'learning_rate_init': 0.005,  'solver': 'adam'}</v>
      </c>
      <c r="E400">
        <f>_xlfn.RANK.EQ(B400,B$2:$B$479,0)</f>
        <v>398</v>
      </c>
      <c r="H400" s="40" t="s">
        <v>168</v>
      </c>
      <c r="I400" s="31">
        <v>0.73057703008863595</v>
      </c>
    </row>
    <row r="401" spans="1:9" x14ac:dyDescent="0.2">
      <c r="A401" t="s">
        <v>517</v>
      </c>
      <c r="B401" s="49">
        <v>0.73054347826086896</v>
      </c>
      <c r="C401" t="s">
        <v>62</v>
      </c>
      <c r="D401" t="str">
        <f>SUBSTITUTE(SUBSTITUTE(SUBSTITUTE(A401, "'max_iter': 500,", ""), "'max_iter': 1000,", ""), "'max_iter': 1500,", "")</f>
        <v>{'activation': 'identity', 'hidden_layer_sizes': 50, 'learning_rate_init': 0.005,  'solver': 'adam'}</v>
      </c>
      <c r="E401">
        <f>_xlfn.RANK.EQ(B401,B$2:$B$479,0)</f>
        <v>398</v>
      </c>
      <c r="H401" s="40" t="s">
        <v>199</v>
      </c>
      <c r="I401" s="31">
        <v>0.73054347826086896</v>
      </c>
    </row>
    <row r="402" spans="1:9" x14ac:dyDescent="0.2">
      <c r="A402" t="s">
        <v>260</v>
      </c>
      <c r="B402" s="49">
        <v>0.72936686686686603</v>
      </c>
      <c r="C402" t="s">
        <v>62</v>
      </c>
      <c r="D402" t="str">
        <f>SUBSTITUTE(SUBSTITUTE(SUBSTITUTE(A402, "'max_iter': 500,", ""), "'max_iter': 1000,", ""), "'max_iter': 1500,", "")</f>
        <v>{'activation': 'logistic', 'hidden_layer_sizes': (200, 100, 50), 'learning_rate_init': 0.005,  'solver': 'adam'}</v>
      </c>
      <c r="E402">
        <f>_xlfn.RANK.EQ(B402,B$2:$B$479,0)</f>
        <v>401</v>
      </c>
      <c r="H402" s="40" t="s">
        <v>517</v>
      </c>
      <c r="I402" s="31">
        <v>0.73054347826086896</v>
      </c>
    </row>
    <row r="403" spans="1:9" x14ac:dyDescent="0.2">
      <c r="A403" t="s">
        <v>67</v>
      </c>
      <c r="B403" s="49">
        <v>0.72936686686686603</v>
      </c>
      <c r="C403" t="s">
        <v>62</v>
      </c>
      <c r="D403" t="str">
        <f>SUBSTITUTE(SUBSTITUTE(SUBSTITUTE(A403, "'max_iter': 500,", ""), "'max_iter': 1000,", ""), "'max_iter': 1500,", "")</f>
        <v>{'activation': 'logistic', 'hidden_layer_sizes': (200, 100, 50), 'learning_rate_init': 0.005,  'solver': 'adam'}</v>
      </c>
      <c r="E403">
        <f>_xlfn.RANK.EQ(B403,B$2:$B$479,0)</f>
        <v>401</v>
      </c>
      <c r="H403" s="40" t="s">
        <v>519</v>
      </c>
      <c r="I403" s="31">
        <v>0.73054347826086896</v>
      </c>
    </row>
    <row r="404" spans="1:9" x14ac:dyDescent="0.2">
      <c r="A404" t="s">
        <v>261</v>
      </c>
      <c r="B404" s="49">
        <v>0.72936686686686603</v>
      </c>
      <c r="C404" t="s">
        <v>62</v>
      </c>
      <c r="D404" t="str">
        <f>SUBSTITUTE(SUBSTITUTE(SUBSTITUTE(A404, "'max_iter': 500,", ""), "'max_iter': 1000,", ""), "'max_iter': 1500,", "")</f>
        <v>{'activation': 'logistic', 'hidden_layer_sizes': (200, 100, 50), 'learning_rate_init': 0.005,  'solver': 'adam'}</v>
      </c>
      <c r="E404">
        <f>_xlfn.RANK.EQ(B404,B$2:$B$479,0)</f>
        <v>401</v>
      </c>
      <c r="H404" s="40" t="s">
        <v>532</v>
      </c>
      <c r="I404" s="31">
        <v>0.72936686686686603</v>
      </c>
    </row>
    <row r="405" spans="1:9" x14ac:dyDescent="0.2">
      <c r="A405" t="s">
        <v>533</v>
      </c>
      <c r="B405" s="49">
        <v>0.72936686686686603</v>
      </c>
      <c r="C405" t="s">
        <v>62</v>
      </c>
      <c r="D405" t="str">
        <f>SUBSTITUTE(SUBSTITUTE(SUBSTITUTE(A405, "'max_iter': 500,", ""), "'max_iter': 1000,", ""), "'max_iter': 1500,", "")</f>
        <v>{'activation': 'logistic', 'hidden_layer_sizes': (200, 75, 25), 'learning_rate_init': 0.001,  'solver': 'adam'}</v>
      </c>
      <c r="E405">
        <f>_xlfn.RANK.EQ(B405,B$2:$B$479,0)</f>
        <v>401</v>
      </c>
      <c r="H405" s="40" t="s">
        <v>67</v>
      </c>
      <c r="I405" s="31">
        <v>0.72936686686686603</v>
      </c>
    </row>
    <row r="406" spans="1:9" x14ac:dyDescent="0.2">
      <c r="A406" t="s">
        <v>207</v>
      </c>
      <c r="B406" s="49">
        <v>0.72936686686686603</v>
      </c>
      <c r="C406" t="s">
        <v>62</v>
      </c>
      <c r="D406" t="str">
        <f>SUBSTITUTE(SUBSTITUTE(SUBSTITUTE(A406, "'max_iter': 500,", ""), "'max_iter': 1000,", ""), "'max_iter': 1500,", "")</f>
        <v>{'activation': 'logistic', 'hidden_layer_sizes': (200, 75, 25), 'learning_rate_init': 0.001,  'solver': 'adam'}</v>
      </c>
      <c r="E406">
        <f>_xlfn.RANK.EQ(B406,B$2:$B$479,0)</f>
        <v>401</v>
      </c>
      <c r="H406" s="40" t="s">
        <v>207</v>
      </c>
      <c r="I406" s="31">
        <v>0.72936686686686603</v>
      </c>
    </row>
    <row r="407" spans="1:9" x14ac:dyDescent="0.2">
      <c r="A407" t="s">
        <v>532</v>
      </c>
      <c r="B407" s="49">
        <v>0.72936686686686603</v>
      </c>
      <c r="C407" t="s">
        <v>62</v>
      </c>
      <c r="D407" t="str">
        <f>SUBSTITUTE(SUBSTITUTE(SUBSTITUTE(A407, "'max_iter': 500,", ""), "'max_iter': 1000,", ""), "'max_iter': 1500,", "")</f>
        <v>{'activation': 'logistic', 'hidden_layer_sizes': (200, 75, 25), 'learning_rate_init': 0.001,  'solver': 'adam'}</v>
      </c>
      <c r="E407">
        <f>_xlfn.RANK.EQ(B407,B$2:$B$479,0)</f>
        <v>401</v>
      </c>
      <c r="H407" s="40" t="s">
        <v>261</v>
      </c>
      <c r="I407" s="31">
        <v>0.72936686686686603</v>
      </c>
    </row>
    <row r="408" spans="1:9" x14ac:dyDescent="0.2">
      <c r="A408" t="s">
        <v>552</v>
      </c>
      <c r="B408" s="49">
        <v>0.72499999999999998</v>
      </c>
      <c r="C408" t="s">
        <v>62</v>
      </c>
      <c r="D408" t="str">
        <f>SUBSTITUTE(SUBSTITUTE(SUBSTITUTE(A408, "'max_iter': 500,", ""), "'max_iter': 1000,", ""), "'max_iter': 1500,", "")</f>
        <v>{'activation': 'identity', 'hidden_layer_sizes': (200, 75, 25), 'learning_rate_init': 0.005,  'solver': 'adam'}</v>
      </c>
      <c r="E408">
        <f>_xlfn.RANK.EQ(B408,B$2:$B$479,0)</f>
        <v>407</v>
      </c>
      <c r="H408" s="40" t="s">
        <v>533</v>
      </c>
      <c r="I408" s="31">
        <v>0.72936686686686603</v>
      </c>
    </row>
    <row r="409" spans="1:9" x14ac:dyDescent="0.2">
      <c r="A409" t="s">
        <v>218</v>
      </c>
      <c r="B409" s="49">
        <v>0.72499999999999998</v>
      </c>
      <c r="C409" t="s">
        <v>62</v>
      </c>
      <c r="D409" t="str">
        <f>SUBSTITUTE(SUBSTITUTE(SUBSTITUTE(A409, "'max_iter': 500,", ""), "'max_iter': 1000,", ""), "'max_iter': 1500,", "")</f>
        <v>{'activation': 'identity', 'hidden_layer_sizes': (200, 75, 25), 'learning_rate_init': 0.005,  'solver': 'adam'}</v>
      </c>
      <c r="E409">
        <f>_xlfn.RANK.EQ(B409,B$2:$B$479,0)</f>
        <v>407</v>
      </c>
      <c r="H409" s="40" t="s">
        <v>260</v>
      </c>
      <c r="I409" s="31">
        <v>0.72936686686686603</v>
      </c>
    </row>
    <row r="410" spans="1:9" x14ac:dyDescent="0.2">
      <c r="A410" t="s">
        <v>553</v>
      </c>
      <c r="B410" s="49">
        <v>0.72499999999999998</v>
      </c>
      <c r="C410" t="s">
        <v>62</v>
      </c>
      <c r="D410" t="str">
        <f>SUBSTITUTE(SUBSTITUTE(SUBSTITUTE(A410, "'max_iter': 500,", ""), "'max_iter': 1000,", ""), "'max_iter': 1500,", "")</f>
        <v>{'activation': 'identity', 'hidden_layer_sizes': (200, 75, 25), 'learning_rate_init': 0.005,  'solver': 'adam'}</v>
      </c>
      <c r="E410">
        <f>_xlfn.RANK.EQ(B410,B$2:$B$479,0)</f>
        <v>407</v>
      </c>
      <c r="H410" s="40" t="s">
        <v>552</v>
      </c>
      <c r="I410" s="31">
        <v>0.72499999999999998</v>
      </c>
    </row>
    <row r="411" spans="1:9" x14ac:dyDescent="0.2">
      <c r="A411" t="s">
        <v>323</v>
      </c>
      <c r="B411" s="49">
        <v>0.72198039215686205</v>
      </c>
      <c r="C411" t="s">
        <v>62</v>
      </c>
      <c r="D411" t="str">
        <f>SUBSTITUTE(SUBSTITUTE(SUBSTITUTE(A411, "'max_iter': 500,", ""), "'max_iter': 1000,", ""), "'max_iter': 1500,", "")</f>
        <v>{'activation': 'relu', 'hidden_layer_sizes': (150, 75), 'learning_rate_init': 0.01,  'solver': 'adam'}</v>
      </c>
      <c r="E411">
        <f>_xlfn.RANK.EQ(B411,B$2:$B$479,0)</f>
        <v>410</v>
      </c>
      <c r="H411" s="40" t="s">
        <v>553</v>
      </c>
      <c r="I411" s="31">
        <v>0.72499999999999998</v>
      </c>
    </row>
    <row r="412" spans="1:9" x14ac:dyDescent="0.2">
      <c r="A412" t="s">
        <v>99</v>
      </c>
      <c r="B412" s="49">
        <v>0.72198039215686205</v>
      </c>
      <c r="C412" t="s">
        <v>62</v>
      </c>
      <c r="D412" t="str">
        <f>SUBSTITUTE(SUBSTITUTE(SUBSTITUTE(A412, "'max_iter': 500,", ""), "'max_iter': 1000,", ""), "'max_iter': 1500,", "")</f>
        <v>{'activation': 'relu', 'hidden_layer_sizes': (150, 75), 'learning_rate_init': 0.01,  'solver': 'adam'}</v>
      </c>
      <c r="E412">
        <f>_xlfn.RANK.EQ(B412,B$2:$B$479,0)</f>
        <v>410</v>
      </c>
      <c r="H412" s="40" t="s">
        <v>218</v>
      </c>
      <c r="I412" s="31">
        <v>0.72499999999999998</v>
      </c>
    </row>
    <row r="413" spans="1:9" x14ac:dyDescent="0.2">
      <c r="A413" t="s">
        <v>322</v>
      </c>
      <c r="B413" s="49">
        <v>0.72198039215686205</v>
      </c>
      <c r="C413" t="s">
        <v>62</v>
      </c>
      <c r="D413" t="str">
        <f>SUBSTITUTE(SUBSTITUTE(SUBSTITUTE(A413, "'max_iter': 500,", ""), "'max_iter': 1000,", ""), "'max_iter': 1500,", "")</f>
        <v>{'activation': 'relu', 'hidden_layer_sizes': (150, 75), 'learning_rate_init': 0.01,  'solver': 'adam'}</v>
      </c>
      <c r="E413">
        <f>_xlfn.RANK.EQ(B413,B$2:$B$479,0)</f>
        <v>410</v>
      </c>
      <c r="H413" s="40" t="s">
        <v>323</v>
      </c>
      <c r="I413" s="31">
        <v>0.72198039215686205</v>
      </c>
    </row>
    <row r="414" spans="1:9" x14ac:dyDescent="0.2">
      <c r="A414" t="s">
        <v>421</v>
      </c>
      <c r="B414" s="49">
        <v>0.71340196078431295</v>
      </c>
      <c r="C414" t="s">
        <v>62</v>
      </c>
      <c r="D414" t="str">
        <f>SUBSTITUTE(SUBSTITUTE(SUBSTITUTE(A414, "'max_iter': 500,", ""), "'max_iter': 1000,", ""), "'max_iter': 1500,", "")</f>
        <v>{'activation': 'identity', 'hidden_layer_sizes': (200, 75, 25), 'learning_rate_init': 0.01,  'solver': 'adam'}</v>
      </c>
      <c r="E414">
        <f>_xlfn.RANK.EQ(B414,B$2:$B$479,0)</f>
        <v>413</v>
      </c>
      <c r="H414" s="40" t="s">
        <v>99</v>
      </c>
      <c r="I414" s="31">
        <v>0.72198039215686205</v>
      </c>
    </row>
    <row r="415" spans="1:9" x14ac:dyDescent="0.2">
      <c r="A415" t="s">
        <v>150</v>
      </c>
      <c r="B415" s="49">
        <v>0.71340196078431295</v>
      </c>
      <c r="C415" t="s">
        <v>62</v>
      </c>
      <c r="D415" t="str">
        <f>SUBSTITUTE(SUBSTITUTE(SUBSTITUTE(A415, "'max_iter': 500,", ""), "'max_iter': 1000,", ""), "'max_iter': 1500,", "")</f>
        <v>{'activation': 'identity', 'hidden_layer_sizes': (200, 75, 25), 'learning_rate_init': 0.01,  'solver': 'adam'}</v>
      </c>
      <c r="E415">
        <f>_xlfn.RANK.EQ(B415,B$2:$B$479,0)</f>
        <v>413</v>
      </c>
      <c r="H415" s="40" t="s">
        <v>322</v>
      </c>
      <c r="I415" s="31">
        <v>0.72198039215686205</v>
      </c>
    </row>
    <row r="416" spans="1:9" x14ac:dyDescent="0.2">
      <c r="A416" t="s">
        <v>420</v>
      </c>
      <c r="B416" s="49">
        <v>0.71340196078431295</v>
      </c>
      <c r="C416" t="s">
        <v>62</v>
      </c>
      <c r="D416" t="str">
        <f>SUBSTITUTE(SUBSTITUTE(SUBSTITUTE(A416, "'max_iter': 500,", ""), "'max_iter': 1000,", ""), "'max_iter': 1500,", "")</f>
        <v>{'activation': 'identity', 'hidden_layer_sizes': (200, 75, 25), 'learning_rate_init': 0.01,  'solver': 'adam'}</v>
      </c>
      <c r="E416">
        <f>_xlfn.RANK.EQ(B416,B$2:$B$479,0)</f>
        <v>413</v>
      </c>
      <c r="H416" s="40" t="s">
        <v>420</v>
      </c>
      <c r="I416" s="31">
        <v>0.71340196078431295</v>
      </c>
    </row>
    <row r="417" spans="1:9" x14ac:dyDescent="0.2">
      <c r="A417" t="s">
        <v>440</v>
      </c>
      <c r="B417" s="49">
        <v>0.71313375846323401</v>
      </c>
      <c r="C417" t="s">
        <v>62</v>
      </c>
      <c r="D417" t="str">
        <f>SUBSTITUTE(SUBSTITUTE(SUBSTITUTE(A417, "'max_iter': 500,", ""), "'max_iter': 1000,", ""), "'max_iter': 1500,", "")</f>
        <v>{'activation': 'logistic', 'hidden_layer_sizes': (200, 75, 25), 'learning_rate_init': 0.005,  'solver': 'adam'}</v>
      </c>
      <c r="E417">
        <f>_xlfn.RANK.EQ(B417,B$2:$B$479,0)</f>
        <v>416</v>
      </c>
      <c r="H417" s="40" t="s">
        <v>150</v>
      </c>
      <c r="I417" s="31">
        <v>0.71340196078431295</v>
      </c>
    </row>
    <row r="418" spans="1:9" x14ac:dyDescent="0.2">
      <c r="A418" t="s">
        <v>161</v>
      </c>
      <c r="B418" s="49">
        <v>0.71313375846323401</v>
      </c>
      <c r="C418" t="s">
        <v>62</v>
      </c>
      <c r="D418" t="str">
        <f>SUBSTITUTE(SUBSTITUTE(SUBSTITUTE(A418, "'max_iter': 500,", ""), "'max_iter': 1000,", ""), "'max_iter': 1500,", "")</f>
        <v>{'activation': 'logistic', 'hidden_layer_sizes': (200, 75, 25), 'learning_rate_init': 0.005,  'solver': 'adam'}</v>
      </c>
      <c r="E418">
        <f>_xlfn.RANK.EQ(B418,B$2:$B$479,0)</f>
        <v>416</v>
      </c>
      <c r="H418" s="40" t="s">
        <v>421</v>
      </c>
      <c r="I418" s="31">
        <v>0.71340196078431295</v>
      </c>
    </row>
    <row r="419" spans="1:9" x14ac:dyDescent="0.2">
      <c r="A419" t="s">
        <v>441</v>
      </c>
      <c r="B419" s="49">
        <v>0.71313375846323401</v>
      </c>
      <c r="C419" t="s">
        <v>62</v>
      </c>
      <c r="D419" t="str">
        <f>SUBSTITUTE(SUBSTITUTE(SUBSTITUTE(A419, "'max_iter': 500,", ""), "'max_iter': 1000,", ""), "'max_iter': 1500,", "")</f>
        <v>{'activation': 'logistic', 'hidden_layer_sizes': (200, 75, 25), 'learning_rate_init': 0.005,  'solver': 'adam'}</v>
      </c>
      <c r="E419">
        <f>_xlfn.RANK.EQ(B419,B$2:$B$479,0)</f>
        <v>416</v>
      </c>
      <c r="H419" s="40" t="s">
        <v>440</v>
      </c>
      <c r="I419" s="31">
        <v>0.71313375846323401</v>
      </c>
    </row>
    <row r="420" spans="1:9" x14ac:dyDescent="0.2">
      <c r="A420" t="s">
        <v>504</v>
      </c>
      <c r="B420" s="49">
        <v>0.69575738529226805</v>
      </c>
      <c r="C420" t="s">
        <v>62</v>
      </c>
      <c r="D420" t="str">
        <f>SUBSTITUTE(SUBSTITUTE(SUBSTITUTE(A420, "'max_iter': 500,", ""), "'max_iter': 1000,", ""), "'max_iter': 1500,", "")</f>
        <v>{'activation': 'tanh', 'hidden_layer_sizes': (200, 100), 'learning_rate_init': 0.001,  'solver': 'adam'}</v>
      </c>
      <c r="E420">
        <f>_xlfn.RANK.EQ(B420,B$2:$B$479,0)</f>
        <v>419</v>
      </c>
      <c r="H420" s="40" t="s">
        <v>441</v>
      </c>
      <c r="I420" s="31">
        <v>0.71313375846323401</v>
      </c>
    </row>
    <row r="421" spans="1:9" x14ac:dyDescent="0.2">
      <c r="A421" t="s">
        <v>195</v>
      </c>
      <c r="B421" s="49">
        <v>0.69575738529226805</v>
      </c>
      <c r="C421" t="s">
        <v>62</v>
      </c>
      <c r="D421" t="str">
        <f>SUBSTITUTE(SUBSTITUTE(SUBSTITUTE(A421, "'max_iter': 500,", ""), "'max_iter': 1000,", ""), "'max_iter': 1500,", "")</f>
        <v>{'activation': 'tanh', 'hidden_layer_sizes': (200, 100), 'learning_rate_init': 0.001,  'solver': 'adam'}</v>
      </c>
      <c r="E421">
        <f>_xlfn.RANK.EQ(B421,B$2:$B$479,0)</f>
        <v>419</v>
      </c>
      <c r="H421" s="40" t="s">
        <v>161</v>
      </c>
      <c r="I421" s="31">
        <v>0.71313375846323401</v>
      </c>
    </row>
    <row r="422" spans="1:9" x14ac:dyDescent="0.2">
      <c r="A422" t="s">
        <v>503</v>
      </c>
      <c r="B422" s="49">
        <v>0.69575738529226805</v>
      </c>
      <c r="C422" t="s">
        <v>62</v>
      </c>
      <c r="D422" t="str">
        <f>SUBSTITUTE(SUBSTITUTE(SUBSTITUTE(A422, "'max_iter': 500,", ""), "'max_iter': 1000,", ""), "'max_iter': 1500,", "")</f>
        <v>{'activation': 'tanh', 'hidden_layer_sizes': (200, 100), 'learning_rate_init': 0.001,  'solver': 'adam'}</v>
      </c>
      <c r="E422">
        <f>_xlfn.RANK.EQ(B422,B$2:$B$479,0)</f>
        <v>419</v>
      </c>
      <c r="H422" s="40" t="s">
        <v>195</v>
      </c>
      <c r="I422" s="31">
        <v>0.69575738529226805</v>
      </c>
    </row>
    <row r="423" spans="1:9" x14ac:dyDescent="0.2">
      <c r="A423" t="s">
        <v>377</v>
      </c>
      <c r="B423" s="49">
        <v>0.50000197816110103</v>
      </c>
      <c r="C423" t="s">
        <v>62</v>
      </c>
      <c r="D423" t="str">
        <f>SUBSTITUTE(SUBSTITUTE(SUBSTITUTE(A423, "'max_iter': 500,", ""), "'max_iter': 1000,", ""), "'max_iter': 1500,", "")</f>
        <v>{'activation': 'logistic', 'hidden_layer_sizes': (200, 100), 'learning_rate_init': 0.005,  'solver': 'sgd'}</v>
      </c>
      <c r="E423">
        <f>_xlfn.RANK.EQ(B423,B$2:$B$479,0)</f>
        <v>422</v>
      </c>
      <c r="H423" s="40" t="s">
        <v>503</v>
      </c>
      <c r="I423" s="31">
        <v>0.69575738529226805</v>
      </c>
    </row>
    <row r="424" spans="1:9" x14ac:dyDescent="0.2">
      <c r="A424" t="s">
        <v>130</v>
      </c>
      <c r="B424" s="49">
        <v>0.50000197816110103</v>
      </c>
      <c r="C424" t="s">
        <v>62</v>
      </c>
      <c r="D424" t="str">
        <f>SUBSTITUTE(SUBSTITUTE(SUBSTITUTE(A424, "'max_iter': 500,", ""), "'max_iter': 1000,", ""), "'max_iter': 1500,", "")</f>
        <v>{'activation': 'logistic', 'hidden_layer_sizes': (200, 100), 'learning_rate_init': 0.005,  'solver': 'sgd'}</v>
      </c>
      <c r="E424">
        <f>_xlfn.RANK.EQ(B424,B$2:$B$479,0)</f>
        <v>422</v>
      </c>
      <c r="H424" s="40" t="s">
        <v>504</v>
      </c>
      <c r="I424" s="31">
        <v>0.69575738529226805</v>
      </c>
    </row>
    <row r="425" spans="1:9" x14ac:dyDescent="0.2">
      <c r="A425" t="s">
        <v>632</v>
      </c>
      <c r="B425" s="49">
        <v>0.50000197816110103</v>
      </c>
      <c r="C425" t="s">
        <v>62</v>
      </c>
      <c r="D425" t="str">
        <f>SUBSTITUTE(SUBSTITUTE(SUBSTITUTE(A425, "'max_iter': 500,", ""), "'max_iter': 1000,", ""), "'max_iter': 1500,", "")</f>
        <v>{'activation': 'logistic', 'hidden_layer_sizes': (200, 100), 'learning_rate_init': 0.005,  'solver': 'sgd'}</v>
      </c>
      <c r="E425">
        <f>_xlfn.RANK.EQ(B425,B$2:$B$479,0)</f>
        <v>422</v>
      </c>
      <c r="H425" s="40" t="s">
        <v>632</v>
      </c>
      <c r="I425" s="31">
        <v>0.50000197816110103</v>
      </c>
    </row>
    <row r="426" spans="1:9" x14ac:dyDescent="0.2">
      <c r="A426" t="s">
        <v>565</v>
      </c>
      <c r="B426" s="49">
        <v>0.39764056224899502</v>
      </c>
      <c r="C426" t="s">
        <v>62</v>
      </c>
      <c r="D426" t="str">
        <f>SUBSTITUTE(SUBSTITUTE(SUBSTITUTE(A426, "'max_iter': 500,", ""), "'max_iter': 1000,", ""), "'max_iter': 1500,", "")</f>
        <v>{'activation': 'tanh', 'hidden_layer_sizes': (200, 100, 50), 'learning_rate_init': 0.01,  'solver': 'adam'}</v>
      </c>
      <c r="E426">
        <f>_xlfn.RANK.EQ(B426,B$2:$B$479,0)</f>
        <v>425</v>
      </c>
      <c r="H426" s="40" t="s">
        <v>377</v>
      </c>
      <c r="I426" s="31">
        <v>0.50000197816110103</v>
      </c>
    </row>
    <row r="427" spans="1:9" x14ac:dyDescent="0.2">
      <c r="A427" t="s">
        <v>225</v>
      </c>
      <c r="B427" s="49">
        <v>0.39764056224899502</v>
      </c>
      <c r="C427" t="s">
        <v>62</v>
      </c>
      <c r="D427" t="str">
        <f>SUBSTITUTE(SUBSTITUTE(SUBSTITUTE(A427, "'max_iter': 500,", ""), "'max_iter': 1000,", ""), "'max_iter': 1500,", "")</f>
        <v>{'activation': 'tanh', 'hidden_layer_sizes': (200, 100, 50), 'learning_rate_init': 0.01,  'solver': 'adam'}</v>
      </c>
      <c r="E427">
        <f>_xlfn.RANK.EQ(B427,B$2:$B$479,0)</f>
        <v>425</v>
      </c>
      <c r="H427" s="40" t="s">
        <v>130</v>
      </c>
      <c r="I427" s="31">
        <v>0.50000197816110103</v>
      </c>
    </row>
    <row r="428" spans="1:9" x14ac:dyDescent="0.2">
      <c r="A428" t="s">
        <v>566</v>
      </c>
      <c r="B428" s="49">
        <v>0.39764056224899502</v>
      </c>
      <c r="C428" t="s">
        <v>62</v>
      </c>
      <c r="D428" t="str">
        <f>SUBSTITUTE(SUBSTITUTE(SUBSTITUTE(A428, "'max_iter': 500,", ""), "'max_iter': 1000,", ""), "'max_iter': 1500,", "")</f>
        <v>{'activation': 'tanh', 'hidden_layer_sizes': (200, 100, 50), 'learning_rate_init': 0.01,  'solver': 'adam'}</v>
      </c>
      <c r="E428">
        <f>_xlfn.RANK.EQ(B428,B$2:$B$479,0)</f>
        <v>425</v>
      </c>
      <c r="H428" s="40" t="s">
        <v>225</v>
      </c>
      <c r="I428" s="31">
        <v>0.39764056224899502</v>
      </c>
    </row>
    <row r="429" spans="1:9" x14ac:dyDescent="0.2">
      <c r="A429" t="s">
        <v>638</v>
      </c>
      <c r="B429" s="49">
        <v>0.27278138528138501</v>
      </c>
      <c r="C429" t="s">
        <v>62</v>
      </c>
      <c r="D429" t="str">
        <f>SUBSTITUTE(SUBSTITUTE(SUBSTITUTE(A429, "'max_iter': 500,", ""), "'max_iter': 1000,", ""), "'max_iter': 1500,", "")</f>
        <v>{'activation': 'logistic', 'hidden_layer_sizes': (100, 50), 'learning_rate_init': 0.001,  'solver': 'sgd'}</v>
      </c>
      <c r="E429">
        <f>_xlfn.RANK.EQ(B429,B$2:$B$479,0)</f>
        <v>428</v>
      </c>
      <c r="H429" s="40" t="s">
        <v>565</v>
      </c>
      <c r="I429" s="31">
        <v>0.39764056224899502</v>
      </c>
    </row>
    <row r="430" spans="1:9" x14ac:dyDescent="0.2">
      <c r="A430" t="s">
        <v>637</v>
      </c>
      <c r="B430" s="49">
        <v>0.27278138528138501</v>
      </c>
      <c r="C430" t="s">
        <v>62</v>
      </c>
      <c r="D430" t="str">
        <f>SUBSTITUTE(SUBSTITUTE(SUBSTITUTE(A430, "'max_iter': 500,", ""), "'max_iter': 1000,", ""), "'max_iter': 1500,", "")</f>
        <v>{'activation': 'logistic', 'hidden_layer_sizes': (100, 50), 'learning_rate_init': 0.001,  'solver': 'sgd'}</v>
      </c>
      <c r="E430">
        <f>_xlfn.RANK.EQ(B430,B$2:$B$479,0)</f>
        <v>428</v>
      </c>
      <c r="H430" s="40" t="s">
        <v>566</v>
      </c>
      <c r="I430" s="31">
        <v>0.39764056224899502</v>
      </c>
    </row>
    <row r="431" spans="1:9" x14ac:dyDescent="0.2">
      <c r="A431" t="s">
        <v>639</v>
      </c>
      <c r="B431" s="49">
        <v>0.27278138528138501</v>
      </c>
      <c r="C431" t="s">
        <v>62</v>
      </c>
      <c r="D431" t="str">
        <f>SUBSTITUTE(SUBSTITUTE(SUBSTITUTE(A431, "'max_iter': 500,", ""), "'max_iter': 1000,", ""), "'max_iter': 1500,", "")</f>
        <v>{'activation': 'logistic', 'hidden_layer_sizes': (100, 50), 'learning_rate_init': 0.001,  'solver': 'sgd'}</v>
      </c>
      <c r="E431">
        <f>_xlfn.RANK.EQ(B431,B$2:$B$479,0)</f>
        <v>428</v>
      </c>
      <c r="H431" s="40" t="s">
        <v>378</v>
      </c>
      <c r="I431" s="31">
        <v>0.27278138528138501</v>
      </c>
    </row>
    <row r="432" spans="1:9" x14ac:dyDescent="0.2">
      <c r="A432" t="s">
        <v>332</v>
      </c>
      <c r="B432" s="49">
        <v>0.27278138528138501</v>
      </c>
      <c r="C432" t="s">
        <v>62</v>
      </c>
      <c r="D432" t="str">
        <f>SUBSTITUTE(SUBSTITUTE(SUBSTITUTE(A432, "'max_iter': 500,", ""), "'max_iter': 1000,", ""), "'max_iter': 1500,", "")</f>
        <v>{'activation': 'logistic', 'hidden_layer_sizes': (100, 50), 'learning_rate_init': 0.005,  'solver': 'sgd'}</v>
      </c>
      <c r="E432">
        <f>_xlfn.RANK.EQ(B432,B$2:$B$479,0)</f>
        <v>428</v>
      </c>
      <c r="H432" s="40" t="s">
        <v>404</v>
      </c>
      <c r="I432" s="31">
        <v>0.27278138528138501</v>
      </c>
    </row>
    <row r="433" spans="1:9" x14ac:dyDescent="0.2">
      <c r="A433" t="s">
        <v>103</v>
      </c>
      <c r="B433" s="49">
        <v>0.27278138528138501</v>
      </c>
      <c r="C433" t="s">
        <v>62</v>
      </c>
      <c r="D433" t="str">
        <f>SUBSTITUTE(SUBSTITUTE(SUBSTITUTE(A433, "'max_iter': 500,", ""), "'max_iter': 1000,", ""), "'max_iter': 1500,", "")</f>
        <v>{'activation': 'logistic', 'hidden_layer_sizes': (100, 50), 'learning_rate_init': 0.005,  'solver': 'sgd'}</v>
      </c>
      <c r="E433">
        <f>_xlfn.RANK.EQ(B433,B$2:$B$479,0)</f>
        <v>428</v>
      </c>
      <c r="H433" s="40" t="s">
        <v>541</v>
      </c>
      <c r="I433" s="31">
        <v>0.27278138528138501</v>
      </c>
    </row>
    <row r="434" spans="1:9" x14ac:dyDescent="0.2">
      <c r="A434" t="s">
        <v>636</v>
      </c>
      <c r="B434" s="49">
        <v>0.27278138528138501</v>
      </c>
      <c r="C434" t="s">
        <v>62</v>
      </c>
      <c r="D434" t="str">
        <f>SUBSTITUTE(SUBSTITUTE(SUBSTITUTE(A434, "'max_iter': 500,", ""), "'max_iter': 1000,", ""), "'max_iter': 1500,", "")</f>
        <v>{'activation': 'logistic', 'hidden_layer_sizes': (100, 50), 'learning_rate_init': 0.005,  'solver': 'sgd'}</v>
      </c>
      <c r="E434">
        <f>_xlfn.RANK.EQ(B434,B$2:$B$479,0)</f>
        <v>428</v>
      </c>
      <c r="H434" s="40" t="s">
        <v>542</v>
      </c>
      <c r="I434" s="31">
        <v>0.27278138528138501</v>
      </c>
    </row>
    <row r="435" spans="1:9" x14ac:dyDescent="0.2">
      <c r="A435" t="s">
        <v>431</v>
      </c>
      <c r="B435" s="49">
        <v>0.27278138528138501</v>
      </c>
      <c r="C435" t="s">
        <v>62</v>
      </c>
      <c r="D435" t="str">
        <f>SUBSTITUTE(SUBSTITUTE(SUBSTITUTE(A435, "'max_iter': 500,", ""), "'max_iter': 1000,", ""), "'max_iter': 1500,", "")</f>
        <v>{'activation': 'logistic', 'hidden_layer_sizes': (100, 50), 'learning_rate_init': 0.01,  'solver': 'sgd'}</v>
      </c>
      <c r="E435">
        <f>_xlfn.RANK.EQ(B435,B$2:$B$479,0)</f>
        <v>428</v>
      </c>
      <c r="H435" s="40" t="s">
        <v>248</v>
      </c>
      <c r="I435" s="31">
        <v>0.27278138528138501</v>
      </c>
    </row>
    <row r="436" spans="1:9" x14ac:dyDescent="0.2">
      <c r="A436" t="s">
        <v>154</v>
      </c>
      <c r="B436" s="49">
        <v>0.27278138528138501</v>
      </c>
      <c r="C436" t="s">
        <v>62</v>
      </c>
      <c r="D436" t="str">
        <f>SUBSTITUTE(SUBSTITUTE(SUBSTITUTE(A436, "'max_iter': 500,", ""), "'max_iter': 1000,", ""), "'max_iter': 1500,", "")</f>
        <v>{'activation': 'logistic', 'hidden_layer_sizes': (100, 50), 'learning_rate_init': 0.01,  'solver': 'sgd'}</v>
      </c>
      <c r="E436">
        <f>_xlfn.RANK.EQ(B436,B$2:$B$479,0)</f>
        <v>428</v>
      </c>
      <c r="H436" s="40" t="s">
        <v>613</v>
      </c>
      <c r="I436" s="31">
        <v>0.27278138528138501</v>
      </c>
    </row>
    <row r="437" spans="1:9" x14ac:dyDescent="0.2">
      <c r="A437" t="s">
        <v>412</v>
      </c>
      <c r="B437" s="49">
        <v>0.27278138528138501</v>
      </c>
      <c r="C437" t="s">
        <v>62</v>
      </c>
      <c r="D437" t="str">
        <f>SUBSTITUTE(SUBSTITUTE(SUBSTITUTE(A437, "'max_iter': 500,", ""), "'max_iter': 1000,", ""), "'max_iter': 1500,", "")</f>
        <v>{'activation': 'logistic', 'hidden_layer_sizes': (100, 50), 'learning_rate_init': 0.01,  'solver': 'sgd'}</v>
      </c>
      <c r="E437">
        <f>_xlfn.RANK.EQ(B437,B$2:$B$479,0)</f>
        <v>428</v>
      </c>
      <c r="H437" s="40" t="s">
        <v>212</v>
      </c>
      <c r="I437" s="31">
        <v>0.27278138528138501</v>
      </c>
    </row>
    <row r="438" spans="1:9" x14ac:dyDescent="0.2">
      <c r="A438" t="s">
        <v>648</v>
      </c>
      <c r="B438" s="49">
        <v>0.27278138528138501</v>
      </c>
      <c r="C438" t="s">
        <v>62</v>
      </c>
      <c r="D438" t="str">
        <f>SUBSTITUTE(SUBSTITUTE(SUBSTITUTE(A438, "'max_iter': 500,", ""), "'max_iter': 1000,", ""), "'max_iter': 1500,", "")</f>
        <v>{'activation': 'logistic', 'hidden_layer_sizes': (150, 75), 'learning_rate_init': 0.001,  'solver': 'sgd'}</v>
      </c>
      <c r="E438">
        <f>_xlfn.RANK.EQ(B438,B$2:$B$479,0)</f>
        <v>428</v>
      </c>
      <c r="H438" s="40" t="s">
        <v>158</v>
      </c>
      <c r="I438" s="31">
        <v>0.27278138528138501</v>
      </c>
    </row>
    <row r="439" spans="1:9" x14ac:dyDescent="0.2">
      <c r="A439" t="s">
        <v>647</v>
      </c>
      <c r="B439" s="49">
        <v>0.27278138528138501</v>
      </c>
      <c r="C439" t="s">
        <v>62</v>
      </c>
      <c r="D439" t="str">
        <f>SUBSTITUTE(SUBSTITUTE(SUBSTITUTE(A439, "'max_iter': 500,", ""), "'max_iter': 1000,", ""), "'max_iter': 1500,", "")</f>
        <v>{'activation': 'logistic', 'hidden_layer_sizes': (150, 75), 'learning_rate_init': 0.001,  'solver': 'sgd'}</v>
      </c>
      <c r="E439">
        <f>_xlfn.RANK.EQ(B439,B$2:$B$479,0)</f>
        <v>428</v>
      </c>
      <c r="H439" s="40" t="s">
        <v>142</v>
      </c>
      <c r="I439" s="31">
        <v>0.27278138528138501</v>
      </c>
    </row>
    <row r="440" spans="1:9" x14ac:dyDescent="0.2">
      <c r="A440" t="s">
        <v>649</v>
      </c>
      <c r="B440" s="49">
        <v>0.27278138528138501</v>
      </c>
      <c r="C440" t="s">
        <v>62</v>
      </c>
      <c r="D440" t="str">
        <f>SUBSTITUTE(SUBSTITUTE(SUBSTITUTE(A440, "'max_iter': 500,", ""), "'max_iter': 1000,", ""), "'max_iter': 1500,", "")</f>
        <v>{'activation': 'logistic', 'hidden_layer_sizes': (150, 75), 'learning_rate_init': 0.001,  'solver': 'sgd'}</v>
      </c>
      <c r="E440">
        <f>_xlfn.RANK.EQ(B440,B$2:$B$479,0)</f>
        <v>428</v>
      </c>
      <c r="H440" s="40" t="s">
        <v>612</v>
      </c>
      <c r="I440" s="31">
        <v>0.27278138528138501</v>
      </c>
    </row>
    <row r="441" spans="1:9" x14ac:dyDescent="0.2">
      <c r="A441" t="s">
        <v>523</v>
      </c>
      <c r="B441" s="49">
        <v>0.27278138528138501</v>
      </c>
      <c r="C441" t="s">
        <v>62</v>
      </c>
      <c r="D441" t="str">
        <f>SUBSTITUTE(SUBSTITUTE(SUBSTITUTE(A441, "'max_iter': 500,", ""), "'max_iter': 1000,", ""), "'max_iter': 1500,", "")</f>
        <v>{'activation': 'logistic', 'hidden_layer_sizes': (150, 75), 'learning_rate_init': 0.005,  'solver': 'sgd'}</v>
      </c>
      <c r="E441">
        <f>_xlfn.RANK.EQ(B441,B$2:$B$479,0)</f>
        <v>428</v>
      </c>
      <c r="H441" s="40" t="s">
        <v>633</v>
      </c>
      <c r="I441" s="31">
        <v>0.27278138528138501</v>
      </c>
    </row>
    <row r="442" spans="1:9" x14ac:dyDescent="0.2">
      <c r="A442" t="s">
        <v>204</v>
      </c>
      <c r="B442" s="49">
        <v>0.27278138528138501</v>
      </c>
      <c r="C442" t="s">
        <v>62</v>
      </c>
      <c r="D442" t="str">
        <f>SUBSTITUTE(SUBSTITUTE(SUBSTITUTE(A442, "'max_iter': 500,", ""), "'max_iter': 1000,", ""), "'max_iter': 1500,", "")</f>
        <v>{'activation': 'logistic', 'hidden_layer_sizes': (150, 75), 'learning_rate_init': 0.005,  'solver': 'sgd'}</v>
      </c>
      <c r="E442">
        <f>_xlfn.RANK.EQ(B442,B$2:$B$479,0)</f>
        <v>428</v>
      </c>
      <c r="H442" s="40" t="s">
        <v>648</v>
      </c>
      <c r="I442" s="31">
        <v>0.27278138528138501</v>
      </c>
    </row>
    <row r="443" spans="1:9" x14ac:dyDescent="0.2">
      <c r="A443" t="s">
        <v>646</v>
      </c>
      <c r="B443" s="49">
        <v>0.27278138528138501</v>
      </c>
      <c r="C443" t="s">
        <v>62</v>
      </c>
      <c r="D443" t="str">
        <f>SUBSTITUTE(SUBSTITUTE(SUBSTITUTE(A443, "'max_iter': 500,", ""), "'max_iter': 1000,", ""), "'max_iter': 1500,", "")</f>
        <v>{'activation': 'logistic', 'hidden_layer_sizes': (150, 75), 'learning_rate_init': 0.005,  'solver': 'sgd'}</v>
      </c>
      <c r="E443">
        <f>_xlfn.RANK.EQ(B443,B$2:$B$479,0)</f>
        <v>428</v>
      </c>
      <c r="H443" s="40" t="s">
        <v>332</v>
      </c>
      <c r="I443" s="31">
        <v>0.27278138528138501</v>
      </c>
    </row>
    <row r="444" spans="1:9" x14ac:dyDescent="0.2">
      <c r="A444" t="s">
        <v>542</v>
      </c>
      <c r="B444" s="49">
        <v>0.27278138528138501</v>
      </c>
      <c r="C444" t="s">
        <v>62</v>
      </c>
      <c r="D444" t="str">
        <f>SUBSTITUTE(SUBSTITUTE(SUBSTITUTE(A444, "'max_iter': 500,", ""), "'max_iter': 1000,", ""), "'max_iter': 1500,", "")</f>
        <v>{'activation': 'logistic', 'hidden_layer_sizes': (150, 75), 'learning_rate_init': 0.01,  'solver': 'sgd'}</v>
      </c>
      <c r="E444">
        <f>_xlfn.RANK.EQ(B444,B$2:$B$479,0)</f>
        <v>428</v>
      </c>
      <c r="H444" s="40" t="s">
        <v>618</v>
      </c>
      <c r="I444" s="31">
        <v>0.27278138528138501</v>
      </c>
    </row>
    <row r="445" spans="1:9" x14ac:dyDescent="0.2">
      <c r="A445" t="s">
        <v>212</v>
      </c>
      <c r="B445" s="49">
        <v>0.27278138528138501</v>
      </c>
      <c r="C445" t="s">
        <v>62</v>
      </c>
      <c r="D445" t="str">
        <f>SUBSTITUTE(SUBSTITUTE(SUBSTITUTE(A445, "'max_iter': 500,", ""), "'max_iter': 1000,", ""), "'max_iter': 1500,", "")</f>
        <v>{'activation': 'logistic', 'hidden_layer_sizes': (150, 75), 'learning_rate_init': 0.01,  'solver': 'sgd'}</v>
      </c>
      <c r="E445">
        <f>_xlfn.RANK.EQ(B445,B$2:$B$479,0)</f>
        <v>428</v>
      </c>
      <c r="H445" s="40" t="s">
        <v>95</v>
      </c>
      <c r="I445" s="31">
        <v>0.27278138528138501</v>
      </c>
    </row>
    <row r="446" spans="1:9" x14ac:dyDescent="0.2">
      <c r="A446" t="s">
        <v>541</v>
      </c>
      <c r="B446" s="49">
        <v>0.27278138528138501</v>
      </c>
      <c r="C446" t="s">
        <v>62</v>
      </c>
      <c r="D446" t="str">
        <f>SUBSTITUTE(SUBSTITUTE(SUBSTITUTE(A446, "'max_iter': 500,", ""), "'max_iter': 1000,", ""), "'max_iter': 1500,", "")</f>
        <v>{'activation': 'logistic', 'hidden_layer_sizes': (150, 75), 'learning_rate_init': 0.01,  'solver': 'sgd'}</v>
      </c>
      <c r="E446">
        <f>_xlfn.RANK.EQ(B446,B$2:$B$479,0)</f>
        <v>428</v>
      </c>
      <c r="H446" s="40" t="s">
        <v>641</v>
      </c>
      <c r="I446" s="31">
        <v>0.27278138528138501</v>
      </c>
    </row>
    <row r="447" spans="1:9" x14ac:dyDescent="0.2">
      <c r="A447" t="s">
        <v>614</v>
      </c>
      <c r="B447" s="49">
        <v>0.27278138528138501</v>
      </c>
      <c r="C447" t="s">
        <v>62</v>
      </c>
      <c r="D447" t="str">
        <f>SUBSTITUTE(SUBSTITUTE(SUBSTITUTE(A447, "'max_iter': 500,", ""), "'max_iter': 1000,", ""), "'max_iter': 1500,", "")</f>
        <v>{'activation': 'logistic', 'hidden_layer_sizes': (200, 100, 50), 'learning_rate_init': 0.001,  'solver': 'sgd'}</v>
      </c>
      <c r="E447">
        <f>_xlfn.RANK.EQ(B447,B$2:$B$479,0)</f>
        <v>428</v>
      </c>
      <c r="H447" s="40" t="s">
        <v>154</v>
      </c>
      <c r="I447" s="31">
        <v>0.27278138528138501</v>
      </c>
    </row>
    <row r="448" spans="1:9" x14ac:dyDescent="0.2">
      <c r="A448" t="s">
        <v>251</v>
      </c>
      <c r="B448" s="49">
        <v>0.27278138528138501</v>
      </c>
      <c r="C448" t="s">
        <v>62</v>
      </c>
      <c r="D448" t="str">
        <f>SUBSTITUTE(SUBSTITUTE(SUBSTITUTE(A448, "'max_iter': 500,", ""), "'max_iter': 1000,", ""), "'max_iter': 1500,", "")</f>
        <v>{'activation': 'logistic', 'hidden_layer_sizes': (200, 100, 50), 'learning_rate_init': 0.001,  'solver': 'sgd'}</v>
      </c>
      <c r="E448">
        <f>_xlfn.RANK.EQ(B448,B$2:$B$479,0)</f>
        <v>428</v>
      </c>
      <c r="H448" s="40" t="s">
        <v>431</v>
      </c>
      <c r="I448" s="31">
        <v>0.27278138528138501</v>
      </c>
    </row>
    <row r="449" spans="1:9" x14ac:dyDescent="0.2">
      <c r="A449" t="s">
        <v>613</v>
      </c>
      <c r="B449" s="49">
        <v>0.27278138528138501</v>
      </c>
      <c r="C449" t="s">
        <v>62</v>
      </c>
      <c r="D449" t="str">
        <f>SUBSTITUTE(SUBSTITUTE(SUBSTITUTE(A449, "'max_iter': 500,", ""), "'max_iter': 1000,", ""), "'max_iter': 1500,", "")</f>
        <v>{'activation': 'logistic', 'hidden_layer_sizes': (200, 100, 50), 'learning_rate_init': 0.001,  'solver': 'sgd'}</v>
      </c>
      <c r="E449">
        <f>_xlfn.RANK.EQ(B449,B$2:$B$479,0)</f>
        <v>428</v>
      </c>
      <c r="H449" s="40" t="s">
        <v>379</v>
      </c>
      <c r="I449" s="31">
        <v>0.27278138528138501</v>
      </c>
    </row>
    <row r="450" spans="1:9" x14ac:dyDescent="0.2">
      <c r="A450" t="s">
        <v>618</v>
      </c>
      <c r="B450" s="49">
        <v>0.27278138528138501</v>
      </c>
      <c r="C450" t="s">
        <v>62</v>
      </c>
      <c r="D450" t="str">
        <f>SUBSTITUTE(SUBSTITUTE(SUBSTITUTE(A450, "'max_iter': 500,", ""), "'max_iter': 1000,", ""), "'max_iter': 1500,", "")</f>
        <v>{'activation': 'logistic', 'hidden_layer_sizes': (200, 100, 50), 'learning_rate_init': 0.005,  'solver': 'sgd'}</v>
      </c>
      <c r="E450">
        <f>_xlfn.RANK.EQ(B450,B$2:$B$479,0)</f>
        <v>428</v>
      </c>
      <c r="H450" s="40" t="s">
        <v>249</v>
      </c>
      <c r="I450" s="31">
        <v>0.27278138528138501</v>
      </c>
    </row>
    <row r="451" spans="1:9" x14ac:dyDescent="0.2">
      <c r="A451" t="s">
        <v>249</v>
      </c>
      <c r="B451" s="49">
        <v>0.27278138528138501</v>
      </c>
      <c r="C451" t="s">
        <v>62</v>
      </c>
      <c r="D451" t="str">
        <f>SUBSTITUTE(SUBSTITUTE(SUBSTITUTE(A451, "'max_iter': 500,", ""), "'max_iter': 1000,", ""), "'max_iter': 1500,", "")</f>
        <v>{'activation': 'logistic', 'hidden_layer_sizes': (200, 100, 50), 'learning_rate_init': 0.005,  'solver': 'sgd'}</v>
      </c>
      <c r="E451">
        <f>_xlfn.RANK.EQ(B451,B$2:$B$479,0)</f>
        <v>428</v>
      </c>
      <c r="H451" s="40" t="s">
        <v>636</v>
      </c>
      <c r="I451" s="31">
        <v>0.27278138528138501</v>
      </c>
    </row>
    <row r="452" spans="1:9" x14ac:dyDescent="0.2">
      <c r="A452" t="s">
        <v>617</v>
      </c>
      <c r="B452" s="49">
        <v>0.27278138528138501</v>
      </c>
      <c r="C452" t="s">
        <v>62</v>
      </c>
      <c r="D452" t="str">
        <f>SUBSTITUTE(SUBSTITUTE(SUBSTITUTE(A452, "'max_iter': 500,", ""), "'max_iter': 1000,", ""), "'max_iter': 1500,", "")</f>
        <v>{'activation': 'logistic', 'hidden_layer_sizes': (200, 100, 50), 'learning_rate_init': 0.005,  'solver': 'sgd'}</v>
      </c>
      <c r="E452">
        <f>_xlfn.RANK.EQ(B452,B$2:$B$479,0)</f>
        <v>428</v>
      </c>
      <c r="H452" s="40" t="s">
        <v>616</v>
      </c>
      <c r="I452" s="31">
        <v>0.27278138528138501</v>
      </c>
    </row>
    <row r="453" spans="1:9" x14ac:dyDescent="0.2">
      <c r="A453" t="s">
        <v>339</v>
      </c>
      <c r="B453" s="49">
        <v>0.27278138528138501</v>
      </c>
      <c r="C453" t="s">
        <v>62</v>
      </c>
      <c r="D453" t="str">
        <f>SUBSTITUTE(SUBSTITUTE(SUBSTITUTE(A453, "'max_iter': 500,", ""), "'max_iter': 1000,", ""), "'max_iter': 1500,", "")</f>
        <v>{'activation': 'logistic', 'hidden_layer_sizes': (200, 100, 50), 'learning_rate_init': 0.01,  'solver': 'sgd'}</v>
      </c>
      <c r="E453">
        <f>_xlfn.RANK.EQ(B453,B$2:$B$479,0)</f>
        <v>428</v>
      </c>
      <c r="H453" s="40" t="s">
        <v>251</v>
      </c>
      <c r="I453" s="31">
        <v>0.27278138528138501</v>
      </c>
    </row>
    <row r="454" spans="1:9" x14ac:dyDescent="0.2">
      <c r="A454" t="s">
        <v>108</v>
      </c>
      <c r="B454" s="49">
        <v>0.27278138528138501</v>
      </c>
      <c r="C454" t="s">
        <v>62</v>
      </c>
      <c r="D454" t="str">
        <f>SUBSTITUTE(SUBSTITUTE(SUBSTITUTE(A454, "'max_iter': 500,", ""), "'max_iter': 1000,", ""), "'max_iter': 1500,", "")</f>
        <v>{'activation': 'logistic', 'hidden_layer_sizes': (200, 100, 50), 'learning_rate_init': 0.01,  'solver': 'sgd'}</v>
      </c>
      <c r="E454">
        <f>_xlfn.RANK.EQ(B454,B$2:$B$479,0)</f>
        <v>428</v>
      </c>
      <c r="H454" s="40" t="s">
        <v>617</v>
      </c>
      <c r="I454" s="31">
        <v>0.27278138528138501</v>
      </c>
    </row>
    <row r="455" spans="1:9" x14ac:dyDescent="0.2">
      <c r="A455" t="s">
        <v>334</v>
      </c>
      <c r="B455" s="49">
        <v>0.27278138528138501</v>
      </c>
      <c r="C455" t="s">
        <v>62</v>
      </c>
      <c r="D455" t="str">
        <f>SUBSTITUTE(SUBSTITUTE(SUBSTITUTE(A455, "'max_iter': 500,", ""), "'max_iter': 1000,", ""), "'max_iter': 1500,", "")</f>
        <v>{'activation': 'logistic', 'hidden_layer_sizes': (200, 100, 50), 'learning_rate_init': 0.01,  'solver': 'sgd'}</v>
      </c>
      <c r="E455">
        <f>_xlfn.RANK.EQ(B455,B$2:$B$479,0)</f>
        <v>428</v>
      </c>
      <c r="H455" s="40" t="s">
        <v>639</v>
      </c>
      <c r="I455" s="31">
        <v>0.27278138528138501</v>
      </c>
    </row>
    <row r="456" spans="1:9" x14ac:dyDescent="0.2">
      <c r="A456" t="s">
        <v>633</v>
      </c>
      <c r="B456" s="49">
        <v>0.27278138528138501</v>
      </c>
      <c r="C456" t="s">
        <v>62</v>
      </c>
      <c r="D456" t="str">
        <f>SUBSTITUTE(SUBSTITUTE(SUBSTITUTE(A456, "'max_iter': 500,", ""), "'max_iter': 1000,", ""), "'max_iter': 1500,", "")</f>
        <v>{'activation': 'logistic', 'hidden_layer_sizes': (200, 100), 'learning_rate_init': 0.001,  'solver': 'sgd'}</v>
      </c>
      <c r="E456">
        <f>_xlfn.RANK.EQ(B456,B$2:$B$479,0)</f>
        <v>428</v>
      </c>
      <c r="H456" s="40" t="s">
        <v>647</v>
      </c>
      <c r="I456" s="31">
        <v>0.27278138528138501</v>
      </c>
    </row>
    <row r="457" spans="1:9" x14ac:dyDescent="0.2">
      <c r="A457" t="s">
        <v>634</v>
      </c>
      <c r="B457" s="49">
        <v>0.27278138528138501</v>
      </c>
      <c r="C457" t="s">
        <v>62</v>
      </c>
      <c r="D457" t="str">
        <f>SUBSTITUTE(SUBSTITUTE(SUBSTITUTE(A457, "'max_iter': 500,", ""), "'max_iter': 1000,", ""), "'max_iter': 1500,", "")</f>
        <v>{'activation': 'logistic', 'hidden_layer_sizes': (200, 100), 'learning_rate_init': 0.001,  'solver': 'sgd'}</v>
      </c>
      <c r="E457">
        <f>_xlfn.RANK.EQ(B457,B$2:$B$479,0)</f>
        <v>428</v>
      </c>
      <c r="H457" s="40" t="s">
        <v>634</v>
      </c>
      <c r="I457" s="31">
        <v>0.27278138528138501</v>
      </c>
    </row>
    <row r="458" spans="1:9" x14ac:dyDescent="0.2">
      <c r="A458" t="s">
        <v>644</v>
      </c>
      <c r="B458" s="49">
        <v>0.27278138528138501</v>
      </c>
      <c r="C458" t="s">
        <v>62</v>
      </c>
      <c r="D458" t="str">
        <f>SUBSTITUTE(SUBSTITUTE(SUBSTITUTE(A458, "'max_iter': 500,", ""), "'max_iter': 1000,", ""), "'max_iter': 1500,", "")</f>
        <v>{'activation': 'logistic', 'hidden_layer_sizes': (200, 100), 'learning_rate_init': 0.001,  'solver': 'sgd'}</v>
      </c>
      <c r="E458">
        <f>_xlfn.RANK.EQ(B458,B$2:$B$479,0)</f>
        <v>428</v>
      </c>
      <c r="H458" s="40" t="s">
        <v>339</v>
      </c>
      <c r="I458" s="31">
        <v>0.27278138528138501</v>
      </c>
    </row>
    <row r="459" spans="1:9" x14ac:dyDescent="0.2">
      <c r="A459" t="s">
        <v>379</v>
      </c>
      <c r="B459" s="49">
        <v>0.27278138528138501</v>
      </c>
      <c r="C459" t="s">
        <v>62</v>
      </c>
      <c r="D459" t="str">
        <f>SUBSTITUTE(SUBSTITUTE(SUBSTITUTE(A459, "'max_iter': 500,", ""), "'max_iter': 1000,", ""), "'max_iter': 1500,", "")</f>
        <v>{'activation': 'logistic', 'hidden_layer_sizes': (200, 100), 'learning_rate_init': 0.01,  'solver': 'sgd'}</v>
      </c>
      <c r="E459">
        <f>_xlfn.RANK.EQ(B459,B$2:$B$479,0)</f>
        <v>428</v>
      </c>
      <c r="H459" s="40" t="s">
        <v>645</v>
      </c>
      <c r="I459" s="31">
        <v>0.27278138528138501</v>
      </c>
    </row>
    <row r="460" spans="1:9" x14ac:dyDescent="0.2">
      <c r="A460" t="s">
        <v>128</v>
      </c>
      <c r="B460" s="49">
        <v>0.27278138528138501</v>
      </c>
      <c r="C460" t="s">
        <v>62</v>
      </c>
      <c r="D460" t="str">
        <f>SUBSTITUTE(SUBSTITUTE(SUBSTITUTE(A460, "'max_iter': 500,", ""), "'max_iter': 1000,", ""), "'max_iter': 1500,", "")</f>
        <v>{'activation': 'logistic', 'hidden_layer_sizes': (200, 100), 'learning_rate_init': 0.01,  'solver': 'sgd'}</v>
      </c>
      <c r="E460">
        <f>_xlfn.RANK.EQ(B460,B$2:$B$479,0)</f>
        <v>428</v>
      </c>
      <c r="H460" s="40" t="s">
        <v>635</v>
      </c>
      <c r="I460" s="31">
        <v>0.27278138528138501</v>
      </c>
    </row>
    <row r="461" spans="1:9" x14ac:dyDescent="0.2">
      <c r="A461" t="s">
        <v>378</v>
      </c>
      <c r="B461" s="49">
        <v>0.27278138528138501</v>
      </c>
      <c r="C461" t="s">
        <v>62</v>
      </c>
      <c r="D461" t="str">
        <f>SUBSTITUTE(SUBSTITUTE(SUBSTITUTE(A461, "'max_iter': 500,", ""), "'max_iter': 1000,", ""), "'max_iter': 1500,", "")</f>
        <v>{'activation': 'logistic', 'hidden_layer_sizes': (200, 100), 'learning_rate_init': 0.01,  'solver': 'sgd'}</v>
      </c>
      <c r="E461">
        <f>_xlfn.RANK.EQ(B461,B$2:$B$479,0)</f>
        <v>428</v>
      </c>
      <c r="H461" s="40" t="s">
        <v>644</v>
      </c>
      <c r="I461" s="31">
        <v>0.27278138528138501</v>
      </c>
    </row>
    <row r="462" spans="1:9" x14ac:dyDescent="0.2">
      <c r="A462" t="s">
        <v>615</v>
      </c>
      <c r="B462" s="49">
        <v>0.27278138528138501</v>
      </c>
      <c r="C462" t="s">
        <v>62</v>
      </c>
      <c r="D462" t="str">
        <f>SUBSTITUTE(SUBSTITUTE(SUBSTITUTE(A462, "'max_iter': 500,", ""), "'max_iter': 1000,", ""), "'max_iter': 1500,", "")</f>
        <v>{'activation': 'logistic', 'hidden_layer_sizes': (200, 75, 25), 'learning_rate_init': 0.001,  'solver': 'sgd'}</v>
      </c>
      <c r="E462">
        <f>_xlfn.RANK.EQ(B462,B$2:$B$479,0)</f>
        <v>428</v>
      </c>
      <c r="H462" s="40" t="s">
        <v>128</v>
      </c>
      <c r="I462" s="31">
        <v>0.27278138528138501</v>
      </c>
    </row>
    <row r="463" spans="1:9" x14ac:dyDescent="0.2">
      <c r="A463" t="s">
        <v>250</v>
      </c>
      <c r="B463" s="49">
        <v>0.27278138528138501</v>
      </c>
      <c r="C463" t="s">
        <v>62</v>
      </c>
      <c r="D463" t="str">
        <f>SUBSTITUTE(SUBSTITUTE(SUBSTITUTE(A463, "'max_iter': 500,", ""), "'max_iter': 1000,", ""), "'max_iter': 1500,", "")</f>
        <v>{'activation': 'logistic', 'hidden_layer_sizes': (200, 75, 25), 'learning_rate_init': 0.001,  'solver': 'sgd'}</v>
      </c>
      <c r="E463">
        <f>_xlfn.RANK.EQ(B463,B$2:$B$479,0)</f>
        <v>428</v>
      </c>
      <c r="H463" s="40" t="s">
        <v>646</v>
      </c>
      <c r="I463" s="31">
        <v>0.27278138528138501</v>
      </c>
    </row>
    <row r="464" spans="1:9" x14ac:dyDescent="0.2">
      <c r="A464" t="s">
        <v>616</v>
      </c>
      <c r="B464" s="49">
        <v>0.27278138528138501</v>
      </c>
      <c r="C464" t="s">
        <v>62</v>
      </c>
      <c r="D464" t="str">
        <f>SUBSTITUTE(SUBSTITUTE(SUBSTITUTE(A464, "'max_iter': 500,", ""), "'max_iter': 1000,", ""), "'max_iter': 1500,", "")</f>
        <v>{'activation': 'logistic', 'hidden_layer_sizes': (200, 75, 25), 'learning_rate_init': 0.001,  'solver': 'sgd'}</v>
      </c>
      <c r="E464">
        <f>_xlfn.RANK.EQ(B464,B$2:$B$479,0)</f>
        <v>428</v>
      </c>
      <c r="H464" s="40" t="s">
        <v>204</v>
      </c>
      <c r="I464" s="31">
        <v>0.27278138528138501</v>
      </c>
    </row>
    <row r="465" spans="1:9" x14ac:dyDescent="0.2">
      <c r="A465" t="s">
        <v>612</v>
      </c>
      <c r="B465" s="49">
        <v>0.27278138528138501</v>
      </c>
      <c r="C465" t="s">
        <v>62</v>
      </c>
      <c r="D465" t="str">
        <f>SUBSTITUTE(SUBSTITUTE(SUBSTITUTE(A465, "'max_iter': 500,", ""), "'max_iter': 1000,", ""), "'max_iter': 1500,", "")</f>
        <v>{'activation': 'logistic', 'hidden_layer_sizes': (200, 75, 25), 'learning_rate_init': 0.005,  'solver': 'sgd'}</v>
      </c>
      <c r="E465">
        <f>_xlfn.RANK.EQ(B465,B$2:$B$479,0)</f>
        <v>428</v>
      </c>
      <c r="H465" s="40" t="s">
        <v>643</v>
      </c>
      <c r="I465" s="31">
        <v>0.27278138528138501</v>
      </c>
    </row>
    <row r="466" spans="1:9" x14ac:dyDescent="0.2">
      <c r="A466" t="s">
        <v>248</v>
      </c>
      <c r="B466" s="49">
        <v>0.27278138528138501</v>
      </c>
      <c r="C466" t="s">
        <v>62</v>
      </c>
      <c r="D466" t="str">
        <f>SUBSTITUTE(SUBSTITUTE(SUBSTITUTE(A466, "'max_iter': 500,", ""), "'max_iter': 1000,", ""), "'max_iter': 1500,", "")</f>
        <v>{'activation': 'logistic', 'hidden_layer_sizes': (200, 75, 25), 'learning_rate_init': 0.005,  'solver': 'sgd'}</v>
      </c>
      <c r="E466">
        <f>_xlfn.RANK.EQ(B466,B$2:$B$479,0)</f>
        <v>428</v>
      </c>
      <c r="H466" s="40" t="s">
        <v>334</v>
      </c>
      <c r="I466" s="31">
        <v>0.27278138528138501</v>
      </c>
    </row>
    <row r="467" spans="1:9" x14ac:dyDescent="0.2">
      <c r="A467" t="s">
        <v>611</v>
      </c>
      <c r="B467" s="49">
        <v>0.27278138528138501</v>
      </c>
      <c r="C467" t="s">
        <v>62</v>
      </c>
      <c r="D467" t="str">
        <f>SUBSTITUTE(SUBSTITUTE(SUBSTITUTE(A467, "'max_iter': 500,", ""), "'max_iter': 1000,", ""), "'max_iter': 1500,", "")</f>
        <v>{'activation': 'logistic', 'hidden_layer_sizes': (200, 75, 25), 'learning_rate_init': 0.005,  'solver': 'sgd'}</v>
      </c>
      <c r="E467">
        <f>_xlfn.RANK.EQ(B467,B$2:$B$479,0)</f>
        <v>428</v>
      </c>
      <c r="H467" s="40" t="s">
        <v>642</v>
      </c>
      <c r="I467" s="31">
        <v>0.27278138528138501</v>
      </c>
    </row>
    <row r="468" spans="1:9" x14ac:dyDescent="0.2">
      <c r="A468" t="s">
        <v>406</v>
      </c>
      <c r="B468" s="49">
        <v>0.27278138528138501</v>
      </c>
      <c r="C468" t="s">
        <v>62</v>
      </c>
      <c r="D468" t="str">
        <f>SUBSTITUTE(SUBSTITUTE(SUBSTITUTE(A468, "'max_iter': 500,", ""), "'max_iter': 1000,", ""), "'max_iter': 1500,", "")</f>
        <v>{'activation': 'logistic', 'hidden_layer_sizes': (200, 75, 25), 'learning_rate_init': 0.01,  'solver': 'sgd'}</v>
      </c>
      <c r="E468">
        <f>_xlfn.RANK.EQ(B468,B$2:$B$479,0)</f>
        <v>428</v>
      </c>
      <c r="H468" s="40" t="s">
        <v>134</v>
      </c>
      <c r="I468" s="31">
        <v>0.27278138528138501</v>
      </c>
    </row>
    <row r="469" spans="1:9" x14ac:dyDescent="0.2">
      <c r="A469" t="s">
        <v>142</v>
      </c>
      <c r="B469" s="49">
        <v>0.27278138528138501</v>
      </c>
      <c r="C469" t="s">
        <v>62</v>
      </c>
      <c r="D469" t="str">
        <f>SUBSTITUTE(SUBSTITUTE(SUBSTITUTE(A469, "'max_iter': 500,", ""), "'max_iter': 1000,", ""), "'max_iter': 1500,", "")</f>
        <v>{'activation': 'logistic', 'hidden_layer_sizes': (200, 75, 25), 'learning_rate_init': 0.01,  'solver': 'sgd'}</v>
      </c>
      <c r="E469">
        <f>_xlfn.RANK.EQ(B469,B$2:$B$479,0)</f>
        <v>428</v>
      </c>
      <c r="H469" s="40" t="s">
        <v>103</v>
      </c>
      <c r="I469" s="31">
        <v>0.27278138528138501</v>
      </c>
    </row>
    <row r="470" spans="1:9" x14ac:dyDescent="0.2">
      <c r="A470" t="s">
        <v>404</v>
      </c>
      <c r="B470" s="49">
        <v>0.27278138528138501</v>
      </c>
      <c r="C470" t="s">
        <v>62</v>
      </c>
      <c r="D470" t="str">
        <f>SUBSTITUTE(SUBSTITUTE(SUBSTITUTE(A470, "'max_iter': 500,", ""), "'max_iter': 1000,", ""), "'max_iter': 1500,", "")</f>
        <v>{'activation': 'logistic', 'hidden_layer_sizes': (200, 75, 25), 'learning_rate_init': 0.01,  'solver': 'sgd'}</v>
      </c>
      <c r="E470">
        <f>_xlfn.RANK.EQ(B470,B$2:$B$479,0)</f>
        <v>428</v>
      </c>
      <c r="H470" s="40" t="s">
        <v>611</v>
      </c>
      <c r="I470" s="31">
        <v>0.27278138528138501</v>
      </c>
    </row>
    <row r="471" spans="1:9" x14ac:dyDescent="0.2">
      <c r="A471" t="s">
        <v>641</v>
      </c>
      <c r="B471" s="49">
        <v>0.27278138528138501</v>
      </c>
      <c r="C471" t="s">
        <v>62</v>
      </c>
      <c r="D471" t="str">
        <f>SUBSTITUTE(SUBSTITUTE(SUBSTITUTE(A471, "'max_iter': 500,", ""), "'max_iter': 1000,", ""), "'max_iter': 1500,", "")</f>
        <v>{'activation': 'logistic', 'hidden_layer_sizes': 100, 'learning_rate_init': 0.001,  'solver': 'sgd'}</v>
      </c>
      <c r="E471">
        <f>_xlfn.RANK.EQ(B471,B$2:$B$479,0)</f>
        <v>428</v>
      </c>
      <c r="H471" s="40" t="s">
        <v>250</v>
      </c>
      <c r="I471" s="31">
        <v>0.27278138528138501</v>
      </c>
    </row>
    <row r="472" spans="1:9" x14ac:dyDescent="0.2">
      <c r="A472" t="s">
        <v>158</v>
      </c>
      <c r="B472" s="49">
        <v>0.27278138528138501</v>
      </c>
      <c r="C472" t="s">
        <v>62</v>
      </c>
      <c r="D472" t="str">
        <f>SUBSTITUTE(SUBSTITUTE(SUBSTITUTE(A472, "'max_iter': 500,", ""), "'max_iter': 1000,", ""), "'max_iter': 1500,", "")</f>
        <v>{'activation': 'logistic', 'hidden_layer_sizes': 100, 'learning_rate_init': 0.001,  'solver': 'sgd'}</v>
      </c>
      <c r="E472">
        <f>_xlfn.RANK.EQ(B472,B$2:$B$479,0)</f>
        <v>428</v>
      </c>
      <c r="H472" s="40" t="s">
        <v>640</v>
      </c>
      <c r="I472" s="31">
        <v>0.27278138528138501</v>
      </c>
    </row>
    <row r="473" spans="1:9" x14ac:dyDescent="0.2">
      <c r="A473" t="s">
        <v>642</v>
      </c>
      <c r="B473" s="49">
        <v>0.27278138528138501</v>
      </c>
      <c r="C473" t="s">
        <v>62</v>
      </c>
      <c r="D473" t="str">
        <f>SUBSTITUTE(SUBSTITUTE(SUBSTITUTE(A473, "'max_iter': 500,", ""), "'max_iter': 1000,", ""), "'max_iter': 1500,", "")</f>
        <v>{'activation': 'logistic', 'hidden_layer_sizes': 100, 'learning_rate_init': 0.001,  'solver': 'sgd'}</v>
      </c>
      <c r="E473">
        <f>_xlfn.RANK.EQ(B473,B$2:$B$479,0)</f>
        <v>428</v>
      </c>
      <c r="H473" s="40" t="s">
        <v>523</v>
      </c>
      <c r="I473" s="31">
        <v>0.27278138528138501</v>
      </c>
    </row>
    <row r="474" spans="1:9" x14ac:dyDescent="0.2">
      <c r="A474" t="s">
        <v>635</v>
      </c>
      <c r="B474" s="49">
        <v>0.27278138528138501</v>
      </c>
      <c r="C474" t="s">
        <v>62</v>
      </c>
      <c r="D474" t="str">
        <f>SUBSTITUTE(SUBSTITUTE(SUBSTITUTE(A474, "'max_iter': 500,", ""), "'max_iter': 1000,", ""), "'max_iter': 1500,", "")</f>
        <v>{'activation': 'logistic', 'hidden_layer_sizes': 150, 'learning_rate_init': 0.001,  'solver': 'sgd'}</v>
      </c>
      <c r="E474">
        <f>_xlfn.RANK.EQ(B474,B$2:$B$479,0)</f>
        <v>428</v>
      </c>
      <c r="H474" s="40" t="s">
        <v>638</v>
      </c>
      <c r="I474" s="31">
        <v>0.27278138528138501</v>
      </c>
    </row>
    <row r="475" spans="1:9" x14ac:dyDescent="0.2">
      <c r="A475" t="s">
        <v>134</v>
      </c>
      <c r="B475" s="49">
        <v>0.27278138528138501</v>
      </c>
      <c r="C475" t="s">
        <v>62</v>
      </c>
      <c r="D475" t="str">
        <f>SUBSTITUTE(SUBSTITUTE(SUBSTITUTE(A475, "'max_iter': 500,", ""), "'max_iter': 1000,", ""), "'max_iter': 1500,", "")</f>
        <v>{'activation': 'logistic', 'hidden_layer_sizes': 150, 'learning_rate_init': 0.001,  'solver': 'sgd'}</v>
      </c>
      <c r="E475">
        <f>_xlfn.RANK.EQ(B475,B$2:$B$479,0)</f>
        <v>428</v>
      </c>
      <c r="H475" s="40" t="s">
        <v>614</v>
      </c>
      <c r="I475" s="31">
        <v>0.27278138528138501</v>
      </c>
    </row>
    <row r="476" spans="1:9" x14ac:dyDescent="0.2">
      <c r="A476" t="s">
        <v>640</v>
      </c>
      <c r="B476" s="49">
        <v>0.27278138528138501</v>
      </c>
      <c r="C476" t="s">
        <v>62</v>
      </c>
      <c r="D476" t="str">
        <f>SUBSTITUTE(SUBSTITUTE(SUBSTITUTE(A476, "'max_iter': 500,", ""), "'max_iter': 1000,", ""), "'max_iter': 1500,", "")</f>
        <v>{'activation': 'logistic', 'hidden_layer_sizes': 150, 'learning_rate_init': 0.001,  'solver': 'sgd'}</v>
      </c>
      <c r="E476">
        <f>_xlfn.RANK.EQ(B476,B$2:$B$479,0)</f>
        <v>428</v>
      </c>
      <c r="H476" s="40" t="s">
        <v>649</v>
      </c>
      <c r="I476" s="31">
        <v>0.27278138528138501</v>
      </c>
    </row>
    <row r="477" spans="1:9" x14ac:dyDescent="0.2">
      <c r="A477" t="s">
        <v>645</v>
      </c>
      <c r="B477" s="49">
        <v>0.27278138528138501</v>
      </c>
      <c r="C477" t="s">
        <v>62</v>
      </c>
      <c r="D477" t="str">
        <f>SUBSTITUTE(SUBSTITUTE(SUBSTITUTE(A477, "'max_iter': 500,", ""), "'max_iter': 1000,", ""), "'max_iter': 1500,", "")</f>
        <v>{'activation': 'logistic', 'hidden_layer_sizes': 50, 'learning_rate_init': 0.001,  'solver': 'sgd'}</v>
      </c>
      <c r="E477">
        <f>_xlfn.RANK.EQ(B477,B$2:$B$479,0)</f>
        <v>428</v>
      </c>
      <c r="H477" s="40" t="s">
        <v>412</v>
      </c>
      <c r="I477" s="31">
        <v>0.27278138528138501</v>
      </c>
    </row>
    <row r="478" spans="1:9" x14ac:dyDescent="0.2">
      <c r="A478" t="s">
        <v>95</v>
      </c>
      <c r="B478" s="49">
        <v>0.27278138528138501</v>
      </c>
      <c r="C478" t="s">
        <v>62</v>
      </c>
      <c r="D478" t="str">
        <f>SUBSTITUTE(SUBSTITUTE(SUBSTITUTE(A478, "'max_iter': 500,", ""), "'max_iter': 1000,", ""), "'max_iter': 1500,", "")</f>
        <v>{'activation': 'logistic', 'hidden_layer_sizes': 50, 'learning_rate_init': 0.001,  'solver': 'sgd'}</v>
      </c>
      <c r="E478">
        <f>_xlfn.RANK.EQ(B478,B$2:$B$479,0)</f>
        <v>428</v>
      </c>
      <c r="H478" s="40" t="s">
        <v>637</v>
      </c>
      <c r="I478" s="31">
        <v>0.27278138528138501</v>
      </c>
    </row>
    <row r="479" spans="1:9" x14ac:dyDescent="0.2">
      <c r="A479" t="s">
        <v>643</v>
      </c>
      <c r="B479" s="49">
        <v>0.27278138528138501</v>
      </c>
      <c r="C479" t="s">
        <v>62</v>
      </c>
      <c r="D479" t="str">
        <f>SUBSTITUTE(SUBSTITUTE(SUBSTITUTE(A479, "'max_iter': 500,", ""), "'max_iter': 1000,", ""), "'max_iter': 1500,", "")</f>
        <v>{'activation': 'logistic', 'hidden_layer_sizes': 50, 'learning_rate_init': 0.001,  'solver': 'sgd'}</v>
      </c>
      <c r="E479">
        <f>_xlfn.RANK.EQ(B479,B$2:$B$479,0)</f>
        <v>428</v>
      </c>
      <c r="H479" s="40" t="s">
        <v>406</v>
      </c>
      <c r="I479" s="31">
        <v>0.27278138528138501</v>
      </c>
    </row>
    <row r="480" spans="1:9" x14ac:dyDescent="0.2">
      <c r="H480" s="40" t="s">
        <v>108</v>
      </c>
      <c r="I480" s="31">
        <v>0.27278138528138501</v>
      </c>
    </row>
    <row r="481" spans="8:9" x14ac:dyDescent="0.2">
      <c r="H481" s="40" t="s">
        <v>615</v>
      </c>
      <c r="I481" s="31">
        <v>0.27278138528138501</v>
      </c>
    </row>
    <row r="482" spans="8:9" x14ac:dyDescent="0.2">
      <c r="H482" s="40" t="s">
        <v>630</v>
      </c>
      <c r="I482" s="31">
        <v>0.78163793103448198</v>
      </c>
    </row>
  </sheetData>
  <autoFilter ref="A1:D479" xr:uid="{CCCCCA5E-3B2E-3446-A00C-273FD24DCCFE}">
    <sortState xmlns:xlrd2="http://schemas.microsoft.com/office/spreadsheetml/2017/richdata2" ref="A2:D479">
      <sortCondition descending="1" ref="B2:B479"/>
      <sortCondition ref="A2:A479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B4A2-84D1-1442-991F-BF15DF1E009F}">
  <dimension ref="B1:G11"/>
  <sheetViews>
    <sheetView workbookViewId="0">
      <selection activeCell="C2" sqref="C2:C11"/>
    </sheetView>
  </sheetViews>
  <sheetFormatPr baseColWidth="10" defaultRowHeight="16" x14ac:dyDescent="0.2"/>
  <cols>
    <col min="2" max="2" width="95.1640625" bestFit="1" customWidth="1"/>
    <col min="3" max="3" width="23.33203125" bestFit="1" customWidth="1"/>
    <col min="4" max="4" width="7.6640625" bestFit="1" customWidth="1"/>
    <col min="5" max="5" width="82.6640625" bestFit="1" customWidth="1"/>
    <col min="6" max="6" width="5.1640625" bestFit="1" customWidth="1"/>
    <col min="7" max="7" width="10.1640625" bestFit="1" customWidth="1"/>
  </cols>
  <sheetData>
    <row r="1" spans="2:7" x14ac:dyDescent="0.2">
      <c r="B1" s="50" t="s">
        <v>59</v>
      </c>
      <c r="C1" s="50" t="s">
        <v>60</v>
      </c>
      <c r="D1" s="50" t="s">
        <v>61</v>
      </c>
      <c r="E1" s="50" t="s">
        <v>619</v>
      </c>
      <c r="F1" s="50" t="s">
        <v>652</v>
      </c>
      <c r="G1" s="50" t="s">
        <v>653</v>
      </c>
    </row>
    <row r="2" spans="2:7" x14ac:dyDescent="0.2">
      <c r="B2" s="71" t="s">
        <v>253</v>
      </c>
      <c r="C2" s="72">
        <v>0.80683553122178997</v>
      </c>
      <c r="D2" s="71" t="s">
        <v>62</v>
      </c>
      <c r="E2" s="71" t="s">
        <v>625</v>
      </c>
      <c r="F2" s="71">
        <v>1</v>
      </c>
      <c r="G2" s="71" t="s">
        <v>651</v>
      </c>
    </row>
    <row r="3" spans="2:7" x14ac:dyDescent="0.2">
      <c r="B3" s="71" t="s">
        <v>261</v>
      </c>
      <c r="C3" s="72">
        <v>0.78796843016847695</v>
      </c>
      <c r="D3" s="71" t="s">
        <v>62</v>
      </c>
      <c r="E3" s="71" t="str">
        <f>SUBSTITUTE(SUBSTITUTE(SUBSTITUTE(B3, "'max_iter': 500,", ""), "'max_iter': 1000,", ""), "'max_iter': 1500,", "")</f>
        <v>{'activation': 'logistic', 'hidden_layer_sizes': (200, 100, 50), 'learning_rate_init': 0.005,  'solver': 'adam'}</v>
      </c>
      <c r="F3" s="71">
        <v>4</v>
      </c>
      <c r="G3" s="71" t="s">
        <v>651</v>
      </c>
    </row>
    <row r="4" spans="2:7" x14ac:dyDescent="0.2">
      <c r="B4" s="71" t="s">
        <v>262</v>
      </c>
      <c r="C4" s="72">
        <v>0.78716269841269804</v>
      </c>
      <c r="D4" s="71" t="s">
        <v>62</v>
      </c>
      <c r="E4" s="71" t="s">
        <v>628</v>
      </c>
      <c r="F4" s="71">
        <v>6</v>
      </c>
      <c r="G4" s="71" t="s">
        <v>651</v>
      </c>
    </row>
    <row r="5" spans="2:7" x14ac:dyDescent="0.2">
      <c r="B5" s="71" t="s">
        <v>560</v>
      </c>
      <c r="C5" s="72">
        <v>0.78163793103448198</v>
      </c>
      <c r="D5" s="71" t="s">
        <v>62</v>
      </c>
      <c r="E5" s="71" t="s">
        <v>629</v>
      </c>
      <c r="F5" s="71">
        <v>1</v>
      </c>
      <c r="G5" s="71" t="s">
        <v>654</v>
      </c>
    </row>
    <row r="6" spans="2:7" x14ac:dyDescent="0.2">
      <c r="B6" s="71" t="s">
        <v>267</v>
      </c>
      <c r="C6" s="72">
        <v>0.78139692228675195</v>
      </c>
      <c r="D6" s="71" t="s">
        <v>62</v>
      </c>
      <c r="E6" s="71" t="s">
        <v>626</v>
      </c>
      <c r="F6" s="71">
        <v>8</v>
      </c>
      <c r="G6" s="71" t="s">
        <v>651</v>
      </c>
    </row>
    <row r="7" spans="2:7" x14ac:dyDescent="0.2">
      <c r="B7" s="71" t="s">
        <v>273</v>
      </c>
      <c r="C7" s="72">
        <v>0.77563639220615899</v>
      </c>
      <c r="D7" s="71" t="s">
        <v>62</v>
      </c>
      <c r="E7" s="71" t="s">
        <v>623</v>
      </c>
      <c r="F7" s="71">
        <v>10</v>
      </c>
      <c r="G7" s="71" t="s">
        <v>651</v>
      </c>
    </row>
    <row r="8" spans="2:7" x14ac:dyDescent="0.2">
      <c r="B8" s="71" t="s">
        <v>356</v>
      </c>
      <c r="C8" s="72">
        <v>0.77464285714285697</v>
      </c>
      <c r="D8" s="71" t="s">
        <v>62</v>
      </c>
      <c r="E8" s="71" t="s">
        <v>621</v>
      </c>
      <c r="F8" s="71">
        <v>4</v>
      </c>
      <c r="G8" s="71" t="s">
        <v>654</v>
      </c>
    </row>
    <row r="9" spans="2:7" x14ac:dyDescent="0.2">
      <c r="B9" s="71" t="s">
        <v>314</v>
      </c>
      <c r="C9" s="72">
        <v>0.77172064777327898</v>
      </c>
      <c r="D9" s="71" t="s">
        <v>62</v>
      </c>
      <c r="E9" s="71" t="s">
        <v>622</v>
      </c>
      <c r="F9" s="71">
        <v>6</v>
      </c>
      <c r="G9" s="71" t="s">
        <v>654</v>
      </c>
    </row>
    <row r="10" spans="2:7" x14ac:dyDescent="0.2">
      <c r="B10" s="71" t="s">
        <v>518</v>
      </c>
      <c r="C10" s="72">
        <v>0.76934106012347103</v>
      </c>
      <c r="D10" s="71" t="s">
        <v>62</v>
      </c>
      <c r="E10" s="71" t="s">
        <v>627</v>
      </c>
      <c r="F10" s="71">
        <v>8</v>
      </c>
      <c r="G10" s="71" t="s">
        <v>654</v>
      </c>
    </row>
    <row r="11" spans="2:7" x14ac:dyDescent="0.2">
      <c r="B11" s="71" t="s">
        <v>175</v>
      </c>
      <c r="C11" s="72">
        <v>0.76890531784599503</v>
      </c>
      <c r="D11" s="71" t="s">
        <v>62</v>
      </c>
      <c r="E11" s="71" t="s">
        <v>624</v>
      </c>
      <c r="F11" s="71">
        <v>10</v>
      </c>
      <c r="G11" s="71" t="s">
        <v>654</v>
      </c>
    </row>
  </sheetData>
  <autoFilter ref="B1:G11" xr:uid="{9CE0B4A2-84D1-1442-991F-BF15DF1E009F}">
    <sortState xmlns:xlrd2="http://schemas.microsoft.com/office/spreadsheetml/2017/richdata2" ref="B2:G11">
      <sortCondition descending="1" ref="C1:C1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Attributos</vt:lpstr>
      <vt:lpstr>Selecao MLP - Base top 1</vt:lpstr>
      <vt:lpstr>Selecao MLP - Base mais attrb</vt:lpstr>
      <vt:lpstr>MLP - Selecionadas</vt:lpstr>
      <vt:lpstr>'Selecao MLP - Base top 1'!all_configs</vt:lpstr>
      <vt:lpstr>'Selecao MLP - Base mais attrb'!all_configs_3</vt:lpstr>
      <vt:lpstr>Attributos!tabela_f1_scores_para_excel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2025-09-14T21:27:55Z</dcterms:created>
  <dcterms:modified xsi:type="dcterms:W3CDTF">2025-11-02T01:29:17Z</dcterms:modified>
</cp:coreProperties>
</file>